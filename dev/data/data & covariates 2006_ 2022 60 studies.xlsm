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2" defaultThemeVersion="124226"/>
  <mc:AlternateContent xmlns:mc="http://schemas.openxmlformats.org/markup-compatibility/2006">
    <mc:Choice Requires="x15">
      <x15ac:absPath xmlns:x15ac="http://schemas.microsoft.com/office/spreadsheetml/2010/11/ac" url="C:\mydocums\EJ articles &amp; shortcourse\EJ analyses\"/>
    </mc:Choice>
  </mc:AlternateContent>
  <xr:revisionPtr revIDLastSave="0" documentId="13_ncr:1_{7D414F63-5357-41F6-9044-6A08FB3BF9CB}" xr6:coauthVersionLast="47" xr6:coauthVersionMax="47" xr10:uidLastSave="{00000000-0000-0000-0000-000000000000}"/>
  <bookViews>
    <workbookView xWindow="-110" yWindow="350" windowWidth="19420" windowHeight="10560" tabRatio="893" activeTab="2" xr2:uid="{00000000-000D-0000-FFFF-FFFF00000000}"/>
  </bookViews>
  <sheets>
    <sheet name="study covariates &amp; REH" sheetId="91" r:id="rId1"/>
    <sheet name="Studies &amp; Refs" sheetId="101" r:id="rId2"/>
    <sheet name="Exp&amp;DM scores" sheetId="95" r:id="rId3"/>
    <sheet name="all exprts 2022" sheetId="102" r:id="rId4"/>
    <sheet name="Arkansas" sheetId="63" r:id="rId5"/>
    <sheet name="Arsenic D-R" sheetId="16" r:id="rId6"/>
    <sheet name="ATCEP" sheetId="24" r:id="rId7"/>
    <sheet name="BFIQ" sheetId="56" r:id="rId8"/>
    <sheet name="biol_agents" sheetId="22" r:id="rId9"/>
    <sheet name="Brexit_Food" sheetId="72" r:id="rId10"/>
    <sheet name="burkina faso" sheetId="97" r:id="rId11"/>
    <sheet name="CDC_all" sheetId="45" r:id="rId12"/>
    <sheet name="CDC_ROI" sheetId="70" r:id="rId13"/>
    <sheet name="CO2em" sheetId="90" r:id="rId14"/>
    <sheet name="cotopaxi" sheetId="105" r:id="rId15"/>
    <sheet name="CoveringKids" sheetId="61" r:id="rId16"/>
    <sheet name="CREATE" sheetId="27" r:id="rId17"/>
    <sheet name="CWD" sheetId="48" r:id="rId18"/>
    <sheet name="Daniela" sheetId="25" r:id="rId19"/>
    <sheet name="dcpn_Fistula" sheetId="62" r:id="rId20"/>
    <sheet name="eBBp" sheetId="26" r:id="rId21"/>
    <sheet name="eff_Erupt" sheetId="28" r:id="rId22"/>
    <sheet name="Erie" sheetId="29" r:id="rId23"/>
    <sheet name="ethiopia" sheetId="98" r:id="rId24"/>
    <sheet name="FCEP" sheetId="30" r:id="rId25"/>
    <sheet name="Florida" sheetId="64" r:id="rId26"/>
    <sheet name="France" sheetId="57" r:id="rId27"/>
    <sheet name="GDP" sheetId="89" r:id="rId28"/>
    <sheet name="geopolit" sheetId="23" r:id="rId29"/>
    <sheet name="Gerstenberger" sheetId="39" r:id="rId30"/>
    <sheet name="GL_NIS" sheetId="40" r:id="rId31"/>
    <sheet name="Goodheart" sheetId="41" r:id="rId32"/>
    <sheet name="Hemophilia" sheetId="32" r:id="rId33"/>
    <sheet name="ICE_2012" sheetId="42" r:id="rId34"/>
    <sheet name="ICE_2018" sheetId="51" r:id="rId35"/>
    <sheet name="Illinois" sheetId="65" r:id="rId36"/>
    <sheet name="IQEarnings" sheetId="71" r:id="rId37"/>
    <sheet name="Italy" sheetId="58" r:id="rId38"/>
    <sheet name="Leontaris" sheetId="94" r:id="rId39"/>
    <sheet name="Liander" sheetId="35" r:id="rId40"/>
    <sheet name="Nebraska" sheetId="54" r:id="rId41"/>
    <sheet name="Nogal" sheetId="93" r:id="rId42"/>
    <sheet name="PHAC_T4" sheetId="33" r:id="rId43"/>
    <sheet name="Obesity" sheetId="66" r:id="rId44"/>
    <sheet name="Peyras30" sheetId="88" r:id="rId45"/>
    <sheet name="piton" sheetId="106" r:id="rId46"/>
    <sheet name="politicalviolence" sheetId="79" r:id="rId47"/>
    <sheet name="puig-gdp" sheetId="43" r:id="rId48"/>
    <sheet name="puig-oil" sheetId="44" r:id="rId49"/>
    <sheet name="rijn_faalkansen" sheetId="104" r:id="rId50"/>
    <sheet name="rwanda" sheetId="99" r:id="rId51"/>
    <sheet name="SanDiego" sheetId="55" r:id="rId52"/>
    <sheet name="Spain" sheetId="59" r:id="rId53"/>
    <sheet name="Sheep" sheetId="34" r:id="rId54"/>
    <sheet name="SPEED" sheetId="36" r:id="rId55"/>
    <sheet name="Tobacco" sheetId="68" r:id="rId56"/>
    <sheet name="Tadini_Clermont" sheetId="75" r:id="rId57"/>
    <sheet name="Tadini_Quito" sheetId="76" r:id="rId58"/>
    <sheet name="TdC" sheetId="37" r:id="rId59"/>
    <sheet name="topaz" sheetId="38" r:id="rId60"/>
    <sheet name="UK" sheetId="60" r:id="rId61"/>
    <sheet name="umd" sheetId="17" r:id="rId62"/>
    <sheet name="usgs" sheetId="15" r:id="rId63"/>
    <sheet name="Washington" sheetId="67" r:id="rId64"/>
  </sheets>
  <functionGroups builtInGroupCount="19"/>
  <definedNames>
    <definedName name="CO2em_seed" localSheetId="13">CO2em!$A$2:$I$112</definedName>
    <definedName name="CO2Em_seed_1" localSheetId="13">CO2em!#REF!</definedName>
    <definedName name="GDP2300_9_1" localSheetId="27">GDP!$A$1:$F$100</definedName>
    <definedName name="GDP2300_9_2" localSheetId="27">GDP!$H$2:$H$12</definedName>
    <definedName name="ICE_2018" localSheetId="2">'Exp&amp;DM scores'!$A$1041:$I$1071</definedName>
    <definedName name="OLE_LINK1" localSheetId="2">'Exp&amp;DM scores'!#REF!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3" i="91" l="1"/>
  <c r="T24" i="39"/>
  <c r="S24" i="39"/>
  <c r="R24" i="39"/>
  <c r="Q24" i="39"/>
  <c r="P24" i="39"/>
  <c r="C63" i="91"/>
  <c r="M62" i="95"/>
  <c r="L62" i="95"/>
  <c r="H621" i="102"/>
  <c r="H620" i="102"/>
  <c r="H619" i="102"/>
  <c r="H618" i="102"/>
  <c r="H617" i="102"/>
  <c r="H616" i="102"/>
  <c r="H615" i="102"/>
  <c r="H614" i="102"/>
  <c r="H613" i="102"/>
  <c r="H612" i="102"/>
  <c r="H611" i="102"/>
  <c r="H610" i="102"/>
  <c r="H609" i="102"/>
  <c r="H608" i="102"/>
  <c r="H607" i="102"/>
  <c r="H606" i="102"/>
  <c r="H452" i="102"/>
  <c r="H451" i="102"/>
  <c r="H450" i="102"/>
  <c r="H449" i="102"/>
  <c r="H448" i="102"/>
  <c r="H447" i="102"/>
  <c r="H446" i="102"/>
  <c r="H445" i="102"/>
  <c r="H444" i="102"/>
  <c r="H443" i="102"/>
  <c r="H442" i="102"/>
  <c r="H441" i="102"/>
  <c r="H440" i="102"/>
  <c r="H439" i="102"/>
  <c r="H438" i="102"/>
  <c r="H437" i="102"/>
  <c r="H436" i="102"/>
  <c r="H435" i="102"/>
  <c r="H434" i="102"/>
  <c r="H433" i="102"/>
  <c r="H432" i="102"/>
  <c r="H431" i="102"/>
  <c r="H430" i="102"/>
  <c r="H428" i="102"/>
  <c r="H427" i="102"/>
  <c r="H426" i="102"/>
  <c r="H425" i="102"/>
  <c r="H424" i="102"/>
  <c r="H423" i="102"/>
  <c r="H422" i="102"/>
  <c r="H421" i="102"/>
  <c r="H420" i="102"/>
  <c r="H419" i="102"/>
  <c r="H418" i="102"/>
  <c r="H417" i="102"/>
  <c r="H416" i="102"/>
  <c r="H415" i="102"/>
  <c r="H414" i="102"/>
  <c r="H413" i="102"/>
  <c r="H412" i="102"/>
  <c r="H411" i="102"/>
  <c r="H410" i="102"/>
  <c r="H409" i="102"/>
  <c r="H408" i="102"/>
  <c r="H407" i="102"/>
  <c r="V2" i="102"/>
  <c r="U2" i="102"/>
  <c r="AE3" i="91" l="1"/>
  <c r="AD3" i="91"/>
  <c r="AC3" i="91"/>
  <c r="AB3" i="91"/>
  <c r="AA3" i="91"/>
  <c r="Y3" i="91"/>
  <c r="Z3" i="9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RMC</author>
  </authors>
  <commentList>
    <comment ref="B1" authorId="0" shapeId="0" xr:uid="{52A3FCF5-1009-4FFA-B374-B6EF4DC1FE00}">
      <text>
        <r>
          <rPr>
            <b/>
            <sz val="9"/>
            <color indexed="81"/>
            <rFont val="Tahoma"/>
            <family val="2"/>
          </rPr>
          <t>RMC:</t>
        </r>
        <r>
          <rPr>
            <sz val="9"/>
            <color indexed="81"/>
            <rFont val="Tahoma"/>
            <family val="2"/>
          </rPr>
          <t xml:space="preserve">
These names agree wsith Convert&amp;Scorfe</t>
        </r>
      </text>
    </comment>
    <comment ref="F1" authorId="0" shapeId="0" xr:uid="{00000000-0006-0000-0000-000001000000}">
      <text>
        <r>
          <rPr>
            <b/>
            <sz val="9"/>
            <color indexed="81"/>
            <rFont val="Tahoma"/>
            <family val="2"/>
          </rPr>
          <t>RMC:</t>
        </r>
        <r>
          <rPr>
            <sz val="9"/>
            <color indexed="81"/>
            <rFont val="Tahoma"/>
            <family val="2"/>
          </rPr>
          <t xml:space="preserve">
date of elicitation, not date of publication
</t>
        </r>
      </text>
    </comment>
    <comment ref="H1" authorId="0" shapeId="0" xr:uid="{00000000-0006-0000-0000-000002000000}">
      <text>
        <r>
          <rPr>
            <b/>
            <sz val="9"/>
            <color indexed="81"/>
            <rFont val="Tahoma"/>
            <family val="2"/>
          </rPr>
          <t>RMC: concerns questions not background of experts</t>
        </r>
        <r>
          <rPr>
            <sz val="9"/>
            <color indexed="81"/>
            <rFont val="Tahoma"/>
            <family val="2"/>
          </rPr>
          <t xml:space="preserve">
P = policy
S = scvoence / engineering
H = Public Health
</t>
        </r>
      </text>
    </comment>
    <comment ref="I1" authorId="0" shapeId="0" xr:uid="{00000000-0006-0000-0000-000003000000}">
      <text>
        <r>
          <rPr>
            <b/>
            <sz val="9"/>
            <color indexed="81"/>
            <rFont val="Tahoma"/>
            <family val="2"/>
          </rPr>
          <t>RMC:</t>
        </r>
        <r>
          <rPr>
            <sz val="9"/>
            <color indexed="81"/>
            <rFont val="Tahoma"/>
            <family val="2"/>
          </rPr>
          <t xml:space="preserve">
Individ = 1 on 1
Plen = Plenary</t>
        </r>
      </text>
    </comment>
    <comment ref="A14" authorId="0" shapeId="0" xr:uid="{00000000-0006-0000-0000-000004000000}">
      <text>
        <r>
          <rPr>
            <b/>
            <sz val="9"/>
            <color indexed="81"/>
            <rFont val="Tahoma"/>
            <family val="2"/>
          </rPr>
          <t>RMC:</t>
        </r>
        <r>
          <rPr>
            <sz val="9"/>
            <color indexed="81"/>
            <rFont val="Tahoma"/>
            <family val="2"/>
          </rPr>
          <t xml:space="preserve">
vbl 4 has rls = 0</t>
        </r>
      </text>
    </comment>
    <comment ref="A20" authorId="0" shapeId="0" xr:uid="{00000000-0006-0000-0000-000005000000}">
      <text>
        <r>
          <rPr>
            <b/>
            <sz val="9"/>
            <color indexed="81"/>
            <rFont val="Tahoma"/>
            <family val="2"/>
          </rPr>
          <t>RMC:</t>
        </r>
        <r>
          <rPr>
            <sz val="9"/>
            <color indexed="81"/>
            <rFont val="Tahoma"/>
            <family val="2"/>
          </rPr>
          <t xml:space="preserve">
1 expert assessed 11</t>
        </r>
      </text>
    </comment>
    <comment ref="E26" authorId="0" shapeId="0" xr:uid="{00000000-0006-0000-0000-000006000000}">
      <text>
        <r>
          <rPr>
            <b/>
            <sz val="9"/>
            <color indexed="81"/>
            <rFont val="Tahoma"/>
            <family val="2"/>
          </rPr>
          <t>RMC:</t>
        </r>
        <r>
          <rPr>
            <sz val="9"/>
            <color indexed="81"/>
            <rFont val="Tahoma"/>
            <family val="2"/>
          </rPr>
          <t xml:space="preserve">
this is from RFF, appearing in BPEA</t>
        </r>
      </text>
    </comment>
    <comment ref="A43" authorId="0" shapeId="0" xr:uid="{00000000-0006-0000-0000-000007000000}">
      <text>
        <r>
          <rPr>
            <b/>
            <sz val="9"/>
            <color indexed="81"/>
            <rFont val="Tahoma"/>
            <family val="2"/>
          </rPr>
          <t>RMC:</t>
        </r>
        <r>
          <rPr>
            <sz val="9"/>
            <color indexed="81"/>
            <rFont val="Tahoma"/>
            <family val="2"/>
          </rPr>
          <t xml:space="preserve">
1 expert assessed 19</t>
        </r>
      </text>
    </comment>
    <comment ref="A45" authorId="0" shapeId="0" xr:uid="{00000000-0006-0000-0000-000008000000}">
      <text>
        <r>
          <rPr>
            <b/>
            <sz val="9"/>
            <color indexed="81"/>
            <rFont val="Tahoma"/>
            <family val="2"/>
          </rPr>
          <t>RMC:</t>
        </r>
        <r>
          <rPr>
            <sz val="9"/>
            <color indexed="81"/>
            <rFont val="Tahoma"/>
            <family val="2"/>
          </rPr>
          <t xml:space="preserve">
1 expert assessed 19,
1 expert assessed 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cooke</author>
    <author>RMC</author>
  </authors>
  <commentList>
    <comment ref="AA1" authorId="0" shapeId="0" xr:uid="{4889CC6D-D6D8-4061-B440-795FBAACF6D4}">
      <text>
        <r>
          <rPr>
            <b/>
            <sz val="8"/>
            <color indexed="81"/>
            <rFont val="Tahoma"/>
            <family val="2"/>
          </rPr>
          <t>cooke:</t>
        </r>
        <r>
          <rPr>
            <sz val="8"/>
            <color indexed="81"/>
            <rFont val="Tahoma"/>
            <family val="2"/>
          </rPr>
          <t xml:space="preserve">
based on combined score</t>
        </r>
      </text>
    </comment>
    <comment ref="AD1" authorId="0" shapeId="0" xr:uid="{28C09836-EA74-4CDA-817F-11DA7373E0F4}">
      <text>
        <r>
          <rPr>
            <b/>
            <sz val="8"/>
            <color indexed="81"/>
            <rFont val="Tahoma"/>
            <family val="2"/>
          </rPr>
          <t>cooke:</t>
        </r>
        <r>
          <rPr>
            <sz val="8"/>
            <color indexed="81"/>
            <rFont val="Tahoma"/>
            <family val="2"/>
          </rPr>
          <t xml:space="preserve">
based on com bined score</t>
        </r>
      </text>
    </comment>
    <comment ref="AG1" authorId="0" shapeId="0" xr:uid="{8BA879AF-B05E-4631-929C-B4ED217591FD}">
      <text>
        <r>
          <rPr>
            <b/>
            <sz val="8"/>
            <color indexed="81"/>
            <rFont val="Tahoma"/>
            <family val="2"/>
          </rPr>
          <t>cooke:</t>
        </r>
        <r>
          <rPr>
            <sz val="8"/>
            <color indexed="81"/>
            <rFont val="Tahoma"/>
            <family val="2"/>
          </rPr>
          <t xml:space="preserve">
based on p value</t>
        </r>
      </text>
    </comment>
    <comment ref="AH1" authorId="0" shapeId="0" xr:uid="{13EDA128-6F2B-49D2-BFDB-4B1377880916}">
      <text>
        <r>
          <rPr>
            <b/>
            <sz val="8"/>
            <color indexed="81"/>
            <rFont val="Tahoma"/>
            <family val="2"/>
          </rPr>
          <t>cooke:</t>
        </r>
        <r>
          <rPr>
            <sz val="8"/>
            <color indexed="81"/>
            <rFont val="Tahoma"/>
            <family val="2"/>
          </rPr>
          <t xml:space="preserve">
based on p value</t>
        </r>
      </text>
    </comment>
    <comment ref="N14" authorId="1" shapeId="0" xr:uid="{AF4E9B9F-C33C-4187-ADF9-814B1AD81E4F}">
      <text>
        <r>
          <rPr>
            <b/>
            <sz val="9"/>
            <color indexed="81"/>
            <rFont val="Tahoma"/>
            <family val="2"/>
          </rPr>
          <t>RMC:</t>
        </r>
        <r>
          <rPr>
            <sz val="9"/>
            <color indexed="81"/>
            <rFont val="Tahoma"/>
            <family val="2"/>
          </rPr>
          <t xml:space="preserve">
vbl 4 has rls = 0</t>
        </r>
      </text>
    </comment>
    <comment ref="N20" authorId="1" shapeId="0" xr:uid="{2C802112-5930-4AFE-9108-BE9305B62324}">
      <text>
        <r>
          <rPr>
            <b/>
            <sz val="9"/>
            <color indexed="81"/>
            <rFont val="Tahoma"/>
            <family val="2"/>
          </rPr>
          <t>RMC:</t>
        </r>
        <r>
          <rPr>
            <sz val="9"/>
            <color indexed="81"/>
            <rFont val="Tahoma"/>
            <family val="2"/>
          </rPr>
          <t xml:space="preserve">
one exprt assessed 11</t>
        </r>
      </text>
    </comment>
    <comment ref="N44" authorId="1" shapeId="0" xr:uid="{988DE310-AD16-4820-9B5C-70D3CD649693}">
      <text>
        <r>
          <rPr>
            <b/>
            <sz val="9"/>
            <color indexed="81"/>
            <rFont val="Tahoma"/>
            <family val="2"/>
          </rPr>
          <t>RMC:</t>
        </r>
        <r>
          <rPr>
            <sz val="9"/>
            <color indexed="81"/>
            <rFont val="Tahoma"/>
            <family val="2"/>
          </rPr>
          <t xml:space="preserve">
one expert assessed 19</t>
        </r>
      </text>
    </comment>
    <comment ref="N46" authorId="1" shapeId="0" xr:uid="{27D5FF19-8268-4AA8-936D-0DDB390C7E1A}">
      <text>
        <r>
          <rPr>
            <b/>
            <sz val="9"/>
            <color indexed="81"/>
            <rFont val="Tahoma"/>
            <family val="2"/>
          </rPr>
          <t>RMC:</t>
        </r>
        <r>
          <rPr>
            <sz val="9"/>
            <color indexed="81"/>
            <rFont val="Tahoma"/>
            <family val="2"/>
          </rPr>
          <t xml:space="preserve">
1 expert assessed 19,
1 expert assessed 15. I deleted expert w 15 and deleted the seed vbl with wo 6 experts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RMC</author>
  </authors>
  <commentList>
    <comment ref="E1" authorId="0" shapeId="0" xr:uid="{98C1FFBA-DB5E-40FF-8E9D-3433223467B5}">
      <text>
        <r>
          <rPr>
            <b/>
            <sz val="9"/>
            <color indexed="81"/>
            <rFont val="Tahoma"/>
            <family val="2"/>
          </rPr>
          <t>RMC:</t>
        </r>
        <r>
          <rPr>
            <sz val="9"/>
            <color indexed="81"/>
            <rFont val="Tahoma"/>
            <family val="2"/>
          </rPr>
          <t xml:space="preserve">
</t>
        </r>
      </text>
    </comment>
    <comment ref="M1" authorId="0" shapeId="0" xr:uid="{38843762-92A5-4890-8B46-737DED9F1465}">
      <text>
        <r>
          <rPr>
            <b/>
            <sz val="9"/>
            <color indexed="81"/>
            <rFont val="Tahoma"/>
            <family val="2"/>
          </rPr>
          <t>RMC:</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RMC</author>
  </authors>
  <commentList>
    <comment ref="A1" authorId="0" shapeId="0" xr:uid="{00000000-0006-0000-2900-000001000000}">
      <text>
        <r>
          <rPr>
            <b/>
            <sz val="9"/>
            <color indexed="81"/>
            <rFont val="Tahoma"/>
            <family val="2"/>
          </rPr>
          <t>RMC:</t>
        </r>
        <r>
          <rPr>
            <sz val="9"/>
            <color indexed="81"/>
            <rFont val="Tahoma"/>
            <family val="2"/>
          </rPr>
          <t xml:space="preserve">
all log in original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2Em seed" type="6" refreshedVersion="3" deleted="1" background="1" saveData="1">
    <textPr codePage="437" sourceFile="C:\mydocums\Valuables\SCC-2018\CO2 intensity\SEJ em Calibr\CO2Em seed.rls" delimited="0">
      <textFields count="6">
        <textField/>
        <textField position="9"/>
        <textField position="20"/>
        <textField position="35"/>
        <textField position="39"/>
        <textField position="148"/>
      </textFields>
    </textPr>
  </connection>
  <connection id="2" xr16:uid="{00000000-0015-0000-FFFF-FFFF01000000}" name="GDP2300-9" type="6" refreshedVersion="3" deleted="1" background="1" saveData="1">
    <textPr codePage="437" sourceFile="C:\mydocums\Valuables\SCC-2018\GDP SEJ\SEJ data\GDP2300-9.dtt" delimited="0">
      <textFields count="10">
        <textField/>
        <textField position="1"/>
        <textField position="7"/>
        <textField position="14"/>
        <textField position="20"/>
        <textField position="34"/>
        <textField position="38"/>
        <textField position="53"/>
        <textField position="68"/>
        <textField position="83"/>
      </textFields>
    </textPr>
  </connection>
  <connection id="3" xr16:uid="{00000000-0015-0000-FFFF-FFFF02000000}" name="GDP2300-91" type="6" refreshedVersion="3" deleted="1" background="1" saveData="1">
    <textPr codePage="437" sourceFile="C:\mydocums\Valuables\SCC-2018\GDP SEJ\SEJ data\GDP2300-9.rls" delimited="0">
      <textFields count="5">
        <textField/>
        <textField position="9"/>
        <textField position="20"/>
        <textField position="35"/>
        <textField position="39"/>
      </textFields>
    </textPr>
  </connection>
  <connection id="4" xr16:uid="{00000000-0015-0000-FFFF-FFFF03000000}" name="ICE_2018" type="6" refreshedVersion="3" deleted="1" background="1" saveData="1">
    <textPr codePage="437" sourceFile="C:\mydocums\EJ articles &amp; shortcourse\EJ Cases 2016+\ICE_2018.txt"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<sst xmlns="http://schemas.openxmlformats.org/spreadsheetml/2006/main" count="12597" uniqueCount="1107">
  <si>
    <t>vb001</t>
  </si>
  <si>
    <t>vb002</t>
  </si>
  <si>
    <t>vb003</t>
  </si>
  <si>
    <t>vb004</t>
  </si>
  <si>
    <t>vb005</t>
  </si>
  <si>
    <t>vb006</t>
  </si>
  <si>
    <t>vb007</t>
  </si>
  <si>
    <t>vb008</t>
  </si>
  <si>
    <t>vb009</t>
  </si>
  <si>
    <t>vb010</t>
  </si>
  <si>
    <t>vb011</t>
  </si>
  <si>
    <t>UMD</t>
  </si>
  <si>
    <t>max</t>
  </si>
  <si>
    <t>average</t>
  </si>
  <si>
    <t>StDev</t>
  </si>
  <si>
    <t>sd003.........</t>
  </si>
  <si>
    <t>sd004.........</t>
  </si>
  <si>
    <t>sd005.........</t>
  </si>
  <si>
    <t>sd006.........</t>
  </si>
  <si>
    <t>sd007.........</t>
  </si>
  <si>
    <t>sd008.........</t>
  </si>
  <si>
    <t>sd009.........</t>
  </si>
  <si>
    <t>sd010.........</t>
  </si>
  <si>
    <t>sd011.........</t>
  </si>
  <si>
    <t>sd012.........</t>
  </si>
  <si>
    <t>sd013.........</t>
  </si>
  <si>
    <t>sd014.........</t>
  </si>
  <si>
    <t>sd015.........</t>
  </si>
  <si>
    <t>sd016.........</t>
  </si>
  <si>
    <t>sd017.........</t>
  </si>
  <si>
    <t>sd018.........</t>
  </si>
  <si>
    <t>sd019.........</t>
  </si>
  <si>
    <t>sd020.........</t>
  </si>
  <si>
    <t>USGS</t>
  </si>
  <si>
    <t>RLS</t>
  </si>
  <si>
    <t>arsenic</t>
  </si>
  <si>
    <t>CO2 ppm</t>
  </si>
  <si>
    <t>Asbestos death</t>
  </si>
  <si>
    <t>As gastro</t>
  </si>
  <si>
    <t>CI range</t>
  </si>
  <si>
    <t>As/Ni ratio</t>
  </si>
  <si>
    <t>ETS women</t>
  </si>
  <si>
    <t>%lung cancers</t>
  </si>
  <si>
    <t>SMR lung canc</t>
  </si>
  <si>
    <t>odds ratio</t>
  </si>
  <si>
    <t>odds ratio 2</t>
  </si>
  <si>
    <t>Dead dogs</t>
  </si>
  <si>
    <t>VEE mortality</t>
  </si>
  <si>
    <t>Typhoid infect</t>
  </si>
  <si>
    <t>No. doctors</t>
  </si>
  <si>
    <t>Anthrax wipe</t>
  </si>
  <si>
    <t>CSFV days</t>
  </si>
  <si>
    <t>RAND study</t>
  </si>
  <si>
    <t>Courier time</t>
  </si>
  <si>
    <t>Anthrax cost</t>
  </si>
  <si>
    <t>Brucell. dead</t>
  </si>
  <si>
    <t>% eczema vacc.</t>
  </si>
  <si>
    <t>Y pestis ID50</t>
  </si>
  <si>
    <t>rls</t>
  </si>
  <si>
    <t>S01</t>
  </si>
  <si>
    <t>S02</t>
  </si>
  <si>
    <t>S04</t>
  </si>
  <si>
    <t>S05</t>
  </si>
  <si>
    <t>S06</t>
  </si>
  <si>
    <t>S07</t>
  </si>
  <si>
    <t>S08</t>
  </si>
  <si>
    <t>S09</t>
  </si>
  <si>
    <t>S10</t>
  </si>
  <si>
    <t>S11</t>
  </si>
  <si>
    <t>S13</t>
  </si>
  <si>
    <t>S14</t>
  </si>
  <si>
    <t>S15</t>
  </si>
  <si>
    <t>S16</t>
  </si>
  <si>
    <t>S17</t>
  </si>
  <si>
    <t>S18</t>
  </si>
  <si>
    <t>Geopolit</t>
  </si>
  <si>
    <t>ATCEP</t>
  </si>
  <si>
    <t>CQ1</t>
  </si>
  <si>
    <t>CQ2</t>
  </si>
  <si>
    <t>CQ3</t>
  </si>
  <si>
    <t>CQ4</t>
  </si>
  <si>
    <t>CQ5</t>
  </si>
  <si>
    <t>CQ6</t>
  </si>
  <si>
    <t>CQ7</t>
  </si>
  <si>
    <t>Daniela</t>
  </si>
  <si>
    <t>eBBp</t>
  </si>
  <si>
    <t>Lidar_sd</t>
  </si>
  <si>
    <t>LakiArea</t>
  </si>
  <si>
    <t>CO2_Mt</t>
  </si>
  <si>
    <t>EngMortIncr</t>
  </si>
  <si>
    <t>Teph2@50km</t>
  </si>
  <si>
    <t>Variance</t>
  </si>
  <si>
    <t>PlumeWidth</t>
  </si>
  <si>
    <t>RatioOzoneGone</t>
  </si>
  <si>
    <t>WY11</t>
  </si>
  <si>
    <t>RG11</t>
  </si>
  <si>
    <t>RS11</t>
  </si>
  <si>
    <t>GS11</t>
  </si>
  <si>
    <t>SMBa11</t>
  </si>
  <si>
    <t>WBy11</t>
  </si>
  <si>
    <t>WBa11</t>
  </si>
  <si>
    <t>YPy11</t>
  </si>
  <si>
    <t>YPa11</t>
  </si>
  <si>
    <t>RS_WYy11</t>
  </si>
  <si>
    <t>RS_WYa11</t>
  </si>
  <si>
    <t>RG_WYy11</t>
  </si>
  <si>
    <t>RG_SMBa11</t>
  </si>
  <si>
    <t>RG_YPa1</t>
  </si>
  <si>
    <t>pool12</t>
  </si>
  <si>
    <t>Erie</t>
  </si>
  <si>
    <t>Fires</t>
  </si>
  <si>
    <t>UnstableApp</t>
  </si>
  <si>
    <t>Impairment</t>
  </si>
  <si>
    <t>Commercialjets</t>
  </si>
  <si>
    <t>PassUpBA</t>
  </si>
  <si>
    <t>ManOccRepUK</t>
  </si>
  <si>
    <t>HardLand</t>
  </si>
  <si>
    <t>ShtDwnRate</t>
  </si>
  <si>
    <t>FCEP</t>
  </si>
  <si>
    <t>eBBP</t>
  </si>
  <si>
    <t>CalQuestion 1</t>
  </si>
  <si>
    <t>CalQuestion 2</t>
  </si>
  <si>
    <t>CalQuestion 3</t>
  </si>
  <si>
    <t>CalQuestion 4</t>
  </si>
  <si>
    <t>CalQuestion 5</t>
  </si>
  <si>
    <t>CalQuestion 6a</t>
  </si>
  <si>
    <t>CalQuestion 6b</t>
  </si>
  <si>
    <t>CalQuestion 7</t>
  </si>
  <si>
    <t>Hemophilia</t>
  </si>
  <si>
    <t>Sheep</t>
  </si>
  <si>
    <t>ratio_damage</t>
  </si>
  <si>
    <t>repported_digg</t>
  </si>
  <si>
    <t>leak_3rdp</t>
  </si>
  <si>
    <t>min_tensil_str</t>
  </si>
  <si>
    <t>gci_km_ams</t>
  </si>
  <si>
    <t>150mm diameter</t>
  </si>
  <si>
    <t>fatalities_gas</t>
  </si>
  <si>
    <t>Australia_leak</t>
  </si>
  <si>
    <t>leak_corrosion</t>
  </si>
  <si>
    <t>injury_Germany</t>
  </si>
  <si>
    <t>Liander</t>
  </si>
  <si>
    <t>CF intervals</t>
  </si>
  <si>
    <t>% vent Serapis</t>
  </si>
  <si>
    <t>%isopachs</t>
  </si>
  <si>
    <t>HCO3</t>
  </si>
  <si>
    <t>Ves 10cm isoph</t>
  </si>
  <si>
    <t>%2km PDCs</t>
  </si>
  <si>
    <t>%trachytic</t>
  </si>
  <si>
    <t>Area lava flow</t>
  </si>
  <si>
    <t>Vol magma</t>
  </si>
  <si>
    <t>Area CFc depre</t>
  </si>
  <si>
    <t>Gas ratio diff</t>
  </si>
  <si>
    <t>Magma Evac tim</t>
  </si>
  <si>
    <t>Surf. drop</t>
  </si>
  <si>
    <t>Height change</t>
  </si>
  <si>
    <t>Crit vesic</t>
  </si>
  <si>
    <t>Time +1degC</t>
  </si>
  <si>
    <t>SPEED</t>
  </si>
  <si>
    <t>Fogo Ltithics</t>
  </si>
  <si>
    <t>Taal Surge</t>
  </si>
  <si>
    <t>Laki SO2</t>
  </si>
  <si>
    <t>Laki Lava</t>
  </si>
  <si>
    <t>Santa Maria Co</t>
  </si>
  <si>
    <t>S. Maria Fall</t>
  </si>
  <si>
    <t>Colima Dome</t>
  </si>
  <si>
    <t>Submarine erup</t>
  </si>
  <si>
    <t>Collapse load</t>
  </si>
  <si>
    <t>Melt Prod Rate</t>
  </si>
  <si>
    <t>Hierro</t>
  </si>
  <si>
    <t>Scoria cone</t>
  </si>
  <si>
    <t>Effusion rate</t>
  </si>
  <si>
    <t>Lava Flow Leng</t>
  </si>
  <si>
    <t>Melt Prod Hawa</t>
  </si>
  <si>
    <t>Hekla earthqua</t>
  </si>
  <si>
    <t>Window Asama</t>
  </si>
  <si>
    <t>TdC</t>
  </si>
  <si>
    <t>SubsidOffset</t>
  </si>
  <si>
    <t>AgeGeothermH2O</t>
  </si>
  <si>
    <t>AvCalderaDiam</t>
  </si>
  <si>
    <t>AskjaDuration</t>
  </si>
  <si>
    <t>ErosionLawK</t>
  </si>
  <si>
    <t>GlacIsosRate</t>
  </si>
  <si>
    <t>IzuVentNos</t>
  </si>
  <si>
    <t>PermaDepth1C</t>
  </si>
  <si>
    <t>HypoDiff</t>
  </si>
  <si>
    <t>1DayUplift</t>
  </si>
  <si>
    <t>MagmaProduct</t>
  </si>
  <si>
    <t>MinEoceneConv</t>
  </si>
  <si>
    <t>NeogeneThick</t>
  </si>
  <si>
    <t>ActiveFaults</t>
  </si>
  <si>
    <t>CrustDiffs</t>
  </si>
  <si>
    <t>IwoJimaUplift</t>
  </si>
  <si>
    <t>TOPAZ</t>
  </si>
  <si>
    <t>%&lt;av</t>
  </si>
  <si>
    <t>%&lt;stdev</t>
  </si>
  <si>
    <t>%&lt;max</t>
  </si>
  <si>
    <t>subducted dist</t>
  </si>
  <si>
    <t>Rock uplift</t>
  </si>
  <si>
    <t>scaling SRL</t>
  </si>
  <si>
    <t>PGA %g diff.</t>
  </si>
  <si>
    <t>M&gt;=6.0 100yrs</t>
  </si>
  <si>
    <t>Global ave rat</t>
  </si>
  <si>
    <t>Omori</t>
  </si>
  <si>
    <t>Inerevent time</t>
  </si>
  <si>
    <t>stress drop</t>
  </si>
  <si>
    <t>time variation</t>
  </si>
  <si>
    <t>Chi-Chi AS</t>
  </si>
  <si>
    <t>Max PGA NR</t>
  </si>
  <si>
    <t>Decl. diff.</t>
  </si>
  <si>
    <t>USS06</t>
  </si>
  <si>
    <t>USM06</t>
  </si>
  <si>
    <t>USH06</t>
  </si>
  <si>
    <t>USE06</t>
  </si>
  <si>
    <t>USO06</t>
  </si>
  <si>
    <t>C06</t>
  </si>
  <si>
    <t>SS06</t>
  </si>
  <si>
    <t>SM06</t>
  </si>
  <si>
    <t>SH06</t>
  </si>
  <si>
    <t>SE06</t>
  </si>
  <si>
    <t>SO06</t>
  </si>
  <si>
    <t>Spnd06</t>
  </si>
  <si>
    <t>WW06</t>
  </si>
  <si>
    <t>GL_NIS</t>
  </si>
  <si>
    <t>Goodheart</t>
  </si>
  <si>
    <t>CQ8</t>
  </si>
  <si>
    <t>CQ9</t>
  </si>
  <si>
    <t>CQ10</t>
  </si>
  <si>
    <t>Goodheasrt</t>
  </si>
  <si>
    <t>S1</t>
  </si>
  <si>
    <t>S2</t>
  </si>
  <si>
    <t>S3</t>
  </si>
  <si>
    <t>S4</t>
  </si>
  <si>
    <t>S5</t>
  </si>
  <si>
    <t>S6</t>
  </si>
  <si>
    <t>S8</t>
  </si>
  <si>
    <t>S12</t>
  </si>
  <si>
    <t>CAL011........</t>
  </si>
  <si>
    <t>CAL022........</t>
  </si>
  <si>
    <t>CAL033........</t>
  </si>
  <si>
    <t>CAL044........</t>
  </si>
  <si>
    <t>CAL055........</t>
  </si>
  <si>
    <t>CAL066........</t>
  </si>
  <si>
    <t>CAL077........</t>
  </si>
  <si>
    <t>CAL088........</t>
  </si>
  <si>
    <t>CAL099........</t>
  </si>
  <si>
    <t>CAL1010.......</t>
  </si>
  <si>
    <t>CAL1111.......</t>
  </si>
  <si>
    <t>CAL1212.......</t>
  </si>
  <si>
    <t>CAL1313.......</t>
  </si>
  <si>
    <t>CAL1414.......</t>
  </si>
  <si>
    <t>Nebraska</t>
  </si>
  <si>
    <t>SanDiego</t>
  </si>
  <si>
    <t>BFIQ</t>
  </si>
  <si>
    <t>France</t>
  </si>
  <si>
    <t>UK</t>
  </si>
  <si>
    <t>CoveringKids</t>
  </si>
  <si>
    <t>dcpn_Fistula</t>
  </si>
  <si>
    <t>Florida</t>
  </si>
  <si>
    <t>Illinois</t>
  </si>
  <si>
    <t>Obesity</t>
  </si>
  <si>
    <t>Washington</t>
  </si>
  <si>
    <t>Tobacco</t>
  </si>
  <si>
    <t>CWD</t>
  </si>
  <si>
    <t>Gerstenberger</t>
  </si>
  <si>
    <t>min</t>
  </si>
  <si>
    <t>%&gt;min</t>
  </si>
  <si>
    <t>ave SA</t>
  </si>
  <si>
    <t>StDev SA</t>
  </si>
  <si>
    <t>max SA</t>
  </si>
  <si>
    <t>biol_agents</t>
  </si>
  <si>
    <t>cor(SA,INF)</t>
  </si>
  <si>
    <t>SEED1........</t>
  </si>
  <si>
    <t>SEED2........</t>
  </si>
  <si>
    <t>SEED3........</t>
  </si>
  <si>
    <t>SEED4........</t>
  </si>
  <si>
    <t>SEED5........</t>
  </si>
  <si>
    <t>SEED6........</t>
  </si>
  <si>
    <t>SEED7........</t>
  </si>
  <si>
    <t>SEED8........</t>
  </si>
  <si>
    <t>SEED9........</t>
  </si>
  <si>
    <t>SEED10.......</t>
  </si>
  <si>
    <t>SEED11.......</t>
  </si>
  <si>
    <t>SEED12.......</t>
  </si>
  <si>
    <t>SEED13.......</t>
  </si>
  <si>
    <t>SEED14.......</t>
  </si>
  <si>
    <t>SEED15.......</t>
  </si>
  <si>
    <t>SEED16.......</t>
  </si>
  <si>
    <t>ICE_2018</t>
  </si>
  <si>
    <t>S1mean2clin</t>
  </si>
  <si>
    <t>S2mean2death</t>
  </si>
  <si>
    <t>S3min2clin</t>
  </si>
  <si>
    <t>S4_latency</t>
  </si>
  <si>
    <t>S5Txfactor</t>
  </si>
  <si>
    <t>S6Montm_fact</t>
  </si>
  <si>
    <t>S7Maxsoil_in</t>
  </si>
  <si>
    <t>S8High_preval</t>
  </si>
  <si>
    <t>S9Veniseaters</t>
  </si>
  <si>
    <t>S10clay_odds</t>
  </si>
  <si>
    <t>%&gt;min Comb</t>
  </si>
  <si>
    <t>Ave SA</t>
  </si>
  <si>
    <t>av Comb</t>
  </si>
  <si>
    <t>Stdev Comb</t>
  </si>
  <si>
    <t>%&lt;original panel in 1000 simulations</t>
  </si>
  <si>
    <t>Italy</t>
  </si>
  <si>
    <t>Rls</t>
  </si>
  <si>
    <t>Arkansas</t>
  </si>
  <si>
    <t>IMR</t>
  </si>
  <si>
    <t>AsthmaChange</t>
  </si>
  <si>
    <t>COdeaths</t>
  </si>
  <si>
    <t>CancerRisk</t>
  </si>
  <si>
    <t>EBLL</t>
  </si>
  <si>
    <t>Ozone</t>
  </si>
  <si>
    <t>HeartDis</t>
  </si>
  <si>
    <t>TrafficDeaths</t>
  </si>
  <si>
    <t>DownSynd</t>
  </si>
  <si>
    <t>HealthInsRatio</t>
  </si>
  <si>
    <t>CDC_ROI</t>
  </si>
  <si>
    <t>IQEarnings</t>
  </si>
  <si>
    <t>Q1_s</t>
  </si>
  <si>
    <t>Q2_s</t>
  </si>
  <si>
    <t>Q3_s</t>
  </si>
  <si>
    <t>Q4_s</t>
  </si>
  <si>
    <t>Q5_s</t>
  </si>
  <si>
    <t>Q6_s</t>
  </si>
  <si>
    <t>Q7_s</t>
  </si>
  <si>
    <t>Q8_s</t>
  </si>
  <si>
    <t>Q9_s</t>
  </si>
  <si>
    <t>Q10_s</t>
  </si>
  <si>
    <t>Q12_s</t>
  </si>
  <si>
    <t>Q13_s</t>
  </si>
  <si>
    <t>Q15_s</t>
  </si>
  <si>
    <t>Tadini_Clermont</t>
  </si>
  <si>
    <t>Tadini_Quito</t>
  </si>
  <si>
    <t>CDC_all</t>
  </si>
  <si>
    <t>Max Comb</t>
  </si>
  <si>
    <t>Ice_2012</t>
  </si>
  <si>
    <t>CREATE</t>
  </si>
  <si>
    <t>ICE_2012</t>
  </si>
  <si>
    <t>Spain</t>
  </si>
  <si>
    <t>EffErup</t>
  </si>
  <si>
    <t>nr</t>
  </si>
  <si>
    <t>SA</t>
  </si>
  <si>
    <t>Peyras30</t>
  </si>
  <si>
    <t>Nogal</t>
  </si>
  <si>
    <t>Leontaris</t>
  </si>
  <si>
    <t>GDP</t>
  </si>
  <si>
    <t>inf</t>
  </si>
  <si>
    <t>comb</t>
  </si>
  <si>
    <t>CO2em</t>
  </si>
  <si>
    <t>-</t>
  </si>
  <si>
    <t>CO2</t>
  </si>
  <si>
    <t>Panel metrics</t>
  </si>
  <si>
    <t>%&lt;ave</t>
  </si>
  <si>
    <t>In Random re-allocations</t>
  </si>
  <si>
    <t>STUDY</t>
  </si>
  <si>
    <t>Subject</t>
  </si>
  <si>
    <t>Grant effectiveness, child health insurance enrollment</t>
  </si>
  <si>
    <t>Air quality levels for arsenic</t>
  </si>
  <si>
    <t>Air traffic Controllers Human Error</t>
  </si>
  <si>
    <t>Breastfeeding and IQ</t>
  </si>
  <si>
    <t>Human dose-response curves for bioterror agents</t>
  </si>
  <si>
    <t>Food price change after Brexit</t>
  </si>
  <si>
    <t>Global burden of disease</t>
  </si>
  <si>
    <t>Return on investment for CDC warnings</t>
  </si>
  <si>
    <t>Terrorism</t>
  </si>
  <si>
    <t>Transmission risks: Chronic Wasting Disease from deer to humans</t>
  </si>
  <si>
    <t>Fire prevention and control</t>
  </si>
  <si>
    <t>Effectiveness of obstetric fistula repair</t>
  </si>
  <si>
    <t>XMRV  blood/tissue infection transmission risks</t>
  </si>
  <si>
    <t>Icelandic fissure eruptions: source characterization</t>
  </si>
  <si>
    <t>Establishment of Asian Carp in Lake Erie</t>
  </si>
  <si>
    <t>Flight Crew Human Error</t>
  </si>
  <si>
    <t>Future Antimicrobial Resistance in France</t>
  </si>
  <si>
    <t>Geopolitics</t>
  </si>
  <si>
    <t>Probabilistic Seismic‐Hazard Model for Canterbury</t>
  </si>
  <si>
    <t>Costs of invasive species in Great Lakes</t>
  </si>
  <si>
    <t>Airport safety</t>
  </si>
  <si>
    <t>Sea level rise from Ice Sheets melting due to global warming</t>
  </si>
  <si>
    <t>Future see level rise</t>
  </si>
  <si>
    <t>Effect IQ in India on Present Value of lifetime earnings</t>
  </si>
  <si>
    <t>Future Antimicrobial Resistance in Italy</t>
  </si>
  <si>
    <t>Underground cast iron gas-lines</t>
  </si>
  <si>
    <t>Grant effectiveness, childhood obesity</t>
  </si>
  <si>
    <t>Additional CWD factors</t>
  </si>
  <si>
    <t>Political Violence</t>
  </si>
  <si>
    <t>Emission forecasts from Mexico</t>
  </si>
  <si>
    <t>Oil emissions and prices</t>
  </si>
  <si>
    <t>Effectiveness of surgical procedures</t>
  </si>
  <si>
    <t>Risk management policy for sheep scab control</t>
  </si>
  <si>
    <t>Future Antimicrobial Resistance in Spain</t>
  </si>
  <si>
    <t>Volcano hazards (Vesuvius &amp; Campi Flegrei, Italy)</t>
  </si>
  <si>
    <t>Somma‐Vesuvio volcanic complex geodatabase</t>
  </si>
  <si>
    <t>Volcanic risk</t>
  </si>
  <si>
    <t>Volcano hazards (Tristan da Cunha)</t>
  </si>
  <si>
    <t>Tectonic hazards for radwaste siting in Japan</t>
  </si>
  <si>
    <t>Future Antimicrobial Resistance in UK</t>
  </si>
  <si>
    <t>Nitrogen removal in Chesapeake  Bay</t>
  </si>
  <si>
    <t>Volcanos</t>
  </si>
  <si>
    <t>#quantiles</t>
  </si>
  <si>
    <t>P</t>
  </si>
  <si>
    <t>S</t>
  </si>
  <si>
    <t>H</t>
  </si>
  <si>
    <t>Plen</t>
  </si>
  <si>
    <t>Individ</t>
  </si>
  <si>
    <t>case1-a</t>
  </si>
  <si>
    <t>case1-b</t>
  </si>
  <si>
    <t>case2-a</t>
  </si>
  <si>
    <t>case2-b</t>
  </si>
  <si>
    <t>case3-a</t>
  </si>
  <si>
    <t>caseComb</t>
  </si>
  <si>
    <t>case4-a</t>
  </si>
  <si>
    <t>case4-b</t>
  </si>
  <si>
    <t>case5-a</t>
  </si>
  <si>
    <t>case5-b</t>
  </si>
  <si>
    <t>case1-c</t>
  </si>
  <si>
    <t>case2-c</t>
  </si>
  <si>
    <t>case3-c</t>
  </si>
  <si>
    <t>case4-c</t>
  </si>
  <si>
    <t>case5-c</t>
  </si>
  <si>
    <t>log</t>
  </si>
  <si>
    <t>River levee failure probability</t>
  </si>
  <si>
    <t>forecast GDP out to 2300</t>
  </si>
  <si>
    <t>Forecast CO2 emissions out to 2300</t>
  </si>
  <si>
    <t>nr calib vbls</t>
  </si>
  <si>
    <t>ew inf</t>
  </si>
  <si>
    <t>ew comb</t>
  </si>
  <si>
    <t>NoOp inf</t>
  </si>
  <si>
    <t>NoOp comb</t>
  </si>
  <si>
    <t>pwg inf</t>
  </si>
  <si>
    <t>pwg comb</t>
  </si>
  <si>
    <t>pwi inf</t>
  </si>
  <si>
    <t>pwi comb</t>
  </si>
  <si>
    <t>2nBE Sa</t>
  </si>
  <si>
    <t>2nBE Inf</t>
  </si>
  <si>
    <t>2nBE Comb</t>
  </si>
  <si>
    <t>BE Sa</t>
  </si>
  <si>
    <t>BE Inf</t>
  </si>
  <si>
    <t>BE Comb</t>
  </si>
  <si>
    <t>Results of scoring experts</t>
  </si>
  <si>
    <t xml:space="preserve"> Bayesian Updates: no      Weights:  global     DM Optimisation:  no  </t>
  </si>
  <si>
    <t>Arsenic D-R</t>
  </si>
  <si>
    <t xml:space="preserve"> Significance Level:           0    Calibration Power:           1</t>
  </si>
  <si>
    <t xml:space="preserve">   Nr.</t>
  </si>
  <si>
    <t xml:space="preserve"> Id     </t>
  </si>
  <si>
    <t xml:space="preserve">Calibr.    </t>
  </si>
  <si>
    <t>Mean relati</t>
  </si>
  <si>
    <t>Numb</t>
  </si>
  <si>
    <t>UnNormalize</t>
  </si>
  <si>
    <t>Normaliz.we</t>
  </si>
  <si>
    <t>Biol agents</t>
  </si>
  <si>
    <t xml:space="preserve">      </t>
  </si>
  <si>
    <t xml:space="preserve">        </t>
  </si>
  <si>
    <t xml:space="preserve">           </t>
  </si>
  <si>
    <t xml:space="preserve"> total     </t>
  </si>
  <si>
    <t>realizatioo</t>
  </si>
  <si>
    <t>real</t>
  </si>
  <si>
    <t xml:space="preserve">weight     </t>
  </si>
  <si>
    <t xml:space="preserve">without DM </t>
  </si>
  <si>
    <t>with DM</t>
  </si>
  <si>
    <t>CDC ROI</t>
  </si>
  <si>
    <t xml:space="preserve">AR01    </t>
  </si>
  <si>
    <t xml:space="preserve">AR03    </t>
  </si>
  <si>
    <t xml:space="preserve">AR06    </t>
  </si>
  <si>
    <t xml:space="preserve">AR07    </t>
  </si>
  <si>
    <t xml:space="preserve">n       </t>
  </si>
  <si>
    <t>dcpn_fistula</t>
  </si>
  <si>
    <t xml:space="preserve">e       </t>
  </si>
  <si>
    <t xml:space="preserve">g       </t>
  </si>
  <si>
    <t>Eff_Erupt</t>
  </si>
  <si>
    <t xml:space="preserve">i       </t>
  </si>
  <si>
    <t xml:space="preserve">                                                         (c) 1989-2012 TU Delft</t>
  </si>
  <si>
    <t>_x000C_</t>
  </si>
  <si>
    <t>GL-NIS</t>
  </si>
  <si>
    <t>liander</t>
  </si>
  <si>
    <t>PHAC_T4</t>
  </si>
  <si>
    <t>San Diego</t>
  </si>
  <si>
    <t>tobacco</t>
  </si>
  <si>
    <t>Topaz</t>
  </si>
  <si>
    <t>IQEarn</t>
  </si>
  <si>
    <t xml:space="preserve">A       </t>
  </si>
  <si>
    <t>Puig-GDP</t>
  </si>
  <si>
    <t xml:space="preserve">B       </t>
  </si>
  <si>
    <t>Puig-oil</t>
  </si>
  <si>
    <t xml:space="preserve">C       </t>
  </si>
  <si>
    <t>PoliticalViolence</t>
  </si>
  <si>
    <t xml:space="preserve">D       </t>
  </si>
  <si>
    <t>Brexit food</t>
  </si>
  <si>
    <t xml:space="preserve">E       </t>
  </si>
  <si>
    <t>Tadini Quito</t>
  </si>
  <si>
    <t>Tadini Clermont</t>
  </si>
  <si>
    <t>GDP2300</t>
  </si>
  <si>
    <t xml:space="preserve">Exp01   </t>
  </si>
  <si>
    <t xml:space="preserve">Exp02   </t>
  </si>
  <si>
    <t xml:space="preserve">Exp03   </t>
  </si>
  <si>
    <t xml:space="preserve">Exp04   </t>
  </si>
  <si>
    <t xml:space="preserve">Exp05   </t>
  </si>
  <si>
    <t xml:space="preserve">Exp06   </t>
  </si>
  <si>
    <t xml:space="preserve">Exp07   </t>
  </si>
  <si>
    <t xml:space="preserve">Exp08   </t>
  </si>
  <si>
    <t xml:space="preserve">Exp09   </t>
  </si>
  <si>
    <t xml:space="preserve">Exp10   </t>
  </si>
  <si>
    <t xml:space="preserve">Exp11   </t>
  </si>
  <si>
    <t xml:space="preserve">Exp12   </t>
  </si>
  <si>
    <t xml:space="preserve">Ex1     </t>
  </si>
  <si>
    <t xml:space="preserve">Ex2     </t>
  </si>
  <si>
    <t xml:space="preserve">Ex3     </t>
  </si>
  <si>
    <t xml:space="preserve">Ex4     </t>
  </si>
  <si>
    <t xml:space="preserve">Ex5     </t>
  </si>
  <si>
    <t xml:space="preserve">Expert1 </t>
  </si>
  <si>
    <t xml:space="preserve">Expert2 </t>
  </si>
  <si>
    <t xml:space="preserve">Expert3 </t>
  </si>
  <si>
    <t xml:space="preserve">Expert4 </t>
  </si>
  <si>
    <t xml:space="preserve">Expert5 </t>
  </si>
  <si>
    <t xml:space="preserve">Expert6 </t>
  </si>
  <si>
    <t xml:space="preserve">Expert7 </t>
  </si>
  <si>
    <t xml:space="preserve">Exp1    </t>
  </si>
  <si>
    <t xml:space="preserve">Exp2    </t>
  </si>
  <si>
    <t xml:space="preserve">Exp3    </t>
  </si>
  <si>
    <t xml:space="preserve">Exp4    </t>
  </si>
  <si>
    <t xml:space="preserve">FL01    </t>
  </si>
  <si>
    <t xml:space="preserve">FL02    </t>
  </si>
  <si>
    <t xml:space="preserve">FL03    </t>
  </si>
  <si>
    <t xml:space="preserve">FL04    </t>
  </si>
  <si>
    <t xml:space="preserve">FL05    </t>
  </si>
  <si>
    <t xml:space="preserve">FL06    </t>
  </si>
  <si>
    <t xml:space="preserve">FL07    </t>
  </si>
  <si>
    <t xml:space="preserve">F       </t>
  </si>
  <si>
    <t xml:space="preserve">IL01    </t>
  </si>
  <si>
    <t xml:space="preserve">IL03    </t>
  </si>
  <si>
    <t xml:space="preserve">IL04    </t>
  </si>
  <si>
    <t xml:space="preserve">IL05    </t>
  </si>
  <si>
    <t xml:space="preserve">IL10    </t>
  </si>
  <si>
    <t xml:space="preserve">ex1     </t>
  </si>
  <si>
    <t xml:space="preserve">ex2     </t>
  </si>
  <si>
    <t xml:space="preserve">ex3     </t>
  </si>
  <si>
    <t xml:space="preserve">ex4     </t>
  </si>
  <si>
    <t xml:space="preserve">ex5     </t>
  </si>
  <si>
    <t xml:space="preserve">ex6     </t>
  </si>
  <si>
    <t xml:space="preserve">ex7     </t>
  </si>
  <si>
    <t xml:space="preserve">ex8     </t>
  </si>
  <si>
    <t xml:space="preserve">ex9     </t>
  </si>
  <si>
    <t xml:space="preserve">ex10    </t>
  </si>
  <si>
    <t xml:space="preserve">ex11    </t>
  </si>
  <si>
    <t xml:space="preserve">NE01    </t>
  </si>
  <si>
    <t xml:space="preserve">NE02    </t>
  </si>
  <si>
    <t xml:space="preserve">NE03    </t>
  </si>
  <si>
    <t xml:space="preserve">NE04    </t>
  </si>
  <si>
    <t xml:space="preserve">MS01    </t>
  </si>
  <si>
    <t xml:space="preserve">MS02    </t>
  </si>
  <si>
    <t xml:space="preserve">MS03    </t>
  </si>
  <si>
    <t xml:space="preserve">MS04    </t>
  </si>
  <si>
    <t xml:space="preserve">SD01    </t>
  </si>
  <si>
    <t xml:space="preserve">SD02    </t>
  </si>
  <si>
    <t xml:space="preserve">SD03    </t>
  </si>
  <si>
    <t xml:space="preserve">SD05    </t>
  </si>
  <si>
    <t xml:space="preserve">SD06    </t>
  </si>
  <si>
    <t xml:space="preserve">SD07    </t>
  </si>
  <si>
    <t xml:space="preserve">SD08    </t>
  </si>
  <si>
    <t xml:space="preserve">SD09    </t>
  </si>
  <si>
    <t xml:space="preserve">Ex.1    </t>
  </si>
  <si>
    <t xml:space="preserve">Ex.2    </t>
  </si>
  <si>
    <t xml:space="preserve">Ex.3    </t>
  </si>
  <si>
    <t xml:space="preserve">Ex.4    </t>
  </si>
  <si>
    <t xml:space="preserve">Ex.5    </t>
  </si>
  <si>
    <t xml:space="preserve">Ex.6    </t>
  </si>
  <si>
    <t xml:space="preserve">Ex.7    </t>
  </si>
  <si>
    <t xml:space="preserve">Ex.8    </t>
  </si>
  <si>
    <t xml:space="preserve">Ex.9    </t>
  </si>
  <si>
    <t xml:space="preserve">Ex.10   </t>
  </si>
  <si>
    <t xml:space="preserve">Ex.11   </t>
  </si>
  <si>
    <t xml:space="preserve">Ex.12   </t>
  </si>
  <si>
    <t xml:space="preserve">Ex.13   </t>
  </si>
  <si>
    <t xml:space="preserve">Ex.14   </t>
  </si>
  <si>
    <t xml:space="preserve">Ex.15   </t>
  </si>
  <si>
    <t xml:space="preserve">Ex.16   </t>
  </si>
  <si>
    <t xml:space="preserve">Ex.17   </t>
  </si>
  <si>
    <t xml:space="preserve">Ex.18   </t>
  </si>
  <si>
    <t xml:space="preserve">Ex6     </t>
  </si>
  <si>
    <t xml:space="preserve">Ex7     </t>
  </si>
  <si>
    <t xml:space="preserve">Exp7    </t>
  </si>
  <si>
    <t xml:space="preserve">Exp8    </t>
  </si>
  <si>
    <t xml:space="preserve">Exp13   </t>
  </si>
  <si>
    <t xml:space="preserve">Exp19   </t>
  </si>
  <si>
    <t xml:space="preserve">Exp20   </t>
  </si>
  <si>
    <t xml:space="preserve">Exp5    </t>
  </si>
  <si>
    <t xml:space="preserve">Exp6    </t>
  </si>
  <si>
    <t xml:space="preserve">Exp9    </t>
  </si>
  <si>
    <t xml:space="preserve">Exp14   </t>
  </si>
  <si>
    <t xml:space="preserve">Exp15   </t>
  </si>
  <si>
    <t xml:space="preserve">Exp16   </t>
  </si>
  <si>
    <t xml:space="preserve">Exp17   </t>
  </si>
  <si>
    <t xml:space="preserve">Exp18   </t>
  </si>
  <si>
    <t xml:space="preserve">Exp21   </t>
  </si>
  <si>
    <t xml:space="preserve">Ex8     </t>
  </si>
  <si>
    <t xml:space="preserve">Ex9     </t>
  </si>
  <si>
    <t xml:space="preserve">Ex10    </t>
  </si>
  <si>
    <t xml:space="preserve">WA02    </t>
  </si>
  <si>
    <t xml:space="preserve">WA07    </t>
  </si>
  <si>
    <t xml:space="preserve">WA06    </t>
  </si>
  <si>
    <t xml:space="preserve">WA01    </t>
  </si>
  <si>
    <t xml:space="preserve">WA05    </t>
  </si>
  <si>
    <t xml:space="preserve"> Case name : bfiq                    9/13/2017                   Version W1.5.1</t>
  </si>
  <si>
    <t xml:space="preserve"> Case name : USGSfinal               9/13/2017                   Version W1.5.1</t>
  </si>
  <si>
    <t>exprt001</t>
  </si>
  <si>
    <t>exprt002</t>
  </si>
  <si>
    <t>exprt003</t>
  </si>
  <si>
    <t>exprt004</t>
  </si>
  <si>
    <t>exprt005</t>
  </si>
  <si>
    <t>exprt007</t>
  </si>
  <si>
    <t>exprt008</t>
  </si>
  <si>
    <t>exprt009</t>
  </si>
  <si>
    <t>exprt010</t>
  </si>
  <si>
    <t>exprt012</t>
  </si>
  <si>
    <t>exprt013</t>
  </si>
  <si>
    <t>exprt015</t>
  </si>
  <si>
    <t>exprt016</t>
  </si>
  <si>
    <t>exprt020</t>
  </si>
  <si>
    <t>exprt021</t>
  </si>
  <si>
    <t>exprt022</t>
  </si>
  <si>
    <t>exprt023</t>
  </si>
  <si>
    <t>exprt024</t>
  </si>
  <si>
    <t>exprt027</t>
  </si>
  <si>
    <t>exprt028</t>
  </si>
  <si>
    <t>exprt030</t>
  </si>
  <si>
    <t>exprt031</t>
  </si>
  <si>
    <t>exprt032</t>
  </si>
  <si>
    <t>exprt033</t>
  </si>
  <si>
    <t>exprt034</t>
  </si>
  <si>
    <t>exprt035</t>
  </si>
  <si>
    <t>exprt036</t>
  </si>
  <si>
    <t>exprt038</t>
  </si>
  <si>
    <t>exprt039</t>
  </si>
  <si>
    <t>exprt040</t>
  </si>
  <si>
    <t>exprt041</t>
  </si>
  <si>
    <t>exprt006</t>
  </si>
  <si>
    <t xml:space="preserve"> Case name : uk                      9/13/2017                   Version W1.5.1</t>
  </si>
  <si>
    <t xml:space="preserve"> Case name : spain                   9/13/2017                   Version W1.5.1</t>
  </si>
  <si>
    <t xml:space="preserve"> Case name : italy                   9/13/2017                   Version W1.5.1</t>
  </si>
  <si>
    <t xml:space="preserve"> Case name : france                  9/13/2017                   Version W1.5.1</t>
  </si>
  <si>
    <t>exprt018</t>
  </si>
  <si>
    <t>exprt026</t>
  </si>
  <si>
    <t>exprt048</t>
  </si>
  <si>
    <t>exprt049</t>
  </si>
  <si>
    <t>exprt014</t>
  </si>
  <si>
    <t>exprt025</t>
  </si>
  <si>
    <t>exprt047</t>
  </si>
  <si>
    <t>exprt029</t>
  </si>
  <si>
    <t>exprt044</t>
  </si>
  <si>
    <t>exprt043</t>
  </si>
  <si>
    <t>exprt017</t>
  </si>
  <si>
    <t>exprt042</t>
  </si>
  <si>
    <t>exprt011</t>
  </si>
  <si>
    <t>exprt050</t>
  </si>
  <si>
    <t>exprt046</t>
  </si>
  <si>
    <t>exprt037</t>
  </si>
  <si>
    <t>exprt045</t>
  </si>
  <si>
    <t>exprt019</t>
  </si>
  <si>
    <t xml:space="preserve"> Case name : puig-gdp                9/13/2017                   Version W1.5.1</t>
  </si>
  <si>
    <t xml:space="preserve"> Case name : puig-oil                9/13/2017                   Version W1.5.1</t>
  </si>
  <si>
    <t xml:space="preserve"> Case name : PoliticalViolence_seeds_CW_seeds5/9/2019            Version W1.5.1</t>
  </si>
  <si>
    <t xml:space="preserve"> Case name : Brexit-Food             5/9/2019                    Version W1.5.1</t>
  </si>
  <si>
    <t xml:space="preserve"> Case name : Tadini_Quito_anon       5/9/2019                    Version W1.5.1</t>
  </si>
  <si>
    <t xml:space="preserve"> Case name : Tadini_Clermont_anon    5/9/2019                    Version W1.5.1</t>
  </si>
  <si>
    <t xml:space="preserve">exprt01 </t>
  </si>
  <si>
    <t xml:space="preserve">exprt02 </t>
  </si>
  <si>
    <t xml:space="preserve">exprt03 </t>
  </si>
  <si>
    <t xml:space="preserve">exprt04 </t>
  </si>
  <si>
    <t xml:space="preserve">exprt05 </t>
  </si>
  <si>
    <t xml:space="preserve">exprt06 </t>
  </si>
  <si>
    <t xml:space="preserve">exprt08 </t>
  </si>
  <si>
    <t xml:space="preserve">exprt09 </t>
  </si>
  <si>
    <t xml:space="preserve">exprt10 </t>
  </si>
  <si>
    <t xml:space="preserve">exprt11 </t>
  </si>
  <si>
    <t xml:space="preserve">exprt12 </t>
  </si>
  <si>
    <t xml:space="preserve">exprt14 </t>
  </si>
  <si>
    <t xml:space="preserve">exprt22 </t>
  </si>
  <si>
    <t xml:space="preserve">exprt21 </t>
  </si>
  <si>
    <t xml:space="preserve">exprt24 </t>
  </si>
  <si>
    <t xml:space="preserve">exprt25 </t>
  </si>
  <si>
    <t xml:space="preserve">exprt26 </t>
  </si>
  <si>
    <t xml:space="preserve">exprt23 </t>
  </si>
  <si>
    <t xml:space="preserve">exprt27 </t>
  </si>
  <si>
    <t xml:space="preserve">exprt29 </t>
  </si>
  <si>
    <t xml:space="preserve"> Case name : Peyras30_10             4/22/2022                   Version W1.5.1</t>
  </si>
  <si>
    <t xml:space="preserve">exprt1  </t>
  </si>
  <si>
    <t xml:space="preserve">exprt2  </t>
  </si>
  <si>
    <t xml:space="preserve">exprt3  </t>
  </si>
  <si>
    <t xml:space="preserve">exprt4  </t>
  </si>
  <si>
    <t xml:space="preserve">exprt5  </t>
  </si>
  <si>
    <t xml:space="preserve">exprt6  </t>
  </si>
  <si>
    <t xml:space="preserve"> Case name : Nogal                   4/22/2022                   Version W1.5.1</t>
  </si>
  <si>
    <t xml:space="preserve"> Case name : Leontaris               4/22/2022                   Version W1.5.1</t>
  </si>
  <si>
    <t xml:space="preserve">Exp00   </t>
  </si>
  <si>
    <t xml:space="preserve"> Case name : GDP2300                 4/22/2022                   Version W1.5.1</t>
  </si>
  <si>
    <t xml:space="preserve"> Case name : CO2em                   4/22/2022                   Version W1.5.1</t>
  </si>
  <si>
    <t>burkina faso</t>
  </si>
  <si>
    <t>ethiopia</t>
  </si>
  <si>
    <t>rwanda</t>
  </si>
  <si>
    <t>nr experts</t>
  </si>
  <si>
    <t xml:space="preserve"> Case name : burkina faso            4/22/2022                   Version W1.5.1</t>
  </si>
  <si>
    <t>________________________________________________________________________________</t>
  </si>
  <si>
    <t>____________________________________________________________________________________________</t>
  </si>
  <si>
    <t>______</t>
  </si>
  <si>
    <t>________</t>
  </si>
  <si>
    <t>___________</t>
  </si>
  <si>
    <t>____</t>
  </si>
  <si>
    <t>exprt201</t>
  </si>
  <si>
    <t>exprt202</t>
  </si>
  <si>
    <t>exprt203</t>
  </si>
  <si>
    <t>exprt204</t>
  </si>
  <si>
    <t>exprt205</t>
  </si>
  <si>
    <t>exprt206</t>
  </si>
  <si>
    <t>exprt207</t>
  </si>
  <si>
    <t>exprt209</t>
  </si>
  <si>
    <t>exprt210</t>
  </si>
  <si>
    <t>exprt211</t>
  </si>
  <si>
    <t>exprt212</t>
  </si>
  <si>
    <t>exprt208</t>
  </si>
  <si>
    <t xml:space="preserve"> Case name : ethiopia                4/22/2022                   Version W1.5.1</t>
  </si>
  <si>
    <t>exprt101</t>
  </si>
  <si>
    <t>exprt102</t>
  </si>
  <si>
    <t>exprt103</t>
  </si>
  <si>
    <t>exprt104</t>
  </si>
  <si>
    <t>exprt105</t>
  </si>
  <si>
    <t>exprt106</t>
  </si>
  <si>
    <t>exprt107</t>
  </si>
  <si>
    <t>exprt108</t>
  </si>
  <si>
    <t>exprt109</t>
  </si>
  <si>
    <t>exprt110</t>
  </si>
  <si>
    <t>exprt111</t>
  </si>
  <si>
    <t xml:space="preserve"> Case name : rwanda                  4/22/2022                   Version W1.5.1</t>
  </si>
  <si>
    <t>exprt301</t>
  </si>
  <si>
    <t>exprt302</t>
  </si>
  <si>
    <t>exprt303</t>
  </si>
  <si>
    <t>exprt304</t>
  </si>
  <si>
    <t>exprt305</t>
  </si>
  <si>
    <t>exprt306</t>
  </si>
  <si>
    <t>exprt307</t>
  </si>
  <si>
    <t>exprt308</t>
  </si>
  <si>
    <t>exprt309</t>
  </si>
  <si>
    <t>uni</t>
  </si>
  <si>
    <t>ETECF111......</t>
  </si>
  <si>
    <t>ETECF212......</t>
  </si>
  <si>
    <t>ETECF313......</t>
  </si>
  <si>
    <t>ETECF414......</t>
  </si>
  <si>
    <t>ETECF515......</t>
  </si>
  <si>
    <t>ETECF616......</t>
  </si>
  <si>
    <t>ETECF717......</t>
  </si>
  <si>
    <t>ETECF818......</t>
  </si>
  <si>
    <t>ETECF919......</t>
  </si>
  <si>
    <t>ETECV120......</t>
  </si>
  <si>
    <t>ETECV221......</t>
  </si>
  <si>
    <t>ETECV322......</t>
  </si>
  <si>
    <t>ETECV423......</t>
  </si>
  <si>
    <t>ETECV524......</t>
  </si>
  <si>
    <t>ETECV625......</t>
  </si>
  <si>
    <t>ETECV726......</t>
  </si>
  <si>
    <t>ETECV827......</t>
  </si>
  <si>
    <t>SALMV128......</t>
  </si>
  <si>
    <t>SALMV229......</t>
  </si>
  <si>
    <t>SALMV330......</t>
  </si>
  <si>
    <t>SALMV431......</t>
  </si>
  <si>
    <t>SALMV532......</t>
  </si>
  <si>
    <t>SALMV633......</t>
  </si>
  <si>
    <t>SALMV734......</t>
  </si>
  <si>
    <t>SALMV835......</t>
  </si>
  <si>
    <t>SALMP136......</t>
  </si>
  <si>
    <t>SALMP237......</t>
  </si>
  <si>
    <t>SALMP338......</t>
  </si>
  <si>
    <t>CAMPP139......</t>
  </si>
  <si>
    <t>CAMPP240......</t>
  </si>
  <si>
    <t>CAMPP341......</t>
  </si>
  <si>
    <t>CAMPD111......</t>
  </si>
  <si>
    <t>CAMPD212......</t>
  </si>
  <si>
    <t>CAMPD313......</t>
  </si>
  <si>
    <t>CAMPD414......</t>
  </si>
  <si>
    <t>CAMPD515......</t>
  </si>
  <si>
    <t>CAMPD616......</t>
  </si>
  <si>
    <t>CAMPD717......</t>
  </si>
  <si>
    <t>SALMD118......</t>
  </si>
  <si>
    <t>SALMD219......</t>
  </si>
  <si>
    <t>SALMD320......</t>
  </si>
  <si>
    <t>SALMD421......</t>
  </si>
  <si>
    <t>SALMD522......</t>
  </si>
  <si>
    <t>SALMD623......</t>
  </si>
  <si>
    <t>SALMD724......</t>
  </si>
  <si>
    <t>BRUCD125......</t>
  </si>
  <si>
    <t>BRUCD126......</t>
  </si>
  <si>
    <t>BRUCD327......</t>
  </si>
  <si>
    <t>BRUCD428......</t>
  </si>
  <si>
    <t>BRUCD529......</t>
  </si>
  <si>
    <t>BRUCD630......</t>
  </si>
  <si>
    <t>BRUCD731......</t>
  </si>
  <si>
    <t>CRYPD132......</t>
  </si>
  <si>
    <t>CRYPD233......</t>
  </si>
  <si>
    <t>CRYPD334......</t>
  </si>
  <si>
    <t>CRYPD435......</t>
  </si>
  <si>
    <t>CRYPD536......</t>
  </si>
  <si>
    <t>CRYPD637......</t>
  </si>
  <si>
    <t>CRYPD738......</t>
  </si>
  <si>
    <t>MBOVD139......</t>
  </si>
  <si>
    <t>MBOVD240......</t>
  </si>
  <si>
    <t>MBOVD341......</t>
  </si>
  <si>
    <t>MBOVD442......</t>
  </si>
  <si>
    <t>MBOVD543......</t>
  </si>
  <si>
    <t>MBOVD644......</t>
  </si>
  <si>
    <t>MBOVD745......</t>
  </si>
  <si>
    <t>Arkansas.txt</t>
  </si>
  <si>
    <t>Arsenic D-R.txt</t>
  </si>
  <si>
    <t>ATCEP.txt</t>
  </si>
  <si>
    <t>Biol agents.txt</t>
  </si>
  <si>
    <t>CDC ROI.txt</t>
  </si>
  <si>
    <t>CoveringKids.txt</t>
  </si>
  <si>
    <t>CREATE.txt</t>
  </si>
  <si>
    <t>CWD.txt</t>
  </si>
  <si>
    <t>Daniela.txt</t>
  </si>
  <si>
    <t>dcpn_fistula.txt</t>
  </si>
  <si>
    <t>eBBP.txt</t>
  </si>
  <si>
    <t>Eff_Erupt.txt</t>
  </si>
  <si>
    <t>FCEP.txt</t>
  </si>
  <si>
    <t>Florida.txt</t>
  </si>
  <si>
    <t>Gerstenberger.txt</t>
  </si>
  <si>
    <t>GL-NIS.txt</t>
  </si>
  <si>
    <t>Goodheart.txt</t>
  </si>
  <si>
    <t>Hemophilia.txt</t>
  </si>
  <si>
    <t>Illinois.txt</t>
  </si>
  <si>
    <t>liander.txt</t>
  </si>
  <si>
    <t>Nebraska.txt</t>
  </si>
  <si>
    <t>PHAC_T4.txt</t>
  </si>
  <si>
    <t>San Diego.txt</t>
  </si>
  <si>
    <t>Sheep.txt</t>
  </si>
  <si>
    <t>SPEED.txt</t>
  </si>
  <si>
    <t>TdC.txt</t>
  </si>
  <si>
    <t>tobacco.txt</t>
  </si>
  <si>
    <t>Topaz.txt</t>
  </si>
  <si>
    <t>Washington.txt</t>
  </si>
  <si>
    <t>BFIQ.txt</t>
  </si>
  <si>
    <t>IQEarn.txt</t>
  </si>
  <si>
    <t>USGS.txt</t>
  </si>
  <si>
    <t>UK.txt</t>
  </si>
  <si>
    <t>Spain.txt</t>
  </si>
  <si>
    <t>Italy.txt</t>
  </si>
  <si>
    <t>France.txt</t>
  </si>
  <si>
    <t>Puig-GDP.txt</t>
  </si>
  <si>
    <t>Puig-oil.txt</t>
  </si>
  <si>
    <t>PoliticalViolence.txt</t>
  </si>
  <si>
    <t>Brexit food.txt</t>
  </si>
  <si>
    <t>Tadini Quito.txt</t>
  </si>
  <si>
    <t>Tadini Clermont.txt</t>
  </si>
  <si>
    <t>Peyras30.txt</t>
  </si>
  <si>
    <t>Nogal.txt</t>
  </si>
  <si>
    <t>Leontaris.txt</t>
  </si>
  <si>
    <t>GDP2300.txt</t>
  </si>
  <si>
    <t>CO2em.txt</t>
  </si>
  <si>
    <t>burkina faso.txt</t>
  </si>
  <si>
    <t>ethiopia.txt</t>
  </si>
  <si>
    <t>rwanda.txt</t>
  </si>
  <si>
    <t>study</t>
  </si>
  <si>
    <t>GeoPol.txt</t>
  </si>
  <si>
    <t>CDC_All.txt</t>
  </si>
  <si>
    <t>ICE_2018.txt</t>
  </si>
  <si>
    <t>obesity.txt</t>
  </si>
  <si>
    <t>Style</t>
  </si>
  <si>
    <t>Field</t>
  </si>
  <si>
    <t>Date</t>
  </si>
  <si>
    <t>umd</t>
  </si>
  <si>
    <t>CDC_All</t>
  </si>
  <si>
    <t>GeoPol</t>
  </si>
  <si>
    <t>NoOp SA</t>
  </si>
  <si>
    <t>pwg SA</t>
  </si>
  <si>
    <t>pwi SA</t>
  </si>
  <si>
    <t>ew SA</t>
  </si>
  <si>
    <t>Erie Carps</t>
  </si>
  <si>
    <t>Erie Carps.txt</t>
  </si>
  <si>
    <t>Ice_2012.txt</t>
  </si>
  <si>
    <t>umd.txt</t>
  </si>
  <si>
    <t>UNI</t>
  </si>
  <si>
    <t>Attribution study for Robert Wood Johnson Covering Kids &amp; Families in Pennsylvania, Washington, Nebraska, Illinois, Arkansas, and Florida, conducted by Center for Disease Dynamics, Economics &amp; Policy, 2012.</t>
  </si>
  <si>
    <t>Hanzich, J.M. (2007) Achieving Consensus: An Analysis Of Methods To Synthesize Epidemiological Data For Use In Law And Policy.  Department of Public Health &amp; Primary Care, Institute Of Public Health, University of Cambridge; unpublished MPhil thesis, 66pp + appendices.</t>
  </si>
  <si>
    <t>Morales-Nápoles, O., Kurowicka, D., &amp; Cooke, R. (2008). EEMCS final report for the causal modeling for air transport Safety (CATS) project.</t>
  </si>
  <si>
    <t>Colson, A. Cooke, R.M., Lutter, Randall, (2016) How Does Breastfeeding Affect IQ? Applying the Classical Model of Structured Expert Judgment, Resources for the Future, RFF DP16-28  http://www.rff.org/research/publications/how-does-breastfeeding-affect-iq-applying-classical-model-structured-expert</t>
  </si>
  <si>
    <t>Aspinall &amp; Associates (2006). REBA Elicitation. Commercial-in-confidence report, 26pp.</t>
  </si>
  <si>
    <t>Barons MJ, Aspinall W. (2020) Anticipated impacts of Brexit scenarios on UK food prices and implications for policies on  poverty and health: a structured expert judgement approach. BMJ Open 2020;10:e032376. doi:10.1136/  bmjopen-2019-032376</t>
  </si>
  <si>
    <t>Colson, Abigail R., M.A. Cohen, S. Regmi, A. Nandi, R. Laxminarayan (2015) “Structured Expert Judgment for Informing the Return on Investment in Surveillance: The Case of Environmental Public Health Tracking.” Working Paper. Center for Disease Dynamics, Economics &amp; Policy.</t>
  </si>
  <si>
    <t>Bier V.M, Kosanoglu, F, Shin J, unpublished data, nd.</t>
  </si>
  <si>
    <t xml:space="preserve">Tyshenko, M.G., Elsaadany, S., Oraby, T., Darshan, S., Catford, A., Aspinall, W., Cooke, R. and Krewski, D. (2012) Expert judgement and re-elicitation for prion disease risk uncertainties. International Journal of Risk Assessment and Management, 16(1-3), 48-77. doi:10.1504/IJRAM.2012.047552 </t>
  </si>
  <si>
    <t>Tyshenko, M.G., S. Elsaadany, T. Oraby, S. Darshan, W. Aspinall, R. Cooke, A. Catford, and D. Krewski (2011) Expert elicitation for the judgment of prion disease risk uncertainties. J Toxicol Environ Health A.; 74(2-4):261-285.</t>
  </si>
  <si>
    <t>Oraby,T., Tyshenko, M.G., Westphal, M., Darshan, S., Croteau, M., Aspinall, W., Elsaadany, S., Cashman, N. and Krewski, D. (2011) Using Expert Judgments to Improve Chronic Wasting Disease Risk Management in Canada.  Journal of Toxicology and Environmental Health, in press. Volume 74, Issue 2-4, 2011 Special Issue:   Prion Research in Perspective 2010</t>
  </si>
  <si>
    <t>Hanea, Daniela (2009) Human Damage in Building Fires: Building up a decision support tool, TU Delft PhD Thesis</t>
  </si>
  <si>
    <r>
      <t xml:space="preserve">Tyshenko, M.G., S. Elsaadany, T. Oraby, M. Laderoute, J. Wu, W. Aspinall and D. Krewski (2011)  Risk Assessment and Management of Emerging Blood-Borne Pathogens in Canada: Xenotropic Murine Leukaemia Virus-Related Virus as a Case Study for the Use of a Precautionary Approach. Chapter in: </t>
    </r>
    <r>
      <rPr>
        <i/>
        <sz val="8"/>
        <color rgb="FF000000"/>
        <rFont val="Times New Roman"/>
        <family val="1"/>
      </rPr>
      <t>Risk Assessment</t>
    </r>
    <r>
      <rPr>
        <sz val="8"/>
        <color rgb="FF000000"/>
        <rFont val="Times New Roman"/>
        <family val="1"/>
      </rPr>
      <t xml:space="preserve"> (ISBN 979-953-307-765-8).</t>
    </r>
  </si>
  <si>
    <r>
      <t>Cashman, N.R., Cheung, R., Aspinall, W., Wong, M. and Kr</t>
    </r>
    <r>
      <rPr>
        <i/>
        <sz val="8"/>
        <color rgb="FF000000"/>
        <rFont val="Times New Roman"/>
        <family val="1"/>
      </rPr>
      <t>ew</t>
    </r>
    <r>
      <rPr>
        <sz val="8"/>
        <color rgb="FF000000"/>
        <rFont val="Times New Roman"/>
        <family val="1"/>
      </rPr>
      <t xml:space="preserve">ski, D. (2014) Expert Elicitation for the Judgment of Prion Disease Risk Uncertainties associated with Urine-derived and Recombinant Fertility Drugs.  </t>
    </r>
  </si>
  <si>
    <r>
      <t>Aspinall, W.P. (2012) Comment on “Social studies of volcanology: knowledge generation and expert advice on active volcanoes” by Amy Donovan, Clive Oppenheimer and Michael Bravo [</t>
    </r>
    <r>
      <rPr>
        <i/>
        <sz val="8"/>
        <color rgb="FF000000"/>
        <rFont val="Times New Roman"/>
        <family val="1"/>
      </rPr>
      <t>Bull Volcanol</t>
    </r>
    <r>
      <rPr>
        <sz val="8"/>
        <color rgb="FF000000"/>
        <rFont val="Times New Roman"/>
        <family val="1"/>
      </rPr>
      <t xml:space="preserve"> (2012) 74:677-689] Bulletin of Volcanology, 74, 1569-1570. doi: 10.1007/s00445-012-0625-x</t>
    </r>
  </si>
  <si>
    <t>Cooke,  R.M., Wittmann, M.E., Lodge, D.M., Rothlisberger, J.D., Rutherford E.S., Zhang, H. and Mason, D.M. (2014)  "Out-of-sample Validation for Structured Expert Judgment of Asian Carp Establishment in Lake Erie", Integrated Environmental Assessment and Management, open access. DOI: 10.1002/ieam.1559</t>
  </si>
  <si>
    <t>Zhang, H, Rutherford E.S., Mason, D.M., Breck, J,T,, Wittmann M.E., Cooke R.M., Lodge D.M.,  Rothlisberger J.D., Zhu X., and Johnson, T B., (2015) Forecasting the Impacts of Silver and Bighead Carp on the Lake Erie Food Web,  Transactions of the American Fisheries Society, Volume 145, Issue 1, pp 136-162, DOI:10.1080/00028487.2015.1069211</t>
  </si>
  <si>
    <t>Abigail R. Colson, Itamar Megiddo, Gerardo Alvarez-Uria, Sumanth Gandra, Tim Bedford, Alec Morton, Roger M. Cooke , Ramanan Laxminarayan (ns). “Quantifying Uncertainty about Future Antimicrobial Resistance: Comparing Structured Expert Judgment and Statistical Forecasting Methods.”</t>
  </si>
  <si>
    <t>Gerstenberger, M.C.; McVerry, G.H.; Rhoades, D.A.; Stirling, M.W. (2014) Seismic hazard modeling for the recovery of Christchurch,new Zealand.Earthquake Spectra, 30(1): 17-29; doi: 10.1193/021913EQS037M</t>
  </si>
  <si>
    <t>Gerstenberger, M.C.; Christophersen, A.; Buxton, R.; Allinson, G.; Hou, W.; Leamon, G.; Nicol, A. (2013) Integrated risk assessment for CCS. p. 2775-2782; doi: 10.1016/j.egypro.2013.06.162 IN: Dixon, T.; Yamaji, K. (eds) 11th International Conference on Greenhouse Gas Control Technologies, 18th-22nd November 2012, Kyoto International Conference Center, Japan. Elsevier. Energy procedia 37</t>
  </si>
  <si>
    <t>Rothlisberger,J.D. Finnoff, D.C. Cooke,R.M. and Lodge, D.M.  (2012) “Ship-borne nonindigenous species diminish Great Lakes ecosystem services” Ecosystems (2012) 15: 462–476 DOI: 10.1007/s10021-012-9522-6</t>
  </si>
  <si>
    <t>Rothlisberger, J.D., Lodge, D.M. Cooke, R.M. and Finnoff, D.C. (2009) “Future declines of the binational Laurentian Great Lakes fisheries: recognizing the  importance of environmental and cultural change” Frontiers in Ecology and the Environment; doi:10.1890/090002</t>
  </si>
  <si>
    <t>Goodheart, B. (2013). Identification of causal paths and prediction of runway incursion risk by means of Bayesian belief networks. Transportation Research Record: Journal of the Transportation Research Board, (2400), 9-20.</t>
  </si>
  <si>
    <t>Fischer K, Lewandowski D, Janssen MP. Estimating unknown parameters in haemophilia using expert judgement elicitation. Haemophilia. 2013 Sep;19(5):e282-e288.</t>
  </si>
  <si>
    <t xml:space="preserve">Bamber, J.L., and Aspinall, W.P., (2012) An expert judgement assessment of future sea 1evel rise from the ice sheets, Nature Climate Change,  DOI: 10.1038/NCLIMATE1778. </t>
  </si>
  <si>
    <t xml:space="preserve">Bamber, J. L., Oppenheimer, Kopp, R. E.,  Aspinall, W.P., Cooke, Roger M.,  (2019) Ice sheet contributions to future sea level rise from structured expert judgement, PNAS first published May 20, 2019 </t>
  </si>
  <si>
    <t>Randall Lutter, Abigail Colson, and Roger Cooke (ns), (ns), “Effects of Increases in IQ in India on the Present Value of Lifetime Earnings</t>
  </si>
  <si>
    <t>Forys, M.B., Kurowicka, D., Peppelman, B.(2013) "A probabilistic model for a gas explosion due to leakages in the grey cast iron gas mains" Reliability Engineering &amp; System safety volume 119, issue , year 2013, pp. 270 - 279.</t>
  </si>
  <si>
    <t>Colson, Abigail R., R.M. Cooke, R. Laxminarayan. (2015) “Attributing Impact to a Charitable Foundation’s Programs with Structured Expert Judgment.” Working Paper. Center for Disease Dynamics, Economics &amp; Policy.</t>
  </si>
  <si>
    <r>
      <t>Oraby,T., Tyshenko, M.G., Westphal, M., Darshan, S., Croteau, M., Aspinall, W., Elsaadany, S., Cashman, N. and Kr</t>
    </r>
    <r>
      <rPr>
        <i/>
        <sz val="8"/>
        <color rgb="FF000000"/>
        <rFont val="Times New Roman"/>
        <family val="1"/>
      </rPr>
      <t>ew</t>
    </r>
    <r>
      <rPr>
        <sz val="8"/>
        <color rgb="FF000000"/>
        <rFont val="Times New Roman"/>
        <family val="1"/>
      </rPr>
      <t xml:space="preserve">ski, D. (2011) Using Expert Judgments to Improve Chronic Wasting Disease Risk Management in Canada.  Journal of Toxicology and Environmental Health, in press. </t>
    </r>
    <r>
      <rPr>
        <sz val="8"/>
        <color theme="1"/>
        <rFont val="Times New Roman"/>
        <family val="1"/>
      </rPr>
      <t>Volume 74</t>
    </r>
    <r>
      <rPr>
        <sz val="8"/>
        <color rgb="FF000000"/>
        <rFont val="Times New Roman"/>
        <family val="1"/>
      </rPr>
      <t>, </t>
    </r>
    <r>
      <rPr>
        <sz val="8"/>
        <color theme="1"/>
        <rFont val="Times New Roman"/>
        <family val="1"/>
      </rPr>
      <t>Issue 2-4</t>
    </r>
    <r>
      <rPr>
        <sz val="8"/>
        <color rgb="FF000000"/>
        <rFont val="Times New Roman"/>
        <family val="1"/>
      </rPr>
      <t xml:space="preserve">, 2011 </t>
    </r>
    <r>
      <rPr>
        <sz val="8"/>
        <color theme="1"/>
        <rFont val="Times New Roman"/>
        <family val="1"/>
      </rPr>
      <t>Special Issue:   Prion Research in Perspective 2010</t>
    </r>
  </si>
  <si>
    <t>Puig, D., Morales-Nápoles, O., Bakhtiari, F., &amp; Landa, G. (2018). The accountability imperative for quantifying the uncertainty of emission forecasts: evidence from Mexico. Climate Policy, 18(6), 742-751.</t>
  </si>
  <si>
    <t>Hincks, T., Aspinall, W. and Stone, J. (2015) Expert judgement elicitation exercise to evaluate Sheep Scab control measures: Results of the Bayesian Belief Network analysis. University of Bristol PURE Repository Working Paper (forthcoming).</t>
  </si>
  <si>
    <t xml:space="preserve">Hicks, A., Barclay, J., Simmons, P. and Loughlin, S. (2014). "An interdisciplinary approach to volcanic risk reduction under conditions of uncertainty: a case study of Tristan da Cunha." Nat. Hazards Earth Syst. Sci. 14(7): 1871-1887. Doi: 10.5194/nhess-14-1871-2014. www.nat-hazards-earth-syst-sci-discuss.net/1/7779/2013/ </t>
  </si>
  <si>
    <t>Tadini, A., M. Bisson, A. Neri, R. Cioni, A. Bevilacqua and W. P. Aspinall (2017), Assessing future vent opening locations at the Somma‐Vesuvio volcanic complex: 1. Anew information geodatabase with uncertainty characterizations, J. Geophys. Res. Solid Earth, 122, doi:10.1002/2016JB013858.</t>
  </si>
  <si>
    <t>Bevilacqua, A., Isaia, R., Neri, A., Vitale, S., Aspinall, W.P. and eight others (2015) Quantifying volcanic hazard at Campi Flegrei caldera (Italy) with uncertainty assessment: I. Vent opening maps. Journal of Geophysical Research - Solid Earth; AGU.</t>
  </si>
  <si>
    <t>Tadini, A., M. Bisson, A. Neri, R. Cioni, A. Bevilacqua and W. P. Aspinall (2017), Assessing future vent opening locations at the Somma‐Vesuvio volcanic complex: 1. A new information geodatabase with uncertainty characterizations, J. Geophys. Res. Solid Earth, 122, doi:10.1002/2016JB013858.</t>
  </si>
  <si>
    <t>Scourse, E., Aspinall, W.P. and Chapman, N. (2014) Using expert elicitation to characterise long-term tectonic risks to radioactive waste repositories in Japan. Journal of Risk Research, doi: 10.1080/13669877.2014.971334</t>
  </si>
  <si>
    <t>Koch, Benjamin J., Filoso, S., Cooke, R. M.  Hosen, J. D., Colson, A.R. Febria, Catherine M., Palmer, M. A. , (2015) Nitrogen in stormwater runoff from Coastal Plain watersheds: The need for empirical data, reply to Walsh , Elementa DOI 10.12952/journal.elementa.000079. https://www.elementascience.org/articles/79</t>
  </si>
  <si>
    <t>Koch, Benjamin J., Febria, Catherine M. , Cooke, Roger M.  Hosen, Jacob D. , Baker, Matthew E. , Colson, Abigail R.  Filoso, Solange, Hayhoe, Katharine, Loperfido, J.V. , Stoner, Anne M.K. ,  Palmer, Margaret A. , (2015) Suburban watershed nitrogen retention: Estimating the effectiveness of storm water management structures, Elementa, DOI 10.12952/journal.elementa.000063 https://www.elementascience.org/articles/63</t>
  </si>
  <si>
    <t>Newhall, C. G., &amp; Pallister, J. S. (2015). Using multiple data sets to populate probabilistic volcanic event trees. In Volcanic Hazards, Risks and Disasters (pp. 203-232).</t>
  </si>
  <si>
    <t>Michel Hathout, Marc Vuillet, Claudio Carvajal, Laurent Peyras, Youssef Diab (2019) Expert judgments calibration and combination for assessment of river levee failure probability Reliability Engineering &amp; System Safety Volume 188, August 2019, Pages 377-392</t>
  </si>
  <si>
    <t>Rennert, Kevin, Prest, Brian, Pizer, William, Newell, Richard, Anthoff, David, Kingdon, Cora,  Rennels, Lisa, Cooke, Roger, Raftery, Adrian E.  Ševčíková, Hana and Errickson, Frank (2021) The Social Cost of Carbon: Advances in Long-Term Probabilistic Projections of Population, GDP, Emissions, and Discount Rates with online appendix, Brookings Papers on Economic Activity Working Paper (21-28) Sept 9, 2021</t>
  </si>
  <si>
    <t>obesity</t>
  </si>
  <si>
    <t xml:space="preserve">Beshearse, Elizabeth, Beau B. Bruce, Gabriela F. Nane, Roger M. Cooke, Willy Aspinall, Tine Hald, Stacy M. Crim, Patricia M. Griffin, Kathleen E. Fullerton, Sarah A. Collier, Katharine M. Benedict, Michael J. Beach, Aron J. Hall, Arie H. Havelaar (2021) “Attribution of Illnesses Transmitted by Food and Water to Comprehensive Transmission Pathways Using Structured Expert Judgment, United States” , Emerging Infectious Diseases • www.cdc.gov/eid • Vol. 27, No. 1, January 2021, DOI: https://doi.org/10.3201/eid2701.200316  </t>
  </si>
  <si>
    <t>Colson, Abigail R., Sweta Adhikari, Ambereen Sleemi, and Ramanan Laxminarayan. (2015) “Quantifying Uncertainty in Intervention Effectiveness with Structured Expert Judgment: An Application to Obstetric Fistula.” BMJ Open, 1–8. doi:10.1136/bmjopen-2014-007233</t>
  </si>
  <si>
    <t>Attribution study for Robert Wood Johnson Covering Kids &amp; Families in Pennsylvania, Washington, Nebraska, Illinois, Arkansas, and Florida, conducted by Center for Disease Dynamics, Economics &amp; Policy, 2012</t>
  </si>
  <si>
    <t>Ismail, Raveem and Ried, Scott (2015) “Ask the Experts” , The Actuary, the official magazine of the Institute and Faculty of Actuaries 6/15/2016.</t>
  </si>
  <si>
    <t>Gerstenberger, M. C., et al. (2016). "A Hybrid Time‐Dependent Probabilistic Seismic‐Hazard Model for Canterbury,new Zealand." Seismological Research Letters. Vol. 87 Doi: 10.1785/0220160084April 22 2022</t>
  </si>
  <si>
    <t xml:space="preserve"> Case name : Arkansas                4/23/2022                   Version W1.5.1</t>
  </si>
  <si>
    <t>BE P-value</t>
  </si>
  <si>
    <t>WE P value</t>
  </si>
  <si>
    <t xml:space="preserve"> Case name : Arsenic D-R             4/23/2022                   Version W1.5.1</t>
  </si>
  <si>
    <t xml:space="preserve"> Case name : ATCEP                   4/23/2022                   Version W1.5.1</t>
  </si>
  <si>
    <t xml:space="preserve"> Case name : Biol agents             4/23/2022                   Version W1.5.1</t>
  </si>
  <si>
    <t xml:space="preserve"> Case name : CDC ROI                 4/23/2022                   Version W1.5.1</t>
  </si>
  <si>
    <t xml:space="preserve"> Case name : CDC_All                 9/13/2017                   Version W1.5.1</t>
  </si>
  <si>
    <t xml:space="preserve"> Case name : CoveringKids            4/23/2022                   Version W1.5.1</t>
  </si>
  <si>
    <t xml:space="preserve"> Case name : CREATE                  4/23/2022                   Version W1.5.1</t>
  </si>
  <si>
    <t xml:space="preserve"> Case name : CWD                     4/23/2022                   Version W1.5.1</t>
  </si>
  <si>
    <t xml:space="preserve"> Case name : Daniela                 4/23/2022                   Version W1.5.1</t>
  </si>
  <si>
    <t xml:space="preserve"> Case name : dcpn_fistula            4/23/2022                   Version W1.5.1</t>
  </si>
  <si>
    <t xml:space="preserve"> Case name : eBBP                    4/23/2022                   Version W1.5.1</t>
  </si>
  <si>
    <t xml:space="preserve"> Case name : EffusiveErupt           4/23/2022                   Version W1.5.1</t>
  </si>
  <si>
    <t xml:space="preserve"> Case name : Erie Carps              4/23/2022                   Version W1.5.1</t>
  </si>
  <si>
    <t xml:space="preserve"> Case name : FCEP                    4/23/2022                   Version W1.5.1</t>
  </si>
  <si>
    <t xml:space="preserve"> Case name : Florida                 4/23/2022                   Version W1.5.1</t>
  </si>
  <si>
    <t xml:space="preserve"> Case name : GeoPol                9/13/2017                   Version W1.5.1</t>
  </si>
  <si>
    <t xml:space="preserve"> Case name : Gerstenberger_seeds     4/22/2022                   Version W1.5.1</t>
  </si>
  <si>
    <t xml:space="preserve"> Case name : GL-NIS                  4/23/2022                   Version W1.5.1</t>
  </si>
  <si>
    <t xml:space="preserve"> Case name : Goodheart               4/23/2022                   Version W1.5.1</t>
  </si>
  <si>
    <t xml:space="preserve"> Case name : Hemophilia              5/9/2019                    Version W1.5.1</t>
  </si>
  <si>
    <t xml:space="preserve"> Case name : ICE_2018                5/10/2019                   Version W1.5.1</t>
  </si>
  <si>
    <t xml:space="preserve"> Case name : Ice_2012                4/23/2022                   Version W1.5.1</t>
  </si>
  <si>
    <t xml:space="preserve"> Bayesian Updates: no      Weights:  item       DM Optimisation:  yes </t>
  </si>
  <si>
    <t xml:space="preserve"> Significance Level:      0.3265    Calibration Power:           1</t>
  </si>
  <si>
    <t xml:space="preserve"> Case name : Illinois                4/23/2022                   Version W1.5.1</t>
  </si>
  <si>
    <t xml:space="preserve"> Case name : iqearnings              5/9/2019                    Version W1.5.1</t>
  </si>
  <si>
    <t xml:space="preserve"> Case name : liander                 4/23/2022                   Version W1.5.1</t>
  </si>
  <si>
    <t xml:space="preserve"> Case name : Nebraska                4/23/2022                   Version W1.5.1</t>
  </si>
  <si>
    <t xml:space="preserve"> Case name : obesity                 4/23/2022                   Version W1.5.1</t>
  </si>
  <si>
    <t xml:space="preserve"> Case name : PHAC 2009 final         4/23/2022                   Version W1.5.1</t>
  </si>
  <si>
    <t xml:space="preserve"> Case name : San Diego               4/23/2022                   Version W1.5.1</t>
  </si>
  <si>
    <t xml:space="preserve"> Case name : Sheep Scab              4/23/2022                   Version W1.5.1</t>
  </si>
  <si>
    <t xml:space="preserve"> Case name : SPEED                   4/23/2022                   Version W1.5.1</t>
  </si>
  <si>
    <t xml:space="preserve"> Case name : TdC                     4/23/2022                   Version W1.5.1</t>
  </si>
  <si>
    <t xml:space="preserve"> Case name : tobacco                 4/23/2022                   Version W1.5.1</t>
  </si>
  <si>
    <t xml:space="preserve"> Case name : Topaz                   4/23/2022                   Version W1.5.1</t>
  </si>
  <si>
    <t xml:space="preserve"> Case name : umd           4/23/2022                   Version W1.5.1</t>
  </si>
  <si>
    <t xml:space="preserve"> Case name : Washington              4/23/2022                   Version W1.5.1</t>
  </si>
  <si>
    <t>expertnr</t>
  </si>
  <si>
    <t>expert</t>
  </si>
  <si>
    <t>P-value</t>
  </si>
  <si>
    <t>Information</t>
  </si>
  <si>
    <t>Comb</t>
  </si>
  <si>
    <t>nr seeds</t>
  </si>
  <si>
    <t>Brexit Food</t>
  </si>
  <si>
    <t>Tadini_Clermont.txt</t>
  </si>
  <si>
    <t>Tadini_Quito.txt</t>
  </si>
  <si>
    <t>politicalviolence</t>
  </si>
  <si>
    <t>Puig-gdp</t>
  </si>
  <si>
    <t>puig-oil</t>
  </si>
  <si>
    <t>Original Expert panel</t>
  </si>
  <si>
    <t>min SA</t>
  </si>
  <si>
    <t>rijn_faalkansen</t>
  </si>
  <si>
    <t>failure prob of dijks on Rhine tributaries</t>
  </si>
  <si>
    <t xml:space="preserve">Rongen et al (2022) Expert judgment-based reliability analysis of the Dutch flood defense system  https://www.sciencedirect.com/science/article/pii/S0951832022001880 </t>
  </si>
  <si>
    <t>Reststerkte Ov</t>
  </si>
  <si>
    <t>Afvoer Lobith</t>
  </si>
  <si>
    <t>Windsnelheid D</t>
  </si>
  <si>
    <t>Waterstandsver</t>
  </si>
  <si>
    <t>Tyfoon Hagibis</t>
  </si>
  <si>
    <t>Pipingdebiet</t>
  </si>
  <si>
    <t>Doorlatendheid</t>
  </si>
  <si>
    <t>Correlatie Maa</t>
  </si>
  <si>
    <t xml:space="preserve"> Case name : rijn_faalkansen         5/6/2022                    Version W1.5.1</t>
  </si>
  <si>
    <t>public health</t>
  </si>
  <si>
    <t>sci / engineering</t>
  </si>
  <si>
    <t>Policy</t>
  </si>
  <si>
    <t>individual</t>
  </si>
  <si>
    <t>plenary</t>
  </si>
  <si>
    <t>elicitation style</t>
  </si>
  <si>
    <t>percentiles</t>
  </si>
  <si>
    <t>5 / 50 / 95</t>
  </si>
  <si>
    <t>5 / 25 / 50 / 75 / 95</t>
  </si>
  <si>
    <t>Public Health</t>
  </si>
  <si>
    <t>Sci / Engineering</t>
  </si>
  <si>
    <t xml:space="preserve"> Case name : Cotopaxi_2019           11/23/2022                  Version W1.5.1</t>
  </si>
  <si>
    <t xml:space="preserve"> Case name : PitonDeLaFournaise_2021 11/23/2022                  Version W1.5.1</t>
  </si>
  <si>
    <t xml:space="preserve">Exp22   </t>
  </si>
  <si>
    <t xml:space="preserve">Exp23   </t>
  </si>
  <si>
    <t xml:space="preserve">Exp24   </t>
  </si>
  <si>
    <t xml:space="preserve">Exp25   </t>
  </si>
  <si>
    <t xml:space="preserve">Exp26   </t>
  </si>
  <si>
    <t xml:space="preserve">Exp27   </t>
  </si>
  <si>
    <t xml:space="preserve">Exp28   </t>
  </si>
  <si>
    <t xml:space="preserve">Exp29   </t>
  </si>
  <si>
    <t xml:space="preserve">Exp30   </t>
  </si>
  <si>
    <t xml:space="preserve">Exp31   </t>
  </si>
  <si>
    <t>Cotopaxi</t>
  </si>
  <si>
    <t>Piton</t>
  </si>
  <si>
    <t>LOG</t>
  </si>
  <si>
    <t>Q1_ST_tc</t>
  </si>
  <si>
    <t>Q2_ST_tc</t>
  </si>
  <si>
    <t>Q3_ST_tc</t>
  </si>
  <si>
    <t>Q4_</t>
  </si>
  <si>
    <t>Q5_ST_tc</t>
  </si>
  <si>
    <t>Q6_ST_tc</t>
  </si>
  <si>
    <t>Q7_ST_tc</t>
  </si>
  <si>
    <t>Q8_ST_tc</t>
  </si>
  <si>
    <t>Q9_ST_tc</t>
  </si>
  <si>
    <t>Q10_ST_tc</t>
  </si>
  <si>
    <t>Q11_tc</t>
  </si>
  <si>
    <t>Q12_tc</t>
  </si>
  <si>
    <t>Q13_tc</t>
  </si>
  <si>
    <t>Q14_tc</t>
  </si>
  <si>
    <t>Q15_tc</t>
  </si>
  <si>
    <t>Q16_tc</t>
  </si>
  <si>
    <t>Q17_tc</t>
  </si>
  <si>
    <t>Q18_tc</t>
  </si>
  <si>
    <t>Q19_tc</t>
  </si>
  <si>
    <t>Q20_tc</t>
  </si>
  <si>
    <t>Q21_tc</t>
  </si>
  <si>
    <t>Q22_tc</t>
  </si>
  <si>
    <t>Q23_tc</t>
  </si>
  <si>
    <t>Q24_tc</t>
  </si>
  <si>
    <t>Q25_tc</t>
  </si>
  <si>
    <t>Q26_tc</t>
  </si>
  <si>
    <t>Q27_tc</t>
  </si>
  <si>
    <t>Q28_tc</t>
  </si>
  <si>
    <t>Q11_s</t>
  </si>
  <si>
    <t>Q1_LT_tc</t>
  </si>
  <si>
    <t>Q2_LT_tc</t>
  </si>
  <si>
    <t>Q3_LT_tc</t>
  </si>
  <si>
    <t>Q4_LT_tc</t>
  </si>
  <si>
    <t>Q5_LT_tc</t>
  </si>
  <si>
    <t>Q6_LT_tc</t>
  </si>
  <si>
    <t>Q7_LT_tc</t>
  </si>
  <si>
    <t>Q8_LT_tc</t>
  </si>
  <si>
    <t>Q9_LT_tc</t>
  </si>
  <si>
    <t>Q10_LT_tc</t>
  </si>
  <si>
    <t>cotopaxi</t>
  </si>
  <si>
    <t>piton</t>
  </si>
  <si>
    <t>Q14_s</t>
  </si>
  <si>
    <t>Q16_s</t>
  </si>
  <si>
    <t>Q1_p1</t>
  </si>
  <si>
    <t>Q2_p1</t>
  </si>
  <si>
    <t>Q3_p1</t>
  </si>
  <si>
    <t>Q1_p2</t>
  </si>
  <si>
    <t>Q2_p2</t>
  </si>
  <si>
    <t>Q3_p2</t>
  </si>
  <si>
    <t>Q1_p3</t>
  </si>
  <si>
    <t>Q2_p3</t>
  </si>
  <si>
    <t>Q3_p3</t>
  </si>
  <si>
    <t>Q1_p4</t>
  </si>
  <si>
    <t>Q2_p4</t>
  </si>
  <si>
    <t>Q3_p4</t>
  </si>
  <si>
    <t>Tadini 2021 Eruption type probability and eruption source parameters at Cotopaxi and Guagua Pichincha volcanoes (Ecuador) with uncertainty quantification   https://doi.org/10.1007/s00445-021-01458-z</t>
  </si>
  <si>
    <t>Tadini 2022 Structured elicitation of expert judgement in real-time eruption scenarios: an exercise for Piton de la Fournaise volcano, La Réunion island   https://www.jvolcanica.org/ojs/index.php/volcanica/article/view/126</t>
  </si>
  <si>
    <t>?</t>
  </si>
  <si>
    <t>&gt; .05</t>
  </si>
  <si>
    <t>&gt; .01</t>
  </si>
  <si>
    <t>i</t>
  </si>
  <si>
    <t>g</t>
  </si>
  <si>
    <t>gn</t>
  </si>
  <si>
    <t>ew</t>
  </si>
  <si>
    <t>EwQ</t>
  </si>
  <si>
    <t xml:space="preserve">   </t>
  </si>
  <si>
    <t>subducted_dist</t>
  </si>
  <si>
    <t xml:space="preserve">   Rock_uplift</t>
  </si>
  <si>
    <t xml:space="preserve">   scaling_SRL</t>
  </si>
  <si>
    <t xml:space="preserve">  PGA__g_diff_</t>
  </si>
  <si>
    <t xml:space="preserve"> M__6_0_100yrs</t>
  </si>
  <si>
    <t>Global_ave_rat</t>
  </si>
  <si>
    <t xml:space="preserve">         Omori</t>
  </si>
  <si>
    <t>Inerevent_time</t>
  </si>
  <si>
    <t xml:space="preserve">   stress_drop</t>
  </si>
  <si>
    <t>time_variation</t>
  </si>
  <si>
    <t xml:space="preserve">    Chi_Chi_AS</t>
  </si>
  <si>
    <t xml:space="preserve">    Max_PGA_NR</t>
  </si>
  <si>
    <t xml:space="preserve">   Decl__diff_</t>
  </si>
  <si>
    <t>Coulomb_stress</t>
  </si>
  <si>
    <t>MAPE_i</t>
  </si>
  <si>
    <t>MAPE_g</t>
  </si>
  <si>
    <t>MAPE_gn</t>
  </si>
  <si>
    <t>MAPE_ew</t>
  </si>
  <si>
    <t>MAPE_EwQ</t>
  </si>
  <si>
    <t>AVE</t>
  </si>
  <si>
    <t>Biol_agents</t>
  </si>
  <si>
    <t>Brexit_Food</t>
  </si>
  <si>
    <t>Political_Violence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</si>
</sst>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0"/>
    <numFmt numFmtId="166" formatCode="#,##0.000"/>
  </numFmts>
  <fonts count="34" x14ac:knownFonts="1">
    <font>
      <sz val="11"/>
      <color theme="1"/>
      <name val="Calibri"/>
      <family val="2"/>
      <scheme val="minor"/>
    </font>
    <font>
      <sz val="10"/>
      <name val="Arial"/>
      <family val="2"/>
    </font>
    <font>
      <b/>
      <sz val="11"/>
      <color theme="1"/>
      <name val="Calibri"/>
      <family val="2"/>
      <scheme val="minor"/>
    </font>
    <font>
      <b/>
      <sz val="8"/>
      <name val="Arial"/>
      <family val="2"/>
    </font>
    <font>
      <sz val="11"/>
      <color rgb="FF000000"/>
      <name val="Calibri"/>
      <family val="2"/>
      <scheme val="minor"/>
    </font>
    <font>
      <sz val="10"/>
      <color theme="1"/>
      <name val="Calibri"/>
      <family val="2"/>
      <scheme val="minor"/>
    </font>
    <font>
      <b/>
      <sz val="10"/>
      <name val="Arial"/>
      <family val="2"/>
    </font>
    <font>
      <sz val="11"/>
      <name val="Calibri"/>
      <family val="2"/>
      <scheme val="minor"/>
    </font>
    <font>
      <b/>
      <sz val="11"/>
      <color theme="1"/>
      <name val="Times New Roman"/>
      <family val="1"/>
    </font>
    <font>
      <sz val="11"/>
      <color theme="1"/>
      <name val="Times New Roman"/>
      <family val="1"/>
    </font>
    <font>
      <sz val="10"/>
      <color theme="1"/>
      <name val="Times New Roman"/>
      <family val="1"/>
    </font>
    <font>
      <sz val="8"/>
      <color rgb="FF000000"/>
      <name val="Times New Roman"/>
      <family val="1"/>
    </font>
    <font>
      <b/>
      <sz val="8"/>
      <color rgb="FF000000"/>
      <name val="Times New Roman"/>
      <family val="1"/>
    </font>
    <font>
      <sz val="9"/>
      <color indexed="81"/>
      <name val="Tahoma"/>
      <family val="2"/>
    </font>
    <font>
      <b/>
      <sz val="9"/>
      <color indexed="81"/>
      <name val="Tahoma"/>
      <family val="2"/>
    </font>
    <font>
      <sz val="8"/>
      <color theme="1"/>
      <name val="Times New Roman"/>
      <family val="1"/>
    </font>
    <font>
      <sz val="8"/>
      <color theme="1"/>
      <name val="Calibri"/>
      <family val="2"/>
      <scheme val="minor"/>
    </font>
    <font>
      <u/>
      <sz val="11"/>
      <color theme="10"/>
      <name val="Calibri"/>
      <family val="2"/>
    </font>
    <font>
      <sz val="9"/>
      <color rgb="FF000000"/>
      <name val="Times New Roman"/>
      <family val="1"/>
    </font>
    <font>
      <u/>
      <sz val="9"/>
      <color theme="10"/>
      <name val="Calibri"/>
      <family val="2"/>
    </font>
    <font>
      <sz val="9"/>
      <color theme="1"/>
      <name val="Times New Roman"/>
      <family val="1"/>
    </font>
    <font>
      <b/>
      <sz val="8"/>
      <color indexed="81"/>
      <name val="Tahoma"/>
      <family val="2"/>
    </font>
    <font>
      <sz val="8"/>
      <color indexed="81"/>
      <name val="Tahoma"/>
      <family val="2"/>
    </font>
    <font>
      <b/>
      <sz val="9"/>
      <color rgb="FF000000"/>
      <name val="Times New Roman"/>
      <family val="1"/>
    </font>
    <font>
      <b/>
      <sz val="8"/>
      <color theme="1"/>
      <name val="Calibri"/>
      <family val="2"/>
      <scheme val="minor"/>
    </font>
    <font>
      <sz val="12"/>
      <color theme="1"/>
      <name val="Calibri"/>
      <family val="2"/>
      <scheme val="minor"/>
    </font>
    <font>
      <sz val="12"/>
      <color theme="1"/>
      <name val="Times New Roman"/>
      <family val="1"/>
    </font>
    <font>
      <sz val="8"/>
      <color rgb="FF222222"/>
      <name val="Times New Roman"/>
      <family val="1"/>
    </font>
    <font>
      <i/>
      <sz val="8"/>
      <color rgb="FF000000"/>
      <name val="Times New Roman"/>
      <family val="1"/>
    </font>
    <font>
      <u/>
      <sz val="8"/>
      <color theme="10"/>
      <name val="Calibri"/>
      <family val="2"/>
    </font>
    <font>
      <b/>
      <sz val="11"/>
      <color rgb="FF000000"/>
      <name val="Times New Roman"/>
      <family val="1"/>
    </font>
    <font>
      <sz val="11"/>
      <color rgb="FFFF0000"/>
      <name val="Calibri"/>
      <family val="2"/>
      <scheme val="minor"/>
    </font>
    <font>
      <sz val="9"/>
      <name val="Calibri"/>
      <family val="2"/>
      <scheme val="minor"/>
    </font>
    <font>
      <sz val="9"/>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8" tint="0.79998168889431442"/>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ck">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ck">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diagonal/>
    </border>
    <border>
      <left style="thin">
        <color auto="1"/>
      </left>
      <right style="thin">
        <color auto="1"/>
      </right>
      <top/>
      <bottom style="thin">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double">
        <color indexed="64"/>
      </bottom>
      <diagonal/>
    </border>
    <border>
      <left style="thin">
        <color auto="1"/>
      </left>
      <right style="thin">
        <color auto="1"/>
      </right>
      <top style="thin">
        <color auto="1"/>
      </top>
      <bottom style="double">
        <color indexed="64"/>
      </bottom>
      <diagonal/>
    </border>
    <border>
      <left style="thin">
        <color auto="1"/>
      </left>
      <right style="medium">
        <color indexed="64"/>
      </right>
      <top style="thin">
        <color auto="1"/>
      </top>
      <bottom style="double">
        <color indexed="64"/>
      </bottom>
      <diagonal/>
    </border>
    <border>
      <left style="medium">
        <color indexed="64"/>
      </left>
      <right style="thin">
        <color auto="1"/>
      </right>
      <top style="double">
        <color indexed="64"/>
      </top>
      <bottom style="thin">
        <color auto="1"/>
      </bottom>
      <diagonal/>
    </border>
    <border>
      <left style="thin">
        <color auto="1"/>
      </left>
      <right style="thin">
        <color auto="1"/>
      </right>
      <top style="double">
        <color indexed="64"/>
      </top>
      <bottom style="thin">
        <color auto="1"/>
      </bottom>
      <diagonal/>
    </border>
    <border>
      <left style="thin">
        <color auto="1"/>
      </left>
      <right style="medium">
        <color indexed="64"/>
      </right>
      <top style="double">
        <color indexed="64"/>
      </top>
      <bottom style="thin">
        <color auto="1"/>
      </bottom>
      <diagonal/>
    </border>
    <border>
      <left/>
      <right style="thin">
        <color auto="1"/>
      </right>
      <top style="thick">
        <color auto="1"/>
      </top>
      <bottom/>
      <diagonal/>
    </border>
    <border>
      <left style="thin">
        <color auto="1"/>
      </left>
      <right style="thick">
        <color auto="1"/>
      </right>
      <top style="thin">
        <color auto="1"/>
      </top>
      <bottom style="thin">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indexed="64"/>
      </top>
      <bottom/>
      <diagonal/>
    </border>
  </borders>
  <cellStyleXfs count="3">
    <xf numFmtId="0" fontId="0" fillId="0" borderId="0"/>
    <xf numFmtId="0" fontId="1" fillId="0" borderId="0"/>
    <xf numFmtId="0" fontId="17" fillId="0" borderId="0" applyNumberFormat="0" applyFill="0" applyBorder="0" applyAlignment="0" applyProtection="0">
      <alignment vertical="top"/>
      <protection locked="0"/>
    </xf>
  </cellStyleXfs>
  <cellXfs count="170">
    <xf numFmtId="0" fontId="0" fillId="0" borderId="0" xfId="0"/>
    <xf numFmtId="49" fontId="0" fillId="0" borderId="0" xfId="0" applyNumberFormat="1"/>
    <xf numFmtId="49" fontId="3" fillId="0" borderId="0" xfId="1" applyNumberFormat="1" applyFont="1" applyAlignment="1">
      <alignment horizontal="left" wrapText="1"/>
    </xf>
    <xf numFmtId="0" fontId="2" fillId="0" borderId="0" xfId="0" applyFont="1"/>
    <xf numFmtId="11" fontId="0" fillId="0" borderId="0" xfId="0" applyNumberFormat="1"/>
    <xf numFmtId="49" fontId="3" fillId="0" borderId="0" xfId="1" applyNumberFormat="1" applyFont="1" applyAlignment="1">
      <alignment horizontal="center" wrapText="1"/>
    </xf>
    <xf numFmtId="9" fontId="0" fillId="0" borderId="0" xfId="0" applyNumberFormat="1"/>
    <xf numFmtId="11" fontId="0" fillId="0" borderId="0" xfId="0" applyNumberFormat="1" applyAlignment="1">
      <alignment horizontal="center"/>
    </xf>
    <xf numFmtId="0" fontId="2" fillId="0" borderId="0" xfId="0" applyFont="1" applyAlignment="1">
      <alignment horizontal="center"/>
    </xf>
    <xf numFmtId="0" fontId="5" fillId="0" borderId="0" xfId="0" applyFont="1"/>
    <xf numFmtId="1" fontId="0" fillId="0" borderId="0" xfId="0" applyNumberFormat="1"/>
    <xf numFmtId="1" fontId="0" fillId="0" borderId="0" xfId="0" applyNumberFormat="1" applyAlignment="1">
      <alignment horizontal="center"/>
    </xf>
    <xf numFmtId="2" fontId="0" fillId="0" borderId="0" xfId="0" applyNumberFormat="1"/>
    <xf numFmtId="165" fontId="0" fillId="0" borderId="0" xfId="0" applyNumberFormat="1" applyAlignment="1">
      <alignment horizontal="center"/>
    </xf>
    <xf numFmtId="0" fontId="0" fillId="0" borderId="0" xfId="0" applyAlignment="1">
      <alignment horizontal="right"/>
    </xf>
    <xf numFmtId="11" fontId="5" fillId="0" borderId="0" xfId="0" applyNumberFormat="1" applyFont="1"/>
    <xf numFmtId="0" fontId="0" fillId="0" borderId="0" xfId="0" applyAlignment="1">
      <alignment horizontal="center"/>
    </xf>
    <xf numFmtId="49" fontId="0" fillId="0" borderId="0" xfId="0" applyNumberFormat="1" applyAlignment="1">
      <alignment horizontal="center"/>
    </xf>
    <xf numFmtId="49" fontId="0" fillId="0" borderId="0" xfId="0" quotePrefix="1" applyNumberFormat="1" applyAlignment="1">
      <alignment horizontal="center"/>
    </xf>
    <xf numFmtId="164" fontId="0" fillId="2" borderId="1" xfId="0" applyNumberFormat="1" applyFill="1" applyBorder="1" applyAlignment="1">
      <alignment horizontal="center"/>
    </xf>
    <xf numFmtId="164" fontId="0" fillId="2" borderId="2" xfId="0" applyNumberFormat="1" applyFill="1" applyBorder="1" applyAlignment="1">
      <alignment horizontal="center"/>
    </xf>
    <xf numFmtId="9" fontId="5" fillId="0" borderId="0" xfId="0" applyNumberFormat="1" applyFont="1"/>
    <xf numFmtId="11" fontId="5" fillId="0" borderId="0" xfId="0" applyNumberFormat="1" applyFont="1" applyAlignment="1">
      <alignment horizontal="left"/>
    </xf>
    <xf numFmtId="49" fontId="6" fillId="0" borderId="0" xfId="1" applyNumberFormat="1" applyFont="1" applyAlignment="1">
      <alignment horizontal="left"/>
    </xf>
    <xf numFmtId="49" fontId="6" fillId="0" borderId="0" xfId="1" applyNumberFormat="1" applyFont="1" applyAlignment="1">
      <alignment horizontal="center" wrapText="1"/>
    </xf>
    <xf numFmtId="2" fontId="0" fillId="0" borderId="1" xfId="0" applyNumberFormat="1" applyBorder="1" applyAlignment="1">
      <alignment horizontal="center"/>
    </xf>
    <xf numFmtId="10" fontId="0" fillId="0" borderId="1" xfId="0" applyNumberFormat="1" applyBorder="1" applyAlignment="1">
      <alignment horizontal="center"/>
    </xf>
    <xf numFmtId="2" fontId="0" fillId="0" borderId="0" xfId="0" applyNumberFormat="1" applyAlignment="1">
      <alignment horizontal="center"/>
    </xf>
    <xf numFmtId="11" fontId="2" fillId="0" borderId="1" xfId="0" applyNumberFormat="1" applyFont="1" applyBorder="1" applyAlignment="1">
      <alignment horizontal="center"/>
    </xf>
    <xf numFmtId="0" fontId="2" fillId="0" borderId="0" xfId="0" applyFont="1" applyAlignment="1">
      <alignment horizontal="center" vertical="center"/>
    </xf>
    <xf numFmtId="0" fontId="2" fillId="0" borderId="1" xfId="0" applyFont="1" applyBorder="1" applyAlignment="1">
      <alignment horizontal="center" vertical="center"/>
    </xf>
    <xf numFmtId="11" fontId="2" fillId="0" borderId="2" xfId="0" applyNumberFormat="1" applyFont="1" applyBorder="1" applyAlignment="1">
      <alignment horizontal="center"/>
    </xf>
    <xf numFmtId="2" fontId="0" fillId="0" borderId="2" xfId="0" applyNumberFormat="1" applyBorder="1" applyAlignment="1">
      <alignment horizontal="center"/>
    </xf>
    <xf numFmtId="11" fontId="2" fillId="0" borderId="3" xfId="0" applyNumberFormat="1" applyFont="1" applyBorder="1" applyAlignment="1">
      <alignment horizontal="center"/>
    </xf>
    <xf numFmtId="10" fontId="0" fillId="0" borderId="3" xfId="0" applyNumberFormat="1" applyBorder="1" applyAlignment="1">
      <alignment horizontal="center"/>
    </xf>
    <xf numFmtId="0" fontId="0" fillId="0" borderId="3" xfId="0" quotePrefix="1" applyBorder="1" applyAlignment="1">
      <alignment horizontal="center"/>
    </xf>
    <xf numFmtId="11" fontId="2" fillId="0" borderId="14" xfId="0" applyNumberFormat="1" applyFont="1" applyBorder="1" applyAlignment="1">
      <alignment horizontal="center"/>
    </xf>
    <xf numFmtId="10" fontId="0" fillId="0" borderId="14" xfId="0" applyNumberFormat="1" applyBorder="1" applyAlignment="1">
      <alignment horizontal="center"/>
    </xf>
    <xf numFmtId="0" fontId="2" fillId="0" borderId="17" xfId="0" applyFont="1" applyBorder="1" applyAlignment="1">
      <alignment horizontal="center" vertical="center"/>
    </xf>
    <xf numFmtId="2" fontId="0" fillId="0" borderId="17" xfId="0" applyNumberFormat="1" applyBorder="1" applyAlignment="1">
      <alignment horizontal="center"/>
    </xf>
    <xf numFmtId="2" fontId="0" fillId="0" borderId="18" xfId="0" applyNumberFormat="1" applyBorder="1" applyAlignment="1">
      <alignment horizontal="center"/>
    </xf>
    <xf numFmtId="0" fontId="0" fillId="0" borderId="19" xfId="0" quotePrefix="1" applyBorder="1" applyAlignment="1">
      <alignment horizontal="center"/>
    </xf>
    <xf numFmtId="10" fontId="0" fillId="0" borderId="17" xfId="0" applyNumberFormat="1" applyBorder="1" applyAlignment="1">
      <alignment horizontal="center"/>
    </xf>
    <xf numFmtId="10" fontId="0" fillId="0" borderId="20" xfId="0" applyNumberFormat="1" applyBorder="1" applyAlignment="1">
      <alignment horizontal="center"/>
    </xf>
    <xf numFmtId="0" fontId="9" fillId="0" borderId="0" xfId="0" applyFont="1" applyAlignment="1">
      <alignment vertical="center"/>
    </xf>
    <xf numFmtId="0" fontId="9" fillId="0" borderId="0" xfId="0" applyFont="1"/>
    <xf numFmtId="0" fontId="9" fillId="0" borderId="0" xfId="0" applyFont="1" applyAlignment="1">
      <alignment horizontal="center"/>
    </xf>
    <xf numFmtId="0" fontId="10" fillId="0" borderId="0" xfId="0" applyFont="1" applyAlignment="1">
      <alignment vertical="center"/>
    </xf>
    <xf numFmtId="0" fontId="11" fillId="0" borderId="0" xfId="0" applyFont="1" applyAlignment="1">
      <alignment vertical="center" wrapText="1"/>
    </xf>
    <xf numFmtId="0" fontId="12" fillId="0" borderId="0" xfId="0" applyFont="1" applyAlignment="1">
      <alignment vertical="center" wrapText="1"/>
    </xf>
    <xf numFmtId="0" fontId="15" fillId="0" borderId="0" xfId="0" applyFont="1" applyAlignment="1">
      <alignment vertical="center"/>
    </xf>
    <xf numFmtId="0" fontId="20" fillId="0" borderId="0" xfId="0" applyFont="1" applyAlignment="1">
      <alignment vertical="center"/>
    </xf>
    <xf numFmtId="0" fontId="2" fillId="3" borderId="0" xfId="0" applyFont="1" applyFill="1"/>
    <xf numFmtId="0" fontId="2" fillId="4" borderId="0" xfId="0" applyFont="1" applyFill="1"/>
    <xf numFmtId="0" fontId="0" fillId="3" borderId="0" xfId="0" applyFill="1"/>
    <xf numFmtId="0" fontId="0" fillId="4" borderId="0" xfId="0" applyFill="1"/>
    <xf numFmtId="0" fontId="8" fillId="0" borderId="1" xfId="0" applyFont="1" applyBorder="1" applyAlignment="1">
      <alignment horizontal="center" vertical="center"/>
    </xf>
    <xf numFmtId="0" fontId="23" fillId="0" borderId="1" xfId="0" applyFont="1" applyBorder="1" applyAlignment="1">
      <alignment horizontal="center" vertical="center" wrapText="1"/>
    </xf>
    <xf numFmtId="0" fontId="18" fillId="0" borderId="1" xfId="0" applyFont="1" applyBorder="1" applyAlignment="1">
      <alignment vertical="center" wrapText="1"/>
    </xf>
    <xf numFmtId="0" fontId="19" fillId="0" borderId="1" xfId="2" applyFont="1" applyBorder="1" applyAlignment="1" applyProtection="1">
      <alignment vertical="center" wrapText="1"/>
    </xf>
    <xf numFmtId="0" fontId="19" fillId="0" borderId="1" xfId="2" applyFont="1" applyBorder="1" applyAlignment="1" applyProtection="1"/>
    <xf numFmtId="0" fontId="19" fillId="0" borderId="1" xfId="2" applyFont="1" applyBorder="1" applyAlignment="1" applyProtection="1">
      <alignment vertical="center"/>
    </xf>
    <xf numFmtId="0" fontId="20" fillId="0" borderId="1" xfId="0" applyFont="1" applyBorder="1" applyAlignment="1">
      <alignment vertical="center"/>
    </xf>
    <xf numFmtId="0" fontId="24" fillId="0" borderId="0" xfId="0" applyFont="1" applyAlignment="1">
      <alignment horizontal="center"/>
    </xf>
    <xf numFmtId="0" fontId="12" fillId="0" borderId="0" xfId="0" applyFont="1" applyAlignment="1">
      <alignment horizontal="center" vertical="center" wrapText="1"/>
    </xf>
    <xf numFmtId="0" fontId="0" fillId="5" borderId="0" xfId="0" applyFill="1"/>
    <xf numFmtId="0" fontId="0" fillId="5" borderId="0" xfId="0" applyFill="1" applyAlignment="1">
      <alignment horizontal="center"/>
    </xf>
    <xf numFmtId="0" fontId="25" fillId="0" borderId="0" xfId="0" applyFont="1"/>
    <xf numFmtId="0" fontId="0" fillId="0" borderId="0" xfId="0" applyAlignment="1">
      <alignment horizontal="left"/>
    </xf>
    <xf numFmtId="0" fontId="0" fillId="0" borderId="1" xfId="0" applyBorder="1" applyAlignment="1">
      <alignment horizontal="left"/>
    </xf>
    <xf numFmtId="0" fontId="9" fillId="0" borderId="1" xfId="0" applyFont="1" applyBorder="1" applyAlignment="1">
      <alignment horizontal="left"/>
    </xf>
    <xf numFmtId="0" fontId="29" fillId="0" borderId="1" xfId="2" applyFont="1" applyBorder="1" applyAlignment="1" applyProtection="1">
      <alignment horizontal="left" wrapText="1" indent="1"/>
    </xf>
    <xf numFmtId="0" fontId="11" fillId="0" borderId="1" xfId="0" applyFont="1" applyBorder="1" applyAlignment="1">
      <alignment horizontal="left" wrapText="1" indent="1"/>
    </xf>
    <xf numFmtId="0" fontId="29" fillId="0" borderId="1" xfId="2" applyFont="1" applyBorder="1" applyAlignment="1" applyProtection="1">
      <alignment horizontal="left" indent="1"/>
    </xf>
    <xf numFmtId="0" fontId="11" fillId="0" borderId="1" xfId="0" applyFont="1" applyBorder="1" applyAlignment="1">
      <alignment wrapText="1"/>
    </xf>
    <xf numFmtId="0" fontId="11" fillId="0" borderId="1" xfId="0" applyFont="1" applyBorder="1" applyAlignment="1">
      <alignment horizontal="left"/>
    </xf>
    <xf numFmtId="0" fontId="27" fillId="0" borderId="1" xfId="0" applyFont="1" applyBorder="1" applyAlignment="1">
      <alignment horizontal="left"/>
    </xf>
    <xf numFmtId="0" fontId="29" fillId="0" borderId="1" xfId="2" applyFont="1" applyBorder="1" applyAlignment="1" applyProtection="1">
      <alignment horizontal="left"/>
    </xf>
    <xf numFmtId="0" fontId="16" fillId="0" borderId="1" xfId="0" applyFont="1" applyBorder="1" applyAlignment="1">
      <alignment horizontal="left"/>
    </xf>
    <xf numFmtId="0" fontId="11" fillId="0" borderId="1" xfId="0" applyFont="1" applyBorder="1" applyAlignment="1">
      <alignment horizontal="left" wrapText="1"/>
    </xf>
    <xf numFmtId="0" fontId="29" fillId="0" borderId="0" xfId="2" applyFont="1" applyAlignment="1" applyProtection="1">
      <alignment horizontal="left"/>
    </xf>
    <xf numFmtId="0" fontId="16" fillId="0" borderId="0" xfId="0" applyFont="1" applyAlignment="1">
      <alignment horizontal="left"/>
    </xf>
    <xf numFmtId="0" fontId="29" fillId="0" borderId="1" xfId="2" applyFont="1" applyBorder="1" applyAlignment="1" applyProtection="1">
      <alignment wrapText="1"/>
    </xf>
    <xf numFmtId="0" fontId="0" fillId="6" borderId="0" xfId="0" applyFill="1"/>
    <xf numFmtId="0" fontId="26" fillId="0" borderId="0" xfId="0" applyFont="1"/>
    <xf numFmtId="11" fontId="24" fillId="7" borderId="2" xfId="0" applyNumberFormat="1" applyFont="1" applyFill="1" applyBorder="1" applyAlignment="1">
      <alignment horizontal="center"/>
    </xf>
    <xf numFmtId="11" fontId="0" fillId="7" borderId="2" xfId="0" applyNumberFormat="1" applyFill="1" applyBorder="1" applyAlignment="1">
      <alignment horizontal="center"/>
    </xf>
    <xf numFmtId="11" fontId="4" fillId="7" borderId="2" xfId="0" applyNumberFormat="1" applyFont="1" applyFill="1" applyBorder="1" applyAlignment="1">
      <alignment horizontal="center"/>
    </xf>
    <xf numFmtId="11" fontId="0" fillId="7" borderId="5" xfId="0" applyNumberFormat="1" applyFill="1" applyBorder="1" applyAlignment="1">
      <alignment horizontal="center"/>
    </xf>
    <xf numFmtId="11" fontId="0" fillId="7" borderId="15" xfId="0" applyNumberFormat="1" applyFill="1" applyBorder="1" applyAlignment="1">
      <alignment horizontal="center"/>
    </xf>
    <xf numFmtId="11" fontId="0" fillId="7" borderId="1" xfId="0" applyNumberFormat="1" applyFill="1" applyBorder="1" applyAlignment="1">
      <alignment horizontal="center"/>
    </xf>
    <xf numFmtId="166" fontId="0" fillId="7" borderId="15" xfId="0" applyNumberFormat="1" applyFill="1" applyBorder="1" applyAlignment="1">
      <alignment horizontal="center"/>
    </xf>
    <xf numFmtId="166" fontId="0" fillId="7" borderId="1" xfId="0" applyNumberFormat="1" applyFill="1" applyBorder="1" applyAlignment="1">
      <alignment horizontal="center"/>
    </xf>
    <xf numFmtId="166" fontId="0" fillId="2" borderId="15" xfId="0" applyNumberFormat="1" applyFill="1" applyBorder="1" applyAlignment="1">
      <alignment horizontal="center"/>
    </xf>
    <xf numFmtId="166" fontId="0" fillId="2" borderId="1" xfId="0" applyNumberFormat="1" applyFill="1" applyBorder="1" applyAlignment="1">
      <alignment horizontal="center"/>
    </xf>
    <xf numFmtId="14" fontId="0" fillId="0" borderId="0" xfId="0" applyNumberFormat="1"/>
    <xf numFmtId="0" fontId="8" fillId="0" borderId="0" xfId="0" applyFont="1" applyAlignment="1">
      <alignment vertical="center"/>
    </xf>
    <xf numFmtId="0" fontId="8" fillId="0" borderId="0" xfId="0" applyFont="1" applyAlignment="1">
      <alignment horizontal="center"/>
    </xf>
    <xf numFmtId="0" fontId="25" fillId="0" borderId="0" xfId="0" applyFont="1" applyAlignment="1">
      <alignment horizontal="center"/>
    </xf>
    <xf numFmtId="0" fontId="9" fillId="0" borderId="1" xfId="0" applyFont="1" applyBorder="1"/>
    <xf numFmtId="0" fontId="9" fillId="0" borderId="23" xfId="0" applyFont="1" applyBorder="1"/>
    <xf numFmtId="0" fontId="9" fillId="0" borderId="9" xfId="0" applyFont="1" applyBorder="1"/>
    <xf numFmtId="0" fontId="9" fillId="0" borderId="12" xfId="0" applyFont="1" applyBorder="1" applyAlignment="1">
      <alignment horizontal="center"/>
    </xf>
    <xf numFmtId="0" fontId="9" fillId="0" borderId="14" xfId="0" applyFont="1" applyBorder="1" applyAlignment="1">
      <alignment horizontal="center"/>
    </xf>
    <xf numFmtId="0" fontId="9" fillId="0" borderId="17" xfId="0" applyFont="1" applyBorder="1"/>
    <xf numFmtId="0" fontId="9" fillId="0" borderId="20" xfId="0" applyFont="1" applyBorder="1" applyAlignment="1">
      <alignment horizontal="center"/>
    </xf>
    <xf numFmtId="0" fontId="9" fillId="0" borderId="25" xfId="0" applyFont="1" applyBorder="1" applyAlignment="1">
      <alignment horizontal="center"/>
    </xf>
    <xf numFmtId="0" fontId="9" fillId="0" borderId="27" xfId="0" applyFont="1" applyBorder="1"/>
    <xf numFmtId="0" fontId="9" fillId="0" borderId="28" xfId="0" applyFont="1" applyBorder="1" applyAlignment="1">
      <alignment horizontal="center"/>
    </xf>
    <xf numFmtId="0" fontId="9" fillId="0" borderId="30" xfId="0" applyFont="1" applyBorder="1"/>
    <xf numFmtId="0" fontId="9" fillId="0" borderId="31" xfId="0" applyFont="1" applyBorder="1" applyAlignment="1">
      <alignment horizontal="center"/>
    </xf>
    <xf numFmtId="0" fontId="29" fillId="0" borderId="1" xfId="2" applyFont="1" applyBorder="1" applyAlignment="1" applyProtection="1"/>
    <xf numFmtId="0" fontId="30" fillId="0" borderId="0" xfId="0" applyFont="1" applyAlignment="1">
      <alignment horizontal="center" vertical="center" wrapText="1"/>
    </xf>
    <xf numFmtId="0" fontId="9" fillId="0" borderId="0" xfId="0" applyFont="1" applyAlignment="1">
      <alignment horizontal="center" vertical="center"/>
    </xf>
    <xf numFmtId="11" fontId="5" fillId="5" borderId="0" xfId="0" applyNumberFormat="1" applyFont="1" applyFill="1"/>
    <xf numFmtId="0" fontId="31" fillId="0" borderId="0" xfId="0" applyFont="1" applyAlignment="1">
      <alignment horizontal="center"/>
    </xf>
    <xf numFmtId="2" fontId="24" fillId="2" borderId="32" xfId="0" applyNumberFormat="1" applyFont="1" applyFill="1" applyBorder="1" applyAlignment="1">
      <alignment horizontal="center"/>
    </xf>
    <xf numFmtId="166" fontId="24" fillId="7" borderId="15" xfId="0" applyNumberFormat="1" applyFont="1" applyFill="1" applyBorder="1" applyAlignment="1">
      <alignment horizontal="center"/>
    </xf>
    <xf numFmtId="166" fontId="24" fillId="7" borderId="1" xfId="0" applyNumberFormat="1" applyFont="1" applyFill="1" applyBorder="1" applyAlignment="1">
      <alignment horizontal="center"/>
    </xf>
    <xf numFmtId="166" fontId="24" fillId="2" borderId="15" xfId="0" applyNumberFormat="1" applyFont="1" applyFill="1" applyBorder="1" applyAlignment="1">
      <alignment horizontal="center"/>
    </xf>
    <xf numFmtId="166" fontId="24" fillId="2" borderId="1" xfId="0" applyNumberFormat="1" applyFont="1" applyFill="1" applyBorder="1" applyAlignment="1">
      <alignment horizontal="center"/>
    </xf>
    <xf numFmtId="166" fontId="24" fillId="2" borderId="33" xfId="0" applyNumberFormat="1" applyFont="1" applyFill="1" applyBorder="1" applyAlignment="1">
      <alignment horizontal="center"/>
    </xf>
    <xf numFmtId="2" fontId="24" fillId="2" borderId="34" xfId="0" applyNumberFormat="1" applyFont="1" applyFill="1" applyBorder="1" applyAlignment="1">
      <alignment horizontal="center"/>
    </xf>
    <xf numFmtId="164" fontId="0" fillId="2" borderId="3" xfId="0" applyNumberFormat="1" applyFill="1" applyBorder="1" applyAlignment="1">
      <alignment horizontal="center"/>
    </xf>
    <xf numFmtId="0" fontId="0" fillId="2" borderId="3" xfId="0" applyFill="1" applyBorder="1" applyAlignment="1">
      <alignment horizontal="center"/>
    </xf>
    <xf numFmtId="0" fontId="0" fillId="2" borderId="1" xfId="0" applyFill="1" applyBorder="1" applyAlignment="1">
      <alignment horizontal="center"/>
    </xf>
    <xf numFmtId="2" fontId="0" fillId="2" borderId="33" xfId="0" applyNumberFormat="1" applyFill="1" applyBorder="1" applyAlignment="1">
      <alignment horizontal="center"/>
    </xf>
    <xf numFmtId="2" fontId="0" fillId="2" borderId="35" xfId="0" applyNumberFormat="1" applyFill="1" applyBorder="1" applyAlignment="1">
      <alignment horizontal="center"/>
    </xf>
    <xf numFmtId="166" fontId="0" fillId="2" borderId="33" xfId="0" applyNumberFormat="1" applyFill="1" applyBorder="1" applyAlignment="1">
      <alignment horizontal="center"/>
    </xf>
    <xf numFmtId="166" fontId="7" fillId="7" borderId="15" xfId="0" applyNumberFormat="1" applyFont="1" applyFill="1" applyBorder="1" applyAlignment="1">
      <alignment horizontal="center"/>
    </xf>
    <xf numFmtId="166" fontId="4" fillId="7" borderId="15" xfId="0" applyNumberFormat="1" applyFont="1" applyFill="1" applyBorder="1" applyAlignment="1">
      <alignment horizontal="center"/>
    </xf>
    <xf numFmtId="166" fontId="4" fillId="7" borderId="1" xfId="0" applyNumberFormat="1" applyFont="1" applyFill="1" applyBorder="1" applyAlignment="1">
      <alignment horizontal="center"/>
    </xf>
    <xf numFmtId="166" fontId="4" fillId="2" borderId="15" xfId="0" applyNumberFormat="1" applyFont="1" applyFill="1" applyBorder="1" applyAlignment="1">
      <alignment horizontal="center"/>
    </xf>
    <xf numFmtId="166" fontId="4" fillId="2" borderId="1" xfId="0" applyNumberFormat="1" applyFont="1" applyFill="1" applyBorder="1" applyAlignment="1">
      <alignment horizontal="center"/>
    </xf>
    <xf numFmtId="2" fontId="0" fillId="2" borderId="36" xfId="0" applyNumberFormat="1" applyFill="1" applyBorder="1" applyAlignment="1">
      <alignment horizontal="center"/>
    </xf>
    <xf numFmtId="166" fontId="0" fillId="7" borderId="22" xfId="0" applyNumberFormat="1" applyFill="1" applyBorder="1" applyAlignment="1">
      <alignment horizontal="center"/>
    </xf>
    <xf numFmtId="166" fontId="0" fillId="7" borderId="4" xfId="0" applyNumberFormat="1" applyFill="1" applyBorder="1" applyAlignment="1">
      <alignment horizontal="center"/>
    </xf>
    <xf numFmtId="166" fontId="0" fillId="2" borderId="22" xfId="0" applyNumberFormat="1" applyFill="1" applyBorder="1" applyAlignment="1">
      <alignment horizontal="center"/>
    </xf>
    <xf numFmtId="166" fontId="0" fillId="2" borderId="4" xfId="0" applyNumberFormat="1" applyFill="1" applyBorder="1" applyAlignment="1">
      <alignment horizontal="center"/>
    </xf>
    <xf numFmtId="166" fontId="0" fillId="0" borderId="0" xfId="0" applyNumberFormat="1" applyAlignment="1">
      <alignment horizontal="center"/>
    </xf>
    <xf numFmtId="164" fontId="0" fillId="0" borderId="0" xfId="0" applyNumberFormat="1" applyAlignment="1">
      <alignment horizontal="center"/>
    </xf>
    <xf numFmtId="0" fontId="32" fillId="0" borderId="0" xfId="0" applyFont="1"/>
    <xf numFmtId="0" fontId="33" fillId="0" borderId="0" xfId="0" applyFont="1"/>
    <xf numFmtId="0" fontId="20" fillId="0" borderId="0" xfId="0" applyFont="1"/>
    <xf numFmtId="0" fontId="8" fillId="0" borderId="0" xfId="0" applyFont="1" applyAlignment="1">
      <alignment horizontal="center" vertical="center"/>
    </xf>
    <xf numFmtId="0" fontId="9" fillId="0" borderId="21" xfId="0" applyFont="1" applyBorder="1" applyAlignment="1">
      <alignment horizontal="center" vertical="center"/>
    </xf>
    <xf numFmtId="0" fontId="9" fillId="0" borderId="15" xfId="0" applyFont="1" applyBorder="1" applyAlignment="1">
      <alignment horizontal="center" vertical="center"/>
    </xf>
    <xf numFmtId="0" fontId="9" fillId="0" borderId="26" xfId="0" applyFont="1" applyBorder="1" applyAlignment="1">
      <alignment horizontal="center" vertical="center"/>
    </xf>
    <xf numFmtId="0" fontId="9" fillId="0" borderId="29" xfId="0" applyFont="1" applyBorder="1" applyAlignment="1">
      <alignment horizontal="center" vertical="center" wrapText="1"/>
    </xf>
    <xf numFmtId="0" fontId="9" fillId="0" borderId="26" xfId="0" applyFont="1" applyBorder="1" applyAlignment="1">
      <alignment horizontal="center" vertical="center" wrapText="1"/>
    </xf>
    <xf numFmtId="0" fontId="9" fillId="0" borderId="24" xfId="0" applyFont="1" applyBorder="1" applyAlignment="1">
      <alignment horizontal="center" vertical="center"/>
    </xf>
    <xf numFmtId="0" fontId="9" fillId="0" borderId="16" xfId="0" applyFont="1" applyBorder="1" applyAlignment="1">
      <alignment horizontal="center" vertical="center"/>
    </xf>
    <xf numFmtId="166" fontId="24" fillId="7" borderId="21" xfId="0" applyNumberFormat="1" applyFont="1" applyFill="1" applyBorder="1" applyAlignment="1">
      <alignment horizontal="center"/>
    </xf>
    <xf numFmtId="166" fontId="24" fillId="7" borderId="9" xfId="0" applyNumberFormat="1" applyFont="1" applyFill="1" applyBorder="1" applyAlignment="1">
      <alignment horizontal="center"/>
    </xf>
    <xf numFmtId="166" fontId="24" fillId="7" borderId="12" xfId="0" applyNumberFormat="1" applyFont="1" applyFill="1" applyBorder="1" applyAlignment="1">
      <alignment horizontal="center"/>
    </xf>
    <xf numFmtId="166" fontId="24" fillId="2" borderId="21" xfId="0" applyNumberFormat="1" applyFont="1" applyFill="1" applyBorder="1" applyAlignment="1">
      <alignment horizontal="center"/>
    </xf>
    <xf numFmtId="166" fontId="24" fillId="2" borderId="9" xfId="0" applyNumberFormat="1" applyFont="1" applyFill="1" applyBorder="1" applyAlignment="1">
      <alignment horizontal="center"/>
    </xf>
    <xf numFmtId="166" fontId="24" fillId="2" borderId="12" xfId="0" applyNumberFormat="1" applyFont="1" applyFill="1" applyBorder="1" applyAlignment="1">
      <alignment horizontal="center"/>
    </xf>
    <xf numFmtId="0" fontId="0" fillId="0" borderId="1" xfId="0" applyBorder="1" applyAlignment="1">
      <alignment horizontal="left" vertic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12"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3" xfId="0" applyBorder="1" applyAlignment="1">
      <alignment horizontal="center"/>
    </xf>
    <xf numFmtId="0" fontId="0" fillId="0" borderId="6" xfId="0" applyBorder="1" applyAlignment="1">
      <alignment horizont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33" fillId="0" borderId="0" xfId="0" applyFont="1" applyFill="1"/>
  </cellXfs>
  <cellStyles count="3">
    <cellStyle name="Hyperlink" xfId="2" builtinId="8"/>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onnections" Target="connection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Nr experts  per nr calibration vbls</a:t>
            </a:r>
          </a:p>
        </c:rich>
      </c:tx>
      <c:layout>
        <c:manualLayout>
          <c:xMode val="edge"/>
          <c:yMode val="edge"/>
          <c:x val="0.16086018951070241"/>
          <c:y val="1.1493061404304389E-2"/>
        </c:manualLayout>
      </c:layout>
      <c:overlay val="0"/>
    </c:title>
    <c:autoTitleDeleted val="0"/>
    <c:plotArea>
      <c:layout>
        <c:manualLayout>
          <c:layoutTarget val="inner"/>
          <c:xMode val="edge"/>
          <c:yMode val="edge"/>
          <c:x val="0.13247267234018587"/>
          <c:y val="0.18298872853623568"/>
          <c:w val="0.77818553721722361"/>
          <c:h val="0.6789508678780718"/>
        </c:manualLayout>
      </c:layout>
      <c:barChart>
        <c:barDir val="col"/>
        <c:grouping val="cluster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A5D1-4600-8DA0-41E964E94B38}"/>
            </c:ext>
          </c:extLst>
        </c:ser>
        <c:dLbls>
          <c:showLegendKey val="0"/>
          <c:showVal val="0"/>
          <c:showCatName val="0"/>
          <c:showSerName val="0"/>
          <c:showPercent val="0"/>
          <c:showBubbleSize val="0"/>
        </c:dLbls>
        <c:gapWidth val="150"/>
        <c:axId val="164209408"/>
        <c:axId val="164210944"/>
      </c:barChart>
      <c:catAx>
        <c:axId val="164209408"/>
        <c:scaling>
          <c:orientation val="minMax"/>
        </c:scaling>
        <c:delete val="0"/>
        <c:axPos val="b"/>
        <c:numFmt formatCode="General" sourceLinked="1"/>
        <c:majorTickMark val="out"/>
        <c:minorTickMark val="none"/>
        <c:tickLblPos val="nextTo"/>
        <c:crossAx val="164210944"/>
        <c:crosses val="autoZero"/>
        <c:auto val="1"/>
        <c:lblAlgn val="ctr"/>
        <c:lblOffset val="100"/>
        <c:noMultiLvlLbl val="0"/>
      </c:catAx>
      <c:valAx>
        <c:axId val="164210944"/>
        <c:scaling>
          <c:orientation val="minMax"/>
        </c:scaling>
        <c:delete val="0"/>
        <c:axPos val="l"/>
        <c:majorGridlines/>
        <c:numFmt formatCode="General" sourceLinked="1"/>
        <c:majorTickMark val="out"/>
        <c:minorTickMark val="none"/>
        <c:tickLblPos val="nextTo"/>
        <c:crossAx val="164209408"/>
        <c:crosses val="autoZero"/>
        <c:crossBetween val="between"/>
      </c:valAx>
    </c:plotArea>
    <c:plotVisOnly val="1"/>
    <c:dispBlanksAs val="gap"/>
    <c:showDLblsOverMax val="0"/>
  </c:chart>
  <c:printSettings>
    <c:headerFooter/>
    <c:pageMargins b="0.75000000000000455" l="0.70000000000000062" r="0.70000000000000062" t="0.7500000000000045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Nr experts  per nr calibration vbls</a:t>
            </a:r>
          </a:p>
        </c:rich>
      </c:tx>
      <c:layout>
        <c:manualLayout>
          <c:xMode val="edge"/>
          <c:yMode val="edge"/>
          <c:x val="0.16086018951070241"/>
          <c:y val="1.1493061404304389E-2"/>
        </c:manualLayout>
      </c:layout>
      <c:overlay val="0"/>
    </c:title>
    <c:autoTitleDeleted val="0"/>
    <c:plotArea>
      <c:layout>
        <c:manualLayout>
          <c:layoutTarget val="inner"/>
          <c:xMode val="edge"/>
          <c:yMode val="edge"/>
          <c:x val="0.13247267234018587"/>
          <c:y val="0.18298872853623557"/>
          <c:w val="0.77818553721722361"/>
          <c:h val="0.67895086787807124"/>
        </c:manualLayout>
      </c:layout>
      <c:barChart>
        <c:barDir val="col"/>
        <c:grouping val="clustered"/>
        <c:varyColors val="0"/>
        <c:ser>
          <c:idx val="0"/>
          <c:order val="0"/>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AAD2-49B2-82DF-C14FA160E819}"/>
            </c:ext>
          </c:extLst>
        </c:ser>
        <c:dLbls>
          <c:showLegendKey val="0"/>
          <c:showVal val="0"/>
          <c:showCatName val="0"/>
          <c:showSerName val="0"/>
          <c:showPercent val="0"/>
          <c:showBubbleSize val="0"/>
        </c:dLbls>
        <c:gapWidth val="150"/>
        <c:axId val="165064704"/>
        <c:axId val="165066240"/>
      </c:barChart>
      <c:catAx>
        <c:axId val="165064704"/>
        <c:scaling>
          <c:orientation val="minMax"/>
        </c:scaling>
        <c:delete val="0"/>
        <c:axPos val="b"/>
        <c:numFmt formatCode="General" sourceLinked="1"/>
        <c:majorTickMark val="out"/>
        <c:minorTickMark val="none"/>
        <c:tickLblPos val="nextTo"/>
        <c:crossAx val="165066240"/>
        <c:crosses val="autoZero"/>
        <c:auto val="1"/>
        <c:lblAlgn val="ctr"/>
        <c:lblOffset val="100"/>
        <c:noMultiLvlLbl val="0"/>
      </c:catAx>
      <c:valAx>
        <c:axId val="165066240"/>
        <c:scaling>
          <c:orientation val="minMax"/>
        </c:scaling>
        <c:delete val="0"/>
        <c:axPos val="l"/>
        <c:majorGridlines/>
        <c:numFmt formatCode="General" sourceLinked="1"/>
        <c:majorTickMark val="out"/>
        <c:minorTickMark val="none"/>
        <c:tickLblPos val="nextTo"/>
        <c:crossAx val="165064704"/>
        <c:crosses val="autoZero"/>
        <c:crossBetween val="between"/>
      </c:valAx>
    </c:plotArea>
    <c:plotVisOnly val="1"/>
    <c:dispBlanksAs val="gap"/>
    <c:showDLblsOverMax val="0"/>
  </c:chart>
  <c:printSettings>
    <c:headerFooter/>
    <c:pageMargins b="0.75000000000000433" l="0.70000000000000062" r="0.70000000000000062" t="0.750000000000004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Nr experts  per nr calibration vbls</a:t>
            </a:r>
          </a:p>
        </c:rich>
      </c:tx>
      <c:layout>
        <c:manualLayout>
          <c:xMode val="edge"/>
          <c:yMode val="edge"/>
          <c:x val="0.16086018951070241"/>
          <c:y val="1.1493061404304389E-2"/>
        </c:manualLayout>
      </c:layout>
      <c:overlay val="0"/>
    </c:title>
    <c:autoTitleDeleted val="0"/>
    <c:plotArea>
      <c:layout>
        <c:manualLayout>
          <c:layoutTarget val="inner"/>
          <c:xMode val="edge"/>
          <c:yMode val="edge"/>
          <c:x val="0.13247267234018587"/>
          <c:y val="0.18298872853623568"/>
          <c:w val="0.77818553721722361"/>
          <c:h val="0.6789508678780718"/>
        </c:manualLayout>
      </c:layout>
      <c:barChart>
        <c:barDir val="col"/>
        <c:grouping val="clustered"/>
        <c:varyColors val="0"/>
        <c:ser>
          <c:idx val="0"/>
          <c:order val="0"/>
          <c:tx>
            <c:v>Nr experts</c:v>
          </c:tx>
          <c:invertIfNegative val="0"/>
          <c:cat>
            <c:numLit>
              <c:formatCode>General</c:formatCode>
              <c:ptCount val="24"/>
              <c:pt idx="0">
                <c:v>7</c:v>
              </c:pt>
              <c:pt idx="1">
                <c:v>8</c:v>
              </c:pt>
              <c:pt idx="2">
                <c:v>9</c:v>
              </c:pt>
              <c:pt idx="3">
                <c:v>10</c:v>
              </c:pt>
              <c:pt idx="4">
                <c:v>11</c:v>
              </c:pt>
              <c:pt idx="5">
                <c:v>12</c:v>
              </c:pt>
              <c:pt idx="6">
                <c:v>13</c:v>
              </c:pt>
              <c:pt idx="7">
                <c:v>14</c:v>
              </c:pt>
              <c:pt idx="8">
                <c:v>15</c:v>
              </c:pt>
              <c:pt idx="9">
                <c:v>16</c:v>
              </c:pt>
              <c:pt idx="10">
                <c:v>17</c:v>
              </c:pt>
              <c:pt idx="11">
                <c:v>18</c:v>
              </c:pt>
              <c:pt idx="12">
                <c:v>19</c:v>
              </c:pt>
              <c:pt idx="13">
                <c:v>20</c:v>
              </c:pt>
              <c:pt idx="14">
                <c:v>21</c:v>
              </c:pt>
              <c:pt idx="15">
                <c:v>22</c:v>
              </c:pt>
              <c:pt idx="16">
                <c:v>23</c:v>
              </c:pt>
              <c:pt idx="17">
                <c:v>24</c:v>
              </c:pt>
              <c:pt idx="18">
                <c:v>25</c:v>
              </c:pt>
              <c:pt idx="19">
                <c:v>26</c:v>
              </c:pt>
              <c:pt idx="20">
                <c:v>27</c:v>
              </c:pt>
              <c:pt idx="21">
                <c:v>28</c:v>
              </c:pt>
              <c:pt idx="22">
                <c:v>29</c:v>
              </c:pt>
              <c:pt idx="23">
                <c:v>30</c:v>
              </c:pt>
            </c:numLit>
          </c:cat>
          <c:val>
            <c:numLit>
              <c:formatCode>General</c:formatCode>
              <c:ptCount val="24"/>
              <c:pt idx="0">
                <c:v>5</c:v>
              </c:pt>
              <c:pt idx="1">
                <c:v>49</c:v>
              </c:pt>
              <c:pt idx="2">
                <c:v>0</c:v>
              </c:pt>
              <c:pt idx="3">
                <c:v>195</c:v>
              </c:pt>
              <c:pt idx="4">
                <c:v>54</c:v>
              </c:pt>
              <c:pt idx="5">
                <c:v>12</c:v>
              </c:pt>
              <c:pt idx="6">
                <c:v>48</c:v>
              </c:pt>
              <c:pt idx="7">
                <c:v>91</c:v>
              </c:pt>
              <c:pt idx="8">
                <c:v>67</c:v>
              </c:pt>
              <c:pt idx="9">
                <c:v>55</c:v>
              </c:pt>
              <c:pt idx="10">
                <c:v>18</c:v>
              </c:pt>
              <c:pt idx="11">
                <c:v>40</c:v>
              </c:pt>
              <c:pt idx="12">
                <c:v>2</c:v>
              </c:pt>
              <c:pt idx="13">
                <c:v>6</c:v>
              </c:pt>
              <c:pt idx="14">
                <c:v>15</c:v>
              </c:pt>
              <c:pt idx="15">
                <c:v>0</c:v>
              </c:pt>
              <c:pt idx="16">
                <c:v>0</c:v>
              </c:pt>
              <c:pt idx="17">
                <c:v>0</c:v>
              </c:pt>
              <c:pt idx="18">
                <c:v>0</c:v>
              </c:pt>
              <c:pt idx="19">
                <c:v>0</c:v>
              </c:pt>
              <c:pt idx="20">
                <c:v>0</c:v>
              </c:pt>
              <c:pt idx="21">
                <c:v>0</c:v>
              </c:pt>
              <c:pt idx="22">
                <c:v>0</c:v>
              </c:pt>
              <c:pt idx="23">
                <c:v>6</c:v>
              </c:pt>
            </c:numLit>
          </c:val>
          <c:extLst>
            <c:ext xmlns:c16="http://schemas.microsoft.com/office/drawing/2014/chart" uri="{C3380CC4-5D6E-409C-BE32-E72D297353CC}">
              <c16:uniqueId val="{00000000-5E1F-4A3C-B777-55483473B207}"/>
            </c:ext>
          </c:extLst>
        </c:ser>
        <c:dLbls>
          <c:showLegendKey val="0"/>
          <c:showVal val="0"/>
          <c:showCatName val="0"/>
          <c:showSerName val="0"/>
          <c:showPercent val="0"/>
          <c:showBubbleSize val="0"/>
        </c:dLbls>
        <c:gapWidth val="150"/>
        <c:axId val="180210304"/>
        <c:axId val="179642752"/>
      </c:barChart>
      <c:catAx>
        <c:axId val="180210304"/>
        <c:scaling>
          <c:orientation val="minMax"/>
        </c:scaling>
        <c:delete val="0"/>
        <c:axPos val="b"/>
        <c:numFmt formatCode="General" sourceLinked="1"/>
        <c:majorTickMark val="out"/>
        <c:minorTickMark val="none"/>
        <c:tickLblPos val="nextTo"/>
        <c:crossAx val="179642752"/>
        <c:crosses val="autoZero"/>
        <c:auto val="1"/>
        <c:lblAlgn val="ctr"/>
        <c:lblOffset val="100"/>
        <c:noMultiLvlLbl val="0"/>
      </c:catAx>
      <c:valAx>
        <c:axId val="179642752"/>
        <c:scaling>
          <c:orientation val="minMax"/>
        </c:scaling>
        <c:delete val="0"/>
        <c:axPos val="l"/>
        <c:majorGridlines/>
        <c:numFmt formatCode="General" sourceLinked="1"/>
        <c:majorTickMark val="out"/>
        <c:minorTickMark val="none"/>
        <c:tickLblPos val="nextTo"/>
        <c:crossAx val="180210304"/>
        <c:crosses val="autoZero"/>
        <c:crossBetween val="between"/>
      </c:valAx>
    </c:plotArea>
    <c:plotVisOnly val="1"/>
    <c:dispBlanksAs val="gap"/>
    <c:showDLblsOverMax val="0"/>
  </c:chart>
  <c:printSettings>
    <c:headerFooter/>
    <c:pageMargins b="0.75000000000000455" l="0.70000000000000062" r="0.70000000000000062" t="0.75000000000000455" header="0.30000000000000032" footer="0.30000000000000032"/>
    <c:pageSetup/>
  </c:printSettings>
  <c:userShapes r:id="rId1"/>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486558</xdr:colOff>
      <xdr:row>68</xdr:row>
      <xdr:rowOff>131946</xdr:rowOff>
    </xdr:from>
    <xdr:to>
      <xdr:col>21</xdr:col>
      <xdr:colOff>593765</xdr:colOff>
      <xdr:row>80</xdr:row>
      <xdr:rowOff>148442</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1232078" y="12798960"/>
          <a:ext cx="5607792" cy="2391559"/>
        </a:xfrm>
        <a:prstGeom prst="rect">
          <a:avLst/>
        </a:prstGeom>
        <a:solidFill>
          <a:schemeClr val="tx2">
            <a:lumMod val="20000"/>
            <a:lumOff val="80000"/>
          </a:schemeClr>
        </a:solidFill>
        <a:ln w="2540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The blue cols are panel covariates based on SA</a:t>
          </a:r>
          <a:r>
            <a:rPr lang="en-US" sz="1100" baseline="0"/>
            <a:t> scores.</a:t>
          </a:r>
          <a:endParaRPr lang="en-US" sz="1100"/>
        </a:p>
        <a:p>
          <a:endParaRPr lang="en-US" sz="1100"/>
        </a:p>
        <a:p>
          <a:r>
            <a:rPr lang="en-US" sz="1100"/>
            <a:t>The  orange cols are panel covariates based on REH: higher nrs mean the original panel is less like the scrambled panels.</a:t>
          </a:r>
        </a:p>
        <a:p>
          <a:endParaRPr lang="en-US" sz="1100"/>
        </a:p>
        <a:p>
          <a:r>
            <a:rPr lang="en-US" sz="1100"/>
            <a:t>MD = median deviation is RMS percentage error. col Y is the ave MD over panel experts, col Z is ave MD of PW weighted sum of medians in original panel, col AA is MD</a:t>
          </a:r>
          <a:r>
            <a:rPr lang="en-US" sz="1100" baseline="0"/>
            <a:t>  is EW combination of expert medians (NOT MD of ew combination of distributions).  None of these is better in the orig panel than in the scrambled panels.</a:t>
          </a:r>
        </a:p>
        <a:p>
          <a:endParaRPr lang="en-US" sz="1100" baseline="0"/>
        </a:p>
        <a:p>
          <a:r>
            <a:rPr lang="en-US" sz="1100" baseline="0"/>
            <a:t>We know from our IJF that the medians of EW is better than EWMD and PWMD, and medians of PW is better still.   </a:t>
          </a:r>
          <a:r>
            <a:rPr lang="en-US" sz="1100" b="1" baseline="0"/>
            <a:t>We have an argument against crowdy wisdom.</a:t>
          </a:r>
        </a:p>
        <a:p>
          <a:endParaRPr lang="en-US" sz="1100" baseline="0"/>
        </a:p>
        <a:p>
          <a:endParaRPr lang="en-US" sz="110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28</xdr:col>
      <xdr:colOff>344881</xdr:colOff>
      <xdr:row>3</xdr:row>
      <xdr:rowOff>105886</xdr:rowOff>
    </xdr:from>
    <xdr:to>
      <xdr:col>37</xdr:col>
      <xdr:colOff>583870</xdr:colOff>
      <xdr:row>28</xdr:row>
      <xdr:rowOff>69274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180403</xdr:colOff>
      <xdr:row>26</xdr:row>
      <xdr:rowOff>151830</xdr:rowOff>
    </xdr:from>
    <xdr:to>
      <xdr:col>25</xdr:col>
      <xdr:colOff>214727</xdr:colOff>
      <xdr:row>28</xdr:row>
      <xdr:rowOff>74599</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5975574" y="4963316"/>
          <a:ext cx="1340610" cy="292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Experts</a:t>
          </a:r>
        </a:p>
      </xdr:txBody>
    </xdr:sp>
    <xdr:clientData/>
  </xdr:twoCellAnchor>
  <xdr:twoCellAnchor>
    <xdr:from>
      <xdr:col>23</xdr:col>
      <xdr:colOff>180403</xdr:colOff>
      <xdr:row>26</xdr:row>
      <xdr:rowOff>151830</xdr:rowOff>
    </xdr:from>
    <xdr:to>
      <xdr:col>25</xdr:col>
      <xdr:colOff>214727</xdr:colOff>
      <xdr:row>28</xdr:row>
      <xdr:rowOff>74599</xdr:rowOff>
    </xdr:to>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16002789" y="4963316"/>
          <a:ext cx="1340609" cy="292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Experts</a:t>
          </a:r>
        </a:p>
      </xdr:txBody>
    </xdr:sp>
    <xdr:clientData/>
  </xdr:twoCellAnchor>
  <xdr:twoCellAnchor>
    <xdr:from>
      <xdr:col>28</xdr:col>
      <xdr:colOff>344881</xdr:colOff>
      <xdr:row>3</xdr:row>
      <xdr:rowOff>105886</xdr:rowOff>
    </xdr:from>
    <xdr:to>
      <xdr:col>37</xdr:col>
      <xdr:colOff>583870</xdr:colOff>
      <xdr:row>28</xdr:row>
      <xdr:rowOff>69274</xdr:rowOff>
    </xdr:to>
    <xdr:graphicFrame macro="">
      <xdr:nvGraphicFramePr>
        <xdr:cNvPr id="20" name="Chart 19">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180403</xdr:colOff>
      <xdr:row>26</xdr:row>
      <xdr:rowOff>151830</xdr:rowOff>
    </xdr:from>
    <xdr:to>
      <xdr:col>25</xdr:col>
      <xdr:colOff>214727</xdr:colOff>
      <xdr:row>28</xdr:row>
      <xdr:rowOff>74599</xdr:rowOff>
    </xdr:to>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15975574" y="4963316"/>
          <a:ext cx="1340610" cy="292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Experts</a:t>
          </a:r>
        </a:p>
      </xdr:txBody>
    </xdr:sp>
    <xdr:clientData/>
  </xdr:twoCellAnchor>
  <xdr:twoCellAnchor>
    <xdr:from>
      <xdr:col>28</xdr:col>
      <xdr:colOff>344881</xdr:colOff>
      <xdr:row>3</xdr:row>
      <xdr:rowOff>105886</xdr:rowOff>
    </xdr:from>
    <xdr:to>
      <xdr:col>37</xdr:col>
      <xdr:colOff>583870</xdr:colOff>
      <xdr:row>28</xdr:row>
      <xdr:rowOff>69274</xdr:rowOff>
    </xdr:to>
    <xdr:graphicFrame macro="">
      <xdr:nvGraphicFramePr>
        <xdr:cNvPr id="4" name="Chart 3">
          <a:extLst>
            <a:ext uri="{FF2B5EF4-FFF2-40B4-BE49-F238E27FC236}">
              <a16:creationId xmlns:a16="http://schemas.microsoft.com/office/drawing/2014/main" id="{8BD84CC3-23AC-443F-AD2F-D82707F4C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180403</xdr:colOff>
      <xdr:row>26</xdr:row>
      <xdr:rowOff>151830</xdr:rowOff>
    </xdr:from>
    <xdr:to>
      <xdr:col>25</xdr:col>
      <xdr:colOff>214727</xdr:colOff>
      <xdr:row>28</xdr:row>
      <xdr:rowOff>74599</xdr:rowOff>
    </xdr:to>
    <xdr:sp macro="" textlink="">
      <xdr:nvSpPr>
        <xdr:cNvPr id="10" name="TextBox 9">
          <a:extLst>
            <a:ext uri="{FF2B5EF4-FFF2-40B4-BE49-F238E27FC236}">
              <a16:creationId xmlns:a16="http://schemas.microsoft.com/office/drawing/2014/main" id="{164A9547-6D00-4706-BB02-5A752C6DA7F5}"/>
            </a:ext>
          </a:extLst>
        </xdr:cNvPr>
        <xdr:cNvSpPr txBox="1"/>
      </xdr:nvSpPr>
      <xdr:spPr>
        <a:xfrm>
          <a:off x="19166903" y="4939730"/>
          <a:ext cx="1685324" cy="291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Experts</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0.30833</cdr:x>
      <cdr:y>0.90852</cdr:y>
    </cdr:from>
    <cdr:to>
      <cdr:x>0.69722</cdr:x>
      <cdr:y>0.99584</cdr:y>
    </cdr:to>
    <cdr:sp macro="" textlink="">
      <cdr:nvSpPr>
        <cdr:cNvPr id="2" name="TextBox 1"/>
        <cdr:cNvSpPr txBox="1"/>
      </cdr:nvSpPr>
      <cdr:spPr>
        <a:xfrm xmlns:a="http://schemas.openxmlformats.org/drawingml/2006/main">
          <a:off x="1409700" y="2774950"/>
          <a:ext cx="17780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calibration vbls</a:t>
          </a:r>
        </a:p>
      </cdr:txBody>
    </cdr:sp>
  </cdr:relSizeAnchor>
  <cdr:relSizeAnchor xmlns:cdr="http://schemas.openxmlformats.org/drawingml/2006/chartDrawing">
    <cdr:from>
      <cdr:x>0.00265</cdr:x>
      <cdr:y>0.29125</cdr:y>
    </cdr:from>
    <cdr:to>
      <cdr:x>0.0957</cdr:x>
      <cdr:y>0.68002</cdr:y>
    </cdr:to>
    <cdr:sp macro="" textlink="">
      <cdr:nvSpPr>
        <cdr:cNvPr id="3" name="TextBox 2"/>
        <cdr:cNvSpPr txBox="1"/>
      </cdr:nvSpPr>
      <cdr:spPr>
        <a:xfrm xmlns:a="http://schemas.openxmlformats.org/drawingml/2006/main" rot="16200000">
          <a:off x="-341255" y="1137890"/>
          <a:ext cx="1050144" cy="3478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Experts</a:t>
          </a:r>
        </a:p>
      </cdr:txBody>
    </cdr:sp>
  </cdr:relSizeAnchor>
</c:userShapes>
</file>

<file path=xl/drawings/drawing4.xml><?xml version="1.0" encoding="utf-8"?>
<c:userShapes xmlns:c="http://schemas.openxmlformats.org/drawingml/2006/chart">
  <cdr:relSizeAnchor xmlns:cdr="http://schemas.openxmlformats.org/drawingml/2006/chartDrawing">
    <cdr:from>
      <cdr:x>0.30833</cdr:x>
      <cdr:y>0.90852</cdr:y>
    </cdr:from>
    <cdr:to>
      <cdr:x>0.69722</cdr:x>
      <cdr:y>0.99584</cdr:y>
    </cdr:to>
    <cdr:sp macro="" textlink="">
      <cdr:nvSpPr>
        <cdr:cNvPr id="2" name="TextBox 1"/>
        <cdr:cNvSpPr txBox="1"/>
      </cdr:nvSpPr>
      <cdr:spPr>
        <a:xfrm xmlns:a="http://schemas.openxmlformats.org/drawingml/2006/main">
          <a:off x="1409700" y="2774950"/>
          <a:ext cx="17780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calibration vbls</a:t>
          </a:r>
        </a:p>
      </cdr:txBody>
    </cdr:sp>
  </cdr:relSizeAnchor>
  <cdr:relSizeAnchor xmlns:cdr="http://schemas.openxmlformats.org/drawingml/2006/chartDrawing">
    <cdr:from>
      <cdr:x>0.00265</cdr:x>
      <cdr:y>0.29125</cdr:y>
    </cdr:from>
    <cdr:to>
      <cdr:x>0.0957</cdr:x>
      <cdr:y>0.68002</cdr:y>
    </cdr:to>
    <cdr:sp macro="" textlink="">
      <cdr:nvSpPr>
        <cdr:cNvPr id="3" name="TextBox 2"/>
        <cdr:cNvSpPr txBox="1"/>
      </cdr:nvSpPr>
      <cdr:spPr>
        <a:xfrm xmlns:a="http://schemas.openxmlformats.org/drawingml/2006/main" rot="16200000">
          <a:off x="-341255" y="1137890"/>
          <a:ext cx="1050144" cy="3478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Experts</a:t>
          </a:r>
        </a:p>
      </cdr:txBody>
    </cdr:sp>
  </cdr:relSizeAnchor>
</c:userShapes>
</file>

<file path=xl/drawings/drawing5.xml><?xml version="1.0" encoding="utf-8"?>
<c:userShapes xmlns:c="http://schemas.openxmlformats.org/drawingml/2006/chart">
  <cdr:relSizeAnchor xmlns:cdr="http://schemas.openxmlformats.org/drawingml/2006/chartDrawing">
    <cdr:from>
      <cdr:x>0.30833</cdr:x>
      <cdr:y>0.90852</cdr:y>
    </cdr:from>
    <cdr:to>
      <cdr:x>0.69722</cdr:x>
      <cdr:y>0.99584</cdr:y>
    </cdr:to>
    <cdr:sp macro="" textlink="">
      <cdr:nvSpPr>
        <cdr:cNvPr id="2" name="TextBox 1"/>
        <cdr:cNvSpPr txBox="1"/>
      </cdr:nvSpPr>
      <cdr:spPr>
        <a:xfrm xmlns:a="http://schemas.openxmlformats.org/drawingml/2006/main">
          <a:off x="1409700" y="2774950"/>
          <a:ext cx="1778000"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calibration vbls</a:t>
          </a:r>
        </a:p>
      </cdr:txBody>
    </cdr:sp>
  </cdr:relSizeAnchor>
  <cdr:relSizeAnchor xmlns:cdr="http://schemas.openxmlformats.org/drawingml/2006/chartDrawing">
    <cdr:from>
      <cdr:x>0.00265</cdr:x>
      <cdr:y>0.29125</cdr:y>
    </cdr:from>
    <cdr:to>
      <cdr:x>0.0957</cdr:x>
      <cdr:y>0.68002</cdr:y>
    </cdr:to>
    <cdr:sp macro="" textlink="">
      <cdr:nvSpPr>
        <cdr:cNvPr id="3" name="TextBox 2"/>
        <cdr:cNvSpPr txBox="1"/>
      </cdr:nvSpPr>
      <cdr:spPr>
        <a:xfrm xmlns:a="http://schemas.openxmlformats.org/drawingml/2006/main" rot="16200000">
          <a:off x="-341255" y="1137890"/>
          <a:ext cx="1050144" cy="3478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t>Nr Experts</a:t>
          </a:r>
        </a:p>
      </cdr:txBody>
    </cdr: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CE_2018" connectionId="4" xr16:uid="{00000000-0016-0000-02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2em seed" connectionId="1" xr16:uid="{00000000-0016-0000-0E00-00000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DP2300-9_1" connectionId="2" xr16:uid="{00000000-0016-0000-1B00-000003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GDP2300-9_2" connectionId="3" xr16:uid="{00000000-0016-0000-1B00-00000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pubmed.ncbi.nlm.nih.gov/31276536/" TargetMode="External"/><Relationship Id="rId13" Type="http://schemas.openxmlformats.org/officeDocument/2006/relationships/hyperlink" Target="https://www.tandfonline.com/doi/full/10.1080/00028487.2015.1069211" TargetMode="External"/><Relationship Id="rId18" Type="http://schemas.openxmlformats.org/officeDocument/2006/relationships/hyperlink" Target="https://repository.tudelft.nl/islandora/object/uuid%3Ae4c5e6b0-9e20-4e61-993e-1d9bd0e23d07" TargetMode="External"/><Relationship Id="rId3" Type="http://schemas.openxmlformats.org/officeDocument/2006/relationships/hyperlink" Target="https://www.rff.org/publications/working-papers/the-social-cost-of-carbon-advances-in-long-term-probabilistic-projections-of-population-gdp-emissions-and-discount-rates/" TargetMode="External"/><Relationship Id="rId21" Type="http://schemas.openxmlformats.org/officeDocument/2006/relationships/printerSettings" Target="../printerSettings/printerSettings1.bin"/><Relationship Id="rId7" Type="http://schemas.openxmlformats.org/officeDocument/2006/relationships/hyperlink" Target="https://pubmed.ncbi.nlm.nih.gov/31276536/" TargetMode="External"/><Relationship Id="rId12" Type="http://schemas.openxmlformats.org/officeDocument/2006/relationships/hyperlink" Target="https://conbio.onlinelibrary.wiley.com/doi/full/10.1111/cobi.12369" TargetMode="External"/><Relationship Id="rId17" Type="http://schemas.openxmlformats.org/officeDocument/2006/relationships/hyperlink" Target="https://www.rff.org/publications/working-papers/how-does-breastfeeding-affect-iq-applying-the-classical-model-of-structured-expert-judgment/" TargetMode="External"/><Relationship Id="rId2" Type="http://schemas.openxmlformats.org/officeDocument/2006/relationships/hyperlink" Target="https://www.rff.org/publications/working-papers/the-social-cost-of-carbon-advances-in-long-term-probabilistic-projections-of-population-gdp-emissions-and-discount-rates/" TargetMode="External"/><Relationship Id="rId16" Type="http://schemas.openxmlformats.org/officeDocument/2006/relationships/hyperlink" Target="https://pubs.geoscienceworld.org/ssa/srl/article-abstract/87/6/1311/314161/A-Hybrid-Time-Dependent-Probabilistic-Seismic?redirectedFrom=fulltext" TargetMode="External"/><Relationship Id="rId20" Type="http://schemas.openxmlformats.org/officeDocument/2006/relationships/hyperlink" Target="https://www.sciencedirect.com/science/article/abs/pii/S0951832018303296" TargetMode="External"/><Relationship Id="rId1" Type="http://schemas.openxmlformats.org/officeDocument/2006/relationships/hyperlink" Target="https://pubmed.ncbi.nlm.nih.gov/23672712/" TargetMode="External"/><Relationship Id="rId6" Type="http://schemas.openxmlformats.org/officeDocument/2006/relationships/hyperlink" Target="https://pubmed.ncbi.nlm.nih.gov/31276536/" TargetMode="External"/><Relationship Id="rId11" Type="http://schemas.openxmlformats.org/officeDocument/2006/relationships/hyperlink" Target="https://bmjopen.bmj.com/content/10/3/e032376.responses" TargetMode="External"/><Relationship Id="rId24" Type="http://schemas.openxmlformats.org/officeDocument/2006/relationships/comments" Target="../comments1.xml"/><Relationship Id="rId5" Type="http://schemas.openxmlformats.org/officeDocument/2006/relationships/hyperlink" Target="https://pubmed.ncbi.nlm.nih.gov/31276536/" TargetMode="External"/><Relationship Id="rId15" Type="http://schemas.openxmlformats.org/officeDocument/2006/relationships/hyperlink" Target="https://www.pnas.org/doi/10.1073/pnas.1817205116" TargetMode="External"/><Relationship Id="rId23" Type="http://schemas.openxmlformats.org/officeDocument/2006/relationships/vmlDrawing" Target="../drawings/vmlDrawing1.vml"/><Relationship Id="rId10" Type="http://schemas.openxmlformats.org/officeDocument/2006/relationships/hyperlink" Target="https://papers.ssrn.com/sol3/papers.cfm?abstract_id=3094387" TargetMode="External"/><Relationship Id="rId19" Type="http://schemas.openxmlformats.org/officeDocument/2006/relationships/hyperlink" Target="https://repository.tudelft.nl/islandora/object/uuid%3Ae4c5e6b0-9e20-4e61-993e-1d9bd0e23d07" TargetMode="External"/><Relationship Id="rId4" Type="http://schemas.openxmlformats.org/officeDocument/2006/relationships/hyperlink" Target="https://wwwnc.cdc.gov/eid/article/27/1/20-0316_article" TargetMode="External"/><Relationship Id="rId9" Type="http://schemas.openxmlformats.org/officeDocument/2006/relationships/hyperlink" Target="https://online.ucpress.edu/elementa" TargetMode="External"/><Relationship Id="rId14" Type="http://schemas.openxmlformats.org/officeDocument/2006/relationships/hyperlink" Target="https://www.tandfonline.com/doi/full/10.1080/00028487.2015.1069211" TargetMode="External"/><Relationship Id="rId2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researchgate.net/publication/250078159_Future_declines_of_the_binational_Laurentian_Great_Lakes_fisheries_The_importance_of_environmental_and_cultural_change" TargetMode="External"/><Relationship Id="rId18" Type="http://schemas.openxmlformats.org/officeDocument/2006/relationships/hyperlink" Target="https://journals.sagepub.com/doi/10.3141/2400-02" TargetMode="External"/><Relationship Id="rId26" Type="http://schemas.openxmlformats.org/officeDocument/2006/relationships/hyperlink" Target="https://www.tandfonline.com/doi/abs/10.1080/14693062.2017.1373623?journalCode=tcpo20" TargetMode="External"/><Relationship Id="rId39" Type="http://schemas.openxmlformats.org/officeDocument/2006/relationships/hyperlink" Target="https://doi.org/10.1785/0220160084" TargetMode="External"/><Relationship Id="rId21" Type="http://schemas.openxmlformats.org/officeDocument/2006/relationships/hyperlink" Target="https://www.pnas.org/doi/10.1073/pnas.1817205116" TargetMode="External"/><Relationship Id="rId34" Type="http://schemas.openxmlformats.org/officeDocument/2006/relationships/hyperlink" Target="https://pubmed.ncbi.nlm.nih.gov/25044130/" TargetMode="External"/><Relationship Id="rId42" Type="http://schemas.openxmlformats.org/officeDocument/2006/relationships/hyperlink" Target="https://www.sciencedirect.com/science/article/pii/S0951832022001880" TargetMode="External"/><Relationship Id="rId7" Type="http://schemas.openxmlformats.org/officeDocument/2006/relationships/hyperlink" Target="https://www.rff.org/publications/working-papers/the-social-cost-of-carbon-advances-in-long-term-probabilistic-projections-of-population-gdp-emissions-and-discount-rates/" TargetMode="External"/><Relationship Id="rId2" Type="http://schemas.openxmlformats.org/officeDocument/2006/relationships/hyperlink" Target="http://www.rff.org/research/publications/how-does-breastfeeding-affect-iq-applying-classical-model-structured-expert" TargetMode="External"/><Relationship Id="rId16" Type="http://schemas.openxmlformats.org/officeDocument/2006/relationships/hyperlink" Target="https://agupubs.onlinelibrary.wiley.com/doi/full/10.1002/2016JB013858" TargetMode="External"/><Relationship Id="rId20" Type="http://schemas.openxmlformats.org/officeDocument/2006/relationships/hyperlink" Target="https://www.nature.com/articles/nclimate1778" TargetMode="External"/><Relationship Id="rId29" Type="http://schemas.openxmlformats.org/officeDocument/2006/relationships/hyperlink" Target="https://www.tandfonline.com/doi/abs/10.1080/13669877.2014.971334" TargetMode="External"/><Relationship Id="rId41" Type="http://schemas.openxmlformats.org/officeDocument/2006/relationships/hyperlink" Target="http://www.nat-hazards-earth-syst-sci-discuss.net/1/7779/2013/" TargetMode="External"/><Relationship Id="rId1" Type="http://schemas.openxmlformats.org/officeDocument/2006/relationships/hyperlink" Target="https://www.researchgate.net/publication/297259911_EEMCS_Final_Report_for_the_Causal_Modeling_for_Air_Transport_Safety_CATS" TargetMode="External"/><Relationship Id="rId6" Type="http://schemas.openxmlformats.org/officeDocument/2006/relationships/hyperlink" Target="https://www.rff.org/publications/working-papers/the-social-cost-of-carbon-advances-in-long-term-probabilistic-projections-of-population-gdp-emissions-and-discount-rates/" TargetMode="External"/><Relationship Id="rId11" Type="http://schemas.openxmlformats.org/officeDocument/2006/relationships/hyperlink" Target="https://bmjopen.bmj.com/content/5/6/e007233" TargetMode="External"/><Relationship Id="rId24" Type="http://schemas.openxmlformats.org/officeDocument/2006/relationships/hyperlink" Target="https://www.researchgate.net/publication/331488690_Expert_judgments_calibration_and_combination_for_assessment_of_river_levee_failure_probability" TargetMode="External"/><Relationship Id="rId32" Type="http://schemas.openxmlformats.org/officeDocument/2006/relationships/hyperlink" Target="https://www.elementascience.org/articles/63" TargetMode="External"/><Relationship Id="rId37" Type="http://schemas.openxmlformats.org/officeDocument/2006/relationships/hyperlink" Target="https://journals.plos.org/plosone/article?id=10.1371/journal.pone.0219190" TargetMode="External"/><Relationship Id="rId40" Type="http://schemas.openxmlformats.org/officeDocument/2006/relationships/hyperlink" Target="https://journals.sagepub.com/doi/10.1193/021913EQS037M" TargetMode="External"/><Relationship Id="rId5" Type="http://schemas.openxmlformats.org/officeDocument/2006/relationships/hyperlink" Target="https://doi.org/10.3201/eid2701.200316" TargetMode="External"/><Relationship Id="rId15" Type="http://schemas.openxmlformats.org/officeDocument/2006/relationships/hyperlink" Target="https://agupubs.onlinelibrary.wiley.com/doi/full/10.1002/2014JB011775" TargetMode="External"/><Relationship Id="rId23" Type="http://schemas.openxmlformats.org/officeDocument/2006/relationships/hyperlink" Target="https://www.sciencedirect.com/science/article/abs/pii/S0951832013001993" TargetMode="External"/><Relationship Id="rId28" Type="http://schemas.openxmlformats.org/officeDocument/2006/relationships/hyperlink" Target="https://www.tandfonline.com/doi/abs/10.1080/13669877.2014.971334" TargetMode="External"/><Relationship Id="rId36" Type="http://schemas.openxmlformats.org/officeDocument/2006/relationships/hyperlink" Target="https://www.researchgate.net/publication/297259911_EEMCS_Final_Report_for_the_Causal_Modeling_for_Air_Transport_Safety_CATS" TargetMode="External"/><Relationship Id="rId10" Type="http://schemas.openxmlformats.org/officeDocument/2006/relationships/hyperlink" Target="https://www.tandfonline.com/doi/abs/10.1080/15287394.2016.1174005?journalCode=uteh20" TargetMode="External"/><Relationship Id="rId19" Type="http://schemas.openxmlformats.org/officeDocument/2006/relationships/hyperlink" Target="https://pubmed.ncbi.nlm.nih.gov/23672712/" TargetMode="External"/><Relationship Id="rId31" Type="http://schemas.openxmlformats.org/officeDocument/2006/relationships/hyperlink" Target="https://www.elementascience.org/articles/79" TargetMode="External"/><Relationship Id="rId44" Type="http://schemas.openxmlformats.org/officeDocument/2006/relationships/hyperlink" Target="https://www.jvolcanica.org/ojs/index.php/volcanica/article/view/126" TargetMode="External"/><Relationship Id="rId4" Type="http://schemas.openxmlformats.org/officeDocument/2006/relationships/hyperlink" Target="https://papers.ssrn.com/sol3/papers.cfm?abstract_id=2704189" TargetMode="External"/><Relationship Id="rId9" Type="http://schemas.openxmlformats.org/officeDocument/2006/relationships/hyperlink" Target="https://www.tandfonline.com/doi/abs/10.1080/15287394.2016.1174005?journalCode=uteh20" TargetMode="External"/><Relationship Id="rId14" Type="http://schemas.openxmlformats.org/officeDocument/2006/relationships/hyperlink" Target="https://agupubs.onlinelibrary.wiley.com/doi/full/10.1002/2016JB013858" TargetMode="External"/><Relationship Id="rId22" Type="http://schemas.openxmlformats.org/officeDocument/2006/relationships/hyperlink" Target="https://journals.plos.org/plosone/article?id=10.1371/journal.pone.0219190" TargetMode="External"/><Relationship Id="rId27" Type="http://schemas.openxmlformats.org/officeDocument/2006/relationships/hyperlink" Target="https://journals.plos.org/plosone/article?id=10.1371/journal.pone.0219190" TargetMode="External"/><Relationship Id="rId30" Type="http://schemas.openxmlformats.org/officeDocument/2006/relationships/hyperlink" Target="https://journals.plos.org/plosone/article?id=10.1371/journal.pone.0219190" TargetMode="External"/><Relationship Id="rId35" Type="http://schemas.openxmlformats.org/officeDocument/2006/relationships/hyperlink" Target="https://www.tandfonline.com/doi/full/10.1080/00028487.2015.1069211" TargetMode="External"/><Relationship Id="rId43" Type="http://schemas.openxmlformats.org/officeDocument/2006/relationships/hyperlink" Target="https://doi.org/10.1007/s00445-021-01458-z" TargetMode="External"/><Relationship Id="rId8" Type="http://schemas.openxmlformats.org/officeDocument/2006/relationships/hyperlink" Target="https://www.inderscience.com/info/inarticle.php?artid=47552" TargetMode="External"/><Relationship Id="rId3" Type="http://schemas.openxmlformats.org/officeDocument/2006/relationships/hyperlink" Target="https://bmjopen.bmj.com/content/10/3/e032376.responses" TargetMode="External"/><Relationship Id="rId12" Type="http://schemas.openxmlformats.org/officeDocument/2006/relationships/hyperlink" Target="https://coastalscience.noaa.gov/data_reports/ship-borne-nonindigenous-species-diminish-great-lakes-ecosystem-services/" TargetMode="External"/><Relationship Id="rId17" Type="http://schemas.openxmlformats.org/officeDocument/2006/relationships/hyperlink" Target="https://www.tandfonline.com/doi/abs/10.1080/13669877.2014.971334" TargetMode="External"/><Relationship Id="rId25" Type="http://schemas.openxmlformats.org/officeDocument/2006/relationships/hyperlink" Target="https://www.tandfonline.com/doi/abs/10.1080/14693062.2017.1373623?journalCode=tcpo20" TargetMode="External"/><Relationship Id="rId33" Type="http://schemas.openxmlformats.org/officeDocument/2006/relationships/hyperlink" Target="https://pubs.er.usgs.gov/publication/70114464" TargetMode="External"/><Relationship Id="rId38" Type="http://schemas.openxmlformats.org/officeDocument/2006/relationships/hyperlink" Target="https://www.academia.edu/26203570/_Ask_The_Experts_Forward_Looking_Political_Violence_Frequncy_Via_Structured_Expert_Judgement_SEJ_For_Re_insuranc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tandfonline.com/doi/full/10.1080/00028487.2015.1069211" TargetMode="External"/><Relationship Id="rId5" Type="http://schemas.openxmlformats.org/officeDocument/2006/relationships/comments" Target="../comments2.xml"/><Relationship Id="rId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queryTable" Target="../queryTables/queryTable3.xml"/></Relationships>
</file>

<file path=xl/worksheets/_rels/sheet4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4"/>
  <dimension ref="A1:AY66"/>
  <sheetViews>
    <sheetView showGridLines="0" topLeftCell="A44" zoomScaleNormal="100" workbookViewId="0">
      <selection activeCell="D3" sqref="D3:D62"/>
    </sheetView>
  </sheetViews>
  <sheetFormatPr defaultColWidth="8.81640625" defaultRowHeight="15.5" customHeight="1" x14ac:dyDescent="0.35"/>
  <cols>
    <col min="1" max="1" width="8.81640625" style="46"/>
    <col min="2" max="2" width="14.81640625" style="45" customWidth="1"/>
    <col min="3" max="3" width="8.81640625" style="46"/>
    <col min="4" max="4" width="12.81640625" style="46" customWidth="1"/>
    <col min="5" max="5" width="36.81640625" style="51" customWidth="1"/>
    <col min="6" max="6" width="8.1796875" style="113" customWidth="1"/>
    <col min="7" max="7" width="8.81640625" style="16"/>
    <col min="8" max="8" width="8.1796875" style="16" customWidth="1"/>
    <col min="9" max="9" width="7.81640625" style="47" customWidth="1"/>
    <col min="10" max="12" width="9.1796875" style="139"/>
    <col min="13" max="13" width="13.453125" style="7" customWidth="1"/>
    <col min="14" max="20" width="9.1796875" style="139"/>
    <col min="21" max="21" width="12.453125" style="139" customWidth="1"/>
    <col min="22" max="22" width="15.54296875" style="27" customWidth="1"/>
    <col min="24" max="24" width="12" customWidth="1"/>
    <col min="25" max="25" width="17.6328125" customWidth="1"/>
    <col min="26" max="26" width="6.6328125" style="46" customWidth="1"/>
    <col min="27" max="27" width="8.81640625" style="45"/>
    <col min="28" max="28" width="10.453125" style="45" customWidth="1"/>
    <col min="29" max="29" width="8.81640625" style="45"/>
    <col min="30" max="30" width="13.1796875" style="45" customWidth="1"/>
    <col min="31" max="31" width="16.54296875" style="45" customWidth="1"/>
    <col min="32" max="16384" width="8.81640625" style="45"/>
  </cols>
  <sheetData>
    <row r="1" spans="1:31" s="44" customFormat="1" ht="15.5" customHeight="1" thickTop="1" thickBot="1" x14ac:dyDescent="0.4">
      <c r="A1" s="8" t="s">
        <v>340</v>
      </c>
      <c r="B1" s="56" t="s">
        <v>354</v>
      </c>
      <c r="C1" s="8" t="s">
        <v>698</v>
      </c>
      <c r="D1" s="8" t="s">
        <v>423</v>
      </c>
      <c r="E1" s="57" t="s">
        <v>355</v>
      </c>
      <c r="F1" s="112" t="s">
        <v>864</v>
      </c>
      <c r="G1" s="8" t="s">
        <v>398</v>
      </c>
      <c r="H1" s="63" t="s">
        <v>863</v>
      </c>
      <c r="I1" s="64" t="s">
        <v>862</v>
      </c>
      <c r="J1" s="152" t="s">
        <v>978</v>
      </c>
      <c r="K1" s="153"/>
      <c r="L1" s="153"/>
      <c r="M1" s="154"/>
      <c r="N1" s="155" t="s">
        <v>302</v>
      </c>
      <c r="O1" s="156"/>
      <c r="P1" s="156"/>
      <c r="Q1" s="156"/>
      <c r="R1" s="156"/>
      <c r="S1" s="156"/>
      <c r="T1" s="156"/>
      <c r="U1" s="157"/>
      <c r="V1" s="116"/>
      <c r="Y1" s="144" t="s">
        <v>863</v>
      </c>
      <c r="Z1" s="144"/>
      <c r="AA1" s="144"/>
      <c r="AB1" s="144" t="s">
        <v>997</v>
      </c>
      <c r="AC1" s="144"/>
      <c r="AD1" s="96" t="s">
        <v>998</v>
      </c>
    </row>
    <row r="2" spans="1:31" ht="15.5" customHeight="1" x14ac:dyDescent="0.3">
      <c r="C2" s="45"/>
      <c r="D2" s="45"/>
      <c r="E2" s="45"/>
      <c r="F2" s="46"/>
      <c r="G2" s="46"/>
      <c r="H2" s="45"/>
      <c r="I2" s="45"/>
      <c r="J2" s="117" t="s">
        <v>299</v>
      </c>
      <c r="K2" s="118" t="s">
        <v>267</v>
      </c>
      <c r="L2" s="118" t="s">
        <v>268</v>
      </c>
      <c r="M2" s="85" t="s">
        <v>979</v>
      </c>
      <c r="N2" s="119" t="s">
        <v>266</v>
      </c>
      <c r="O2" s="120" t="s">
        <v>267</v>
      </c>
      <c r="P2" s="120" t="s">
        <v>268</v>
      </c>
      <c r="Q2" s="120" t="s">
        <v>979</v>
      </c>
      <c r="R2" s="120" t="s">
        <v>300</v>
      </c>
      <c r="S2" s="120" t="s">
        <v>301</v>
      </c>
      <c r="T2" s="120" t="s">
        <v>334</v>
      </c>
      <c r="U2" s="121" t="s">
        <v>298</v>
      </c>
      <c r="V2" s="122" t="s">
        <v>270</v>
      </c>
      <c r="W2" s="45"/>
      <c r="X2" s="45"/>
      <c r="Y2" s="97" t="s">
        <v>992</v>
      </c>
      <c r="Z2" s="97" t="s">
        <v>993</v>
      </c>
      <c r="AA2" s="97" t="s">
        <v>994</v>
      </c>
      <c r="AB2" s="97" t="s">
        <v>995</v>
      </c>
      <c r="AC2" s="97" t="s">
        <v>996</v>
      </c>
      <c r="AD2" s="97" t="s">
        <v>999</v>
      </c>
      <c r="AE2" s="97" t="s">
        <v>1000</v>
      </c>
    </row>
    <row r="3" spans="1:31" ht="15.5" customHeight="1" x14ac:dyDescent="0.35">
      <c r="A3" s="16">
        <v>1</v>
      </c>
      <c r="B3" t="s">
        <v>807</v>
      </c>
      <c r="C3" s="16">
        <v>4</v>
      </c>
      <c r="D3" s="16">
        <v>10</v>
      </c>
      <c r="E3" s="58" t="s">
        <v>356</v>
      </c>
      <c r="F3" s="16">
        <v>2011</v>
      </c>
      <c r="G3" s="16">
        <v>5</v>
      </c>
      <c r="H3" s="16" t="s">
        <v>399</v>
      </c>
      <c r="I3" s="50" t="s">
        <v>403</v>
      </c>
      <c r="J3" s="91">
        <v>7.9954382031512353E-2</v>
      </c>
      <c r="K3" s="92">
        <v>0.15573749074854076</v>
      </c>
      <c r="L3" s="92">
        <v>0.31351835183210985</v>
      </c>
      <c r="M3" s="86">
        <v>1.0661465211978857E-6</v>
      </c>
      <c r="N3" s="123">
        <v>0.97699999999999998</v>
      </c>
      <c r="O3" s="19">
        <v>0.96099999999999997</v>
      </c>
      <c r="P3" s="20">
        <v>0.94599999999999995</v>
      </c>
      <c r="Q3" s="124">
        <v>0.84299999999999997</v>
      </c>
      <c r="R3" s="125">
        <v>0.91700000000000004</v>
      </c>
      <c r="S3" s="125">
        <v>0.91300000000000003</v>
      </c>
      <c r="T3" s="125">
        <v>0.91500000000000004</v>
      </c>
      <c r="U3" s="126">
        <v>0.79800000000000004</v>
      </c>
      <c r="V3" s="127">
        <v>-0.8</v>
      </c>
      <c r="W3" s="45"/>
      <c r="X3" s="45"/>
      <c r="Y3" s="46">
        <f>COUNTIF(H:H,"=H")</f>
        <v>17</v>
      </c>
      <c r="Z3" s="46">
        <f>COUNTIF(H:H,"=S")</f>
        <v>27</v>
      </c>
      <c r="AA3" s="46">
        <f>COUNTIF(H:H,"=P")</f>
        <v>16</v>
      </c>
      <c r="AB3" s="46">
        <f>COUNTIF(I:I,"=individ")</f>
        <v>32</v>
      </c>
      <c r="AC3" s="46">
        <f>COUNTIF(I:I,"=Plen")</f>
        <v>21</v>
      </c>
      <c r="AD3" s="46">
        <f>COUNTIF(G:G,"=3")</f>
        <v>43</v>
      </c>
      <c r="AE3" s="46">
        <f>COUNTIF(G:G,"=5")</f>
        <v>17</v>
      </c>
    </row>
    <row r="4" spans="1:31" ht="15.5" customHeight="1" x14ac:dyDescent="0.35">
      <c r="A4" s="16">
        <v>2</v>
      </c>
      <c r="B4" t="s">
        <v>808</v>
      </c>
      <c r="C4" s="16">
        <v>9</v>
      </c>
      <c r="D4" s="16">
        <v>10</v>
      </c>
      <c r="E4" s="58" t="s">
        <v>357</v>
      </c>
      <c r="F4" s="16">
        <v>2007</v>
      </c>
      <c r="G4" s="16">
        <v>3</v>
      </c>
      <c r="H4" s="16" t="s">
        <v>400</v>
      </c>
      <c r="I4" s="48" t="s">
        <v>402</v>
      </c>
      <c r="J4" s="91">
        <v>4.8363467968649898E-3</v>
      </c>
      <c r="K4" s="92">
        <v>1.1766013461162812E-2</v>
      </c>
      <c r="L4" s="92">
        <v>3.5743601269638194E-2</v>
      </c>
      <c r="M4" s="86">
        <v>9.8552809172540841E-7</v>
      </c>
      <c r="N4" s="93">
        <v>0.60099999999999998</v>
      </c>
      <c r="O4" s="94">
        <v>0.61899999999999999</v>
      </c>
      <c r="P4" s="94">
        <v>0.59</v>
      </c>
      <c r="Q4" s="94">
        <v>0.41199999999999998</v>
      </c>
      <c r="R4" s="94">
        <v>0.66700000000000004</v>
      </c>
      <c r="S4" s="94">
        <v>0.71899999999999997</v>
      </c>
      <c r="T4" s="94">
        <v>0.72199999999999998</v>
      </c>
      <c r="U4" s="128">
        <v>0.373</v>
      </c>
      <c r="V4" s="127">
        <v>-0.27500000000000002</v>
      </c>
      <c r="W4" s="45"/>
      <c r="X4" s="45"/>
      <c r="Y4" s="46"/>
      <c r="AA4" s="46"/>
      <c r="AB4" s="46"/>
      <c r="AC4" s="46"/>
      <c r="AD4" s="46"/>
      <c r="AE4" s="46"/>
    </row>
    <row r="5" spans="1:31" ht="15.5" customHeight="1" x14ac:dyDescent="0.35">
      <c r="A5" s="16">
        <v>3</v>
      </c>
      <c r="B5" t="s">
        <v>809</v>
      </c>
      <c r="C5" s="16">
        <v>5</v>
      </c>
      <c r="D5" s="16">
        <v>10</v>
      </c>
      <c r="E5" s="59" t="s">
        <v>358</v>
      </c>
      <c r="F5" s="16">
        <v>2008</v>
      </c>
      <c r="G5" s="16">
        <v>3</v>
      </c>
      <c r="H5" s="16" t="s">
        <v>400</v>
      </c>
      <c r="I5" s="50" t="s">
        <v>403</v>
      </c>
      <c r="J5" s="91">
        <v>2.9904671400408912E-2</v>
      </c>
      <c r="K5" s="92">
        <v>4.4661671907503815E-2</v>
      </c>
      <c r="L5" s="92">
        <v>0.10117214065947872</v>
      </c>
      <c r="M5" s="86">
        <v>2.7951452959732773E-9</v>
      </c>
      <c r="N5" s="93">
        <v>0.95099999999999996</v>
      </c>
      <c r="O5" s="94">
        <v>0.94199999999999995</v>
      </c>
      <c r="P5" s="94">
        <v>0.93700000000000006</v>
      </c>
      <c r="Q5" s="94">
        <v>0.99399999999999999</v>
      </c>
      <c r="R5" s="94">
        <v>0.96</v>
      </c>
      <c r="S5" s="94">
        <v>0.95399999999999996</v>
      </c>
      <c r="T5" s="94">
        <v>0.95399999999999996</v>
      </c>
      <c r="U5" s="128">
        <v>0.996</v>
      </c>
      <c r="V5" s="127">
        <v>0.1</v>
      </c>
      <c r="W5" s="45"/>
      <c r="X5" s="45"/>
      <c r="Y5" s="45" t="s">
        <v>863</v>
      </c>
      <c r="AB5" s="45" t="s">
        <v>997</v>
      </c>
      <c r="AD5" s="45" t="s">
        <v>998</v>
      </c>
    </row>
    <row r="6" spans="1:31" ht="15.5" customHeight="1" x14ac:dyDescent="0.35">
      <c r="A6" s="16">
        <v>4</v>
      </c>
      <c r="B6" t="s">
        <v>836</v>
      </c>
      <c r="C6" s="16">
        <v>7</v>
      </c>
      <c r="D6" s="16">
        <v>11</v>
      </c>
      <c r="E6" s="59" t="s">
        <v>359</v>
      </c>
      <c r="F6" s="16">
        <v>2015</v>
      </c>
      <c r="G6" s="16">
        <v>5</v>
      </c>
      <c r="H6" s="16" t="s">
        <v>401</v>
      </c>
      <c r="I6" s="50" t="s">
        <v>403</v>
      </c>
      <c r="J6" s="129">
        <v>0.1238745698309012</v>
      </c>
      <c r="K6" s="92">
        <v>0.23304253191026619</v>
      </c>
      <c r="L6" s="92">
        <v>0.63801060629292783</v>
      </c>
      <c r="M6" s="86">
        <v>2.2844021325864371E-4</v>
      </c>
      <c r="N6" s="93">
        <v>0.78900000000000003</v>
      </c>
      <c r="O6" s="94">
        <v>0.82499999999999996</v>
      </c>
      <c r="P6" s="94">
        <v>0.81699999999999995</v>
      </c>
      <c r="Q6" s="94">
        <v>0.495</v>
      </c>
      <c r="R6" s="94">
        <v>0.59699999999999998</v>
      </c>
      <c r="S6" s="94">
        <v>0.76800000000000002</v>
      </c>
      <c r="T6" s="94">
        <v>0.79</v>
      </c>
      <c r="U6" s="128">
        <v>0.48699999999999999</v>
      </c>
      <c r="V6" s="127">
        <v>-0.8571428571428571</v>
      </c>
      <c r="W6" s="45"/>
      <c r="X6" s="45"/>
      <c r="Y6" s="45" t="s">
        <v>992</v>
      </c>
      <c r="Z6" s="46" t="s">
        <v>993</v>
      </c>
      <c r="AA6" s="45" t="s">
        <v>994</v>
      </c>
      <c r="AB6" s="45" t="s">
        <v>995</v>
      </c>
      <c r="AC6" s="45" t="s">
        <v>996</v>
      </c>
      <c r="AD6" s="45" t="s">
        <v>999</v>
      </c>
      <c r="AE6" s="45" t="s">
        <v>1000</v>
      </c>
    </row>
    <row r="7" spans="1:31" ht="15.5" customHeight="1" x14ac:dyDescent="0.35">
      <c r="A7" s="16">
        <v>5</v>
      </c>
      <c r="B7" t="s">
        <v>810</v>
      </c>
      <c r="C7" s="16">
        <v>12</v>
      </c>
      <c r="D7" s="16">
        <v>12</v>
      </c>
      <c r="E7" s="58" t="s">
        <v>360</v>
      </c>
      <c r="F7" s="16">
        <v>2006</v>
      </c>
      <c r="G7" s="16">
        <v>3</v>
      </c>
      <c r="H7" s="16" t="s">
        <v>401</v>
      </c>
      <c r="I7" s="48" t="s">
        <v>402</v>
      </c>
      <c r="J7" s="91">
        <v>5.6959438446321259E-2</v>
      </c>
      <c r="K7" s="92">
        <v>0.11627589722349786</v>
      </c>
      <c r="L7" s="92">
        <v>0.31114552004489571</v>
      </c>
      <c r="M7" s="86">
        <v>1.4194817839941302E-6</v>
      </c>
      <c r="N7" s="93">
        <v>0.81699999999999995</v>
      </c>
      <c r="O7" s="94">
        <v>0.70599999999999996</v>
      </c>
      <c r="P7" s="94">
        <v>0.58099999999999996</v>
      </c>
      <c r="Q7" s="94">
        <v>0.69099999999999995</v>
      </c>
      <c r="R7" s="94">
        <v>0.83899999999999997</v>
      </c>
      <c r="S7" s="94">
        <v>0.754</v>
      </c>
      <c r="T7" s="94">
        <v>0.66200000000000003</v>
      </c>
      <c r="U7" s="128">
        <v>0.77800000000000002</v>
      </c>
      <c r="V7" s="127">
        <v>1.3986013986013986E-2</v>
      </c>
      <c r="W7" s="45"/>
      <c r="X7" s="45"/>
      <c r="Y7" s="45">
        <v>17</v>
      </c>
      <c r="Z7" s="46">
        <v>25</v>
      </c>
      <c r="AA7" s="45">
        <v>16</v>
      </c>
      <c r="AB7" s="45">
        <v>32</v>
      </c>
      <c r="AC7" s="45">
        <v>21</v>
      </c>
      <c r="AD7" s="45">
        <v>41</v>
      </c>
      <c r="AE7" s="45">
        <v>17</v>
      </c>
    </row>
    <row r="8" spans="1:31" ht="15.5" customHeight="1" thickBot="1" x14ac:dyDescent="0.4">
      <c r="A8" s="16">
        <v>6</v>
      </c>
      <c r="B8" t="s">
        <v>846</v>
      </c>
      <c r="C8" s="16">
        <v>10</v>
      </c>
      <c r="D8" s="16">
        <v>10</v>
      </c>
      <c r="E8" s="59" t="s">
        <v>361</v>
      </c>
      <c r="F8" s="16">
        <v>2019</v>
      </c>
      <c r="G8" s="16">
        <v>3</v>
      </c>
      <c r="H8" s="16" t="s">
        <v>399</v>
      </c>
      <c r="I8" s="48" t="s">
        <v>402</v>
      </c>
      <c r="J8" s="91">
        <v>1.0152318770804676E-2</v>
      </c>
      <c r="K8" s="92">
        <v>2.3416208783174124E-2</v>
      </c>
      <c r="L8" s="92">
        <v>7.500910575638238E-2</v>
      </c>
      <c r="M8" s="86">
        <v>1.2926577285694389E-10</v>
      </c>
      <c r="N8" s="93">
        <v>0.81899999999999995</v>
      </c>
      <c r="O8" s="94">
        <v>0.77700000000000002</v>
      </c>
      <c r="P8" s="94">
        <v>0.78500000000000003</v>
      </c>
      <c r="Q8" s="94">
        <v>0.95</v>
      </c>
      <c r="R8" s="94">
        <v>0.753</v>
      </c>
      <c r="S8" s="94">
        <v>0.64700000000000002</v>
      </c>
      <c r="T8" s="94">
        <v>0.64700000000000002</v>
      </c>
      <c r="U8" s="128">
        <v>0.96699999999999997</v>
      </c>
      <c r="V8" s="127">
        <v>-0.72727272727272729</v>
      </c>
      <c r="W8" s="45"/>
      <c r="X8" s="45"/>
      <c r="Y8" s="45"/>
    </row>
    <row r="9" spans="1:31" ht="15.5" customHeight="1" x14ac:dyDescent="0.35">
      <c r="A9" s="16">
        <v>7</v>
      </c>
      <c r="B9" s="45" t="s">
        <v>854</v>
      </c>
      <c r="C9" s="16">
        <v>12</v>
      </c>
      <c r="D9" s="16">
        <v>10</v>
      </c>
      <c r="E9" s="62"/>
      <c r="F9" s="16">
        <v>2022</v>
      </c>
      <c r="G9" s="16">
        <v>3</v>
      </c>
      <c r="H9" s="16" t="s">
        <v>401</v>
      </c>
      <c r="I9" s="50" t="s">
        <v>403</v>
      </c>
      <c r="J9" s="91">
        <v>4.0521551071924199E-3</v>
      </c>
      <c r="K9" s="92">
        <v>1.3542149461406578E-2</v>
      </c>
      <c r="L9" s="92">
        <v>4.703814370538438E-2</v>
      </c>
      <c r="M9" s="86">
        <v>4.5401503099409024E-10</v>
      </c>
      <c r="N9" s="93">
        <v>0.85699999999999998</v>
      </c>
      <c r="O9" s="94">
        <v>0.87</v>
      </c>
      <c r="P9" s="94">
        <v>0.84599999999999997</v>
      </c>
      <c r="Q9" s="94">
        <v>0.71299999999999997</v>
      </c>
      <c r="R9" s="94">
        <v>0.84099999999999997</v>
      </c>
      <c r="S9" s="94">
        <v>0.84499999999999997</v>
      </c>
      <c r="T9" s="94">
        <v>0.84499999999999997</v>
      </c>
      <c r="U9" s="128">
        <v>0.72899999999999998</v>
      </c>
      <c r="V9" s="127">
        <v>0.21678321678321677</v>
      </c>
      <c r="W9" s="45"/>
      <c r="X9" s="145" t="s">
        <v>863</v>
      </c>
      <c r="Y9" s="101" t="s">
        <v>1001</v>
      </c>
      <c r="Z9" s="102">
        <v>17</v>
      </c>
    </row>
    <row r="10" spans="1:31" ht="15.5" customHeight="1" x14ac:dyDescent="0.35">
      <c r="A10" s="16">
        <v>8</v>
      </c>
      <c r="B10" t="s">
        <v>811</v>
      </c>
      <c r="C10" s="16">
        <v>20</v>
      </c>
      <c r="D10" s="16">
        <v>10</v>
      </c>
      <c r="E10" s="59" t="s">
        <v>362</v>
      </c>
      <c r="F10" s="16">
        <v>2017</v>
      </c>
      <c r="G10" s="16">
        <v>3</v>
      </c>
      <c r="H10" s="16" t="s">
        <v>401</v>
      </c>
      <c r="I10" s="48" t="s">
        <v>402</v>
      </c>
      <c r="J10" s="91">
        <v>0.10780440575632359</v>
      </c>
      <c r="K10" s="92">
        <v>0.14634187677558855</v>
      </c>
      <c r="L10" s="92">
        <v>0.4925765753620619</v>
      </c>
      <c r="M10" s="86">
        <v>3.5003697201079977E-8</v>
      </c>
      <c r="N10" s="93">
        <v>0.95599999999999996</v>
      </c>
      <c r="O10" s="94">
        <v>0.63</v>
      </c>
      <c r="P10" s="94">
        <v>0.59599999999999997</v>
      </c>
      <c r="Q10" s="94">
        <v>0.90500000000000003</v>
      </c>
      <c r="R10" s="94">
        <v>0.89500000000000002</v>
      </c>
      <c r="S10" s="94">
        <v>0.64200000000000002</v>
      </c>
      <c r="T10" s="94">
        <v>0.63900000000000001</v>
      </c>
      <c r="U10" s="128">
        <v>0.90100000000000002</v>
      </c>
      <c r="V10" s="127">
        <v>-0.6992481203007519</v>
      </c>
      <c r="W10" s="45"/>
      <c r="X10" s="146"/>
      <c r="Y10" s="99" t="s">
        <v>1002</v>
      </c>
      <c r="Z10" s="103">
        <v>25</v>
      </c>
    </row>
    <row r="11" spans="1:31" ht="15.5" customHeight="1" thickBot="1" x14ac:dyDescent="0.4">
      <c r="A11" s="16">
        <v>9</v>
      </c>
      <c r="B11" t="s">
        <v>859</v>
      </c>
      <c r="C11" s="16">
        <v>48</v>
      </c>
      <c r="D11" s="16">
        <v>14</v>
      </c>
      <c r="E11" s="58" t="s">
        <v>363</v>
      </c>
      <c r="F11" s="16">
        <v>2013</v>
      </c>
      <c r="G11" s="16">
        <v>5</v>
      </c>
      <c r="H11" s="16" t="s">
        <v>399</v>
      </c>
      <c r="I11" s="50" t="s">
        <v>403</v>
      </c>
      <c r="J11" s="91">
        <v>0.14324257542898966</v>
      </c>
      <c r="K11" s="92">
        <v>0.22303885277900676</v>
      </c>
      <c r="L11" s="92">
        <v>0.96812639780113052</v>
      </c>
      <c r="M11" s="86">
        <v>5.7985284266621236E-7</v>
      </c>
      <c r="N11" s="93">
        <v>0.97799999999999998</v>
      </c>
      <c r="O11" s="94">
        <v>0.94199999999999995</v>
      </c>
      <c r="P11" s="94">
        <v>0.79100000000000004</v>
      </c>
      <c r="Q11" s="94">
        <v>0.88800000000000001</v>
      </c>
      <c r="R11" s="94">
        <v>0.91800000000000004</v>
      </c>
      <c r="S11" s="94">
        <v>0.83199999999999996</v>
      </c>
      <c r="T11" s="94">
        <v>0.873</v>
      </c>
      <c r="U11" s="128">
        <v>0.90300000000000002</v>
      </c>
      <c r="V11" s="127">
        <v>-0.30769648284845852</v>
      </c>
      <c r="W11" s="45"/>
      <c r="X11" s="147"/>
      <c r="Y11" s="107" t="s">
        <v>994</v>
      </c>
      <c r="Z11" s="108">
        <v>16</v>
      </c>
    </row>
    <row r="12" spans="1:31" ht="15.5" customHeight="1" thickTop="1" x14ac:dyDescent="0.35">
      <c r="A12" s="16">
        <v>10</v>
      </c>
      <c r="B12" s="45" t="s">
        <v>853</v>
      </c>
      <c r="C12" s="16">
        <v>10</v>
      </c>
      <c r="D12" s="16">
        <v>11</v>
      </c>
      <c r="E12" s="61" t="s">
        <v>422</v>
      </c>
      <c r="F12" s="16">
        <v>2021</v>
      </c>
      <c r="G12" s="16">
        <v>3</v>
      </c>
      <c r="H12" s="16" t="s">
        <v>399</v>
      </c>
      <c r="I12" s="50" t="s">
        <v>403</v>
      </c>
      <c r="J12" s="91">
        <v>0.13852236549693536</v>
      </c>
      <c r="K12" s="92">
        <v>0.16943206950606546</v>
      </c>
      <c r="L12" s="92">
        <v>0.39937993209874967</v>
      </c>
      <c r="M12" s="86">
        <v>1.6950630538000842E-7</v>
      </c>
      <c r="N12" s="93">
        <v>0.94699999999999995</v>
      </c>
      <c r="O12" s="94">
        <v>0.77400000000000002</v>
      </c>
      <c r="P12" s="94">
        <v>0.55200000000000005</v>
      </c>
      <c r="Q12" s="94">
        <v>0.97599999999999998</v>
      </c>
      <c r="R12" s="94">
        <v>0.82799999999999996</v>
      </c>
      <c r="S12" s="94">
        <v>0.56100000000000005</v>
      </c>
      <c r="T12" s="94">
        <v>0.38</v>
      </c>
      <c r="U12" s="128">
        <v>0.97199999999999998</v>
      </c>
      <c r="V12" s="127">
        <v>-0.92727272727272725</v>
      </c>
      <c r="W12" s="45"/>
      <c r="X12" s="148" t="s">
        <v>997</v>
      </c>
      <c r="Y12" s="109" t="s">
        <v>995</v>
      </c>
      <c r="Z12" s="110">
        <v>32</v>
      </c>
    </row>
    <row r="13" spans="1:31" ht="15.5" customHeight="1" thickBot="1" x14ac:dyDescent="0.4">
      <c r="A13" s="16">
        <v>11</v>
      </c>
      <c r="B13" t="s">
        <v>1015</v>
      </c>
      <c r="C13" s="16">
        <v>20</v>
      </c>
      <c r="D13" s="16">
        <v>14</v>
      </c>
      <c r="E13" s="58" t="s">
        <v>397</v>
      </c>
      <c r="F13" s="16">
        <v>2021</v>
      </c>
      <c r="G13" s="98">
        <v>3</v>
      </c>
      <c r="H13" s="16" t="s">
        <v>400</v>
      </c>
      <c r="I13" s="50" t="s">
        <v>1075</v>
      </c>
      <c r="J13" s="91">
        <v>0.23016695508153648</v>
      </c>
      <c r="K13" s="92">
        <v>0.31447520261229023</v>
      </c>
      <c r="L13" s="92">
        <v>0.89857407994298821</v>
      </c>
      <c r="M13" s="86">
        <v>3.5221914393405062E-10</v>
      </c>
      <c r="N13" s="93">
        <v>0.97399999999999998</v>
      </c>
      <c r="O13" s="94">
        <v>0.98499999999999999</v>
      </c>
      <c r="P13" s="94">
        <v>0.59899999999999998</v>
      </c>
      <c r="Q13" s="94">
        <v>0.999</v>
      </c>
      <c r="R13" s="94">
        <v>0.95</v>
      </c>
      <c r="S13" s="94">
        <v>0.96499999999999997</v>
      </c>
      <c r="T13" s="94">
        <v>0.86199999999999999</v>
      </c>
      <c r="U13" s="128">
        <v>0.999</v>
      </c>
      <c r="V13" s="127">
        <v>-0.39624060150375939</v>
      </c>
      <c r="W13" s="45"/>
      <c r="X13" s="149"/>
      <c r="Y13" s="107" t="s">
        <v>996</v>
      </c>
      <c r="Z13" s="108">
        <v>21</v>
      </c>
    </row>
    <row r="14" spans="1:31" ht="15.5" customHeight="1" thickTop="1" x14ac:dyDescent="0.35">
      <c r="A14" s="66">
        <v>12</v>
      </c>
      <c r="B14" t="s">
        <v>812</v>
      </c>
      <c r="C14" s="16">
        <v>5</v>
      </c>
      <c r="D14" s="16">
        <v>10</v>
      </c>
      <c r="E14" s="58" t="s">
        <v>356</v>
      </c>
      <c r="F14" s="16">
        <v>2011</v>
      </c>
      <c r="G14" s="16">
        <v>5</v>
      </c>
      <c r="H14" s="16" t="s">
        <v>399</v>
      </c>
      <c r="I14" s="50" t="s">
        <v>403</v>
      </c>
      <c r="J14" s="91">
        <v>0.27622267216402779</v>
      </c>
      <c r="K14" s="92">
        <v>0.30180152797878612</v>
      </c>
      <c r="L14" s="92">
        <v>0.68281622694147348</v>
      </c>
      <c r="M14" s="86">
        <v>9.8552809172540841E-7</v>
      </c>
      <c r="N14" s="93">
        <v>0.96499999999999997</v>
      </c>
      <c r="O14" s="94">
        <v>0.83799999999999997</v>
      </c>
      <c r="P14" s="94">
        <v>0.65400000000000003</v>
      </c>
      <c r="Q14" s="94">
        <v>0.98899999999999999</v>
      </c>
      <c r="R14" s="94">
        <v>0.97499999999999998</v>
      </c>
      <c r="S14" s="94">
        <v>0.95499999999999996</v>
      </c>
      <c r="T14" s="94">
        <v>0.98199999999999998</v>
      </c>
      <c r="U14" s="128">
        <v>0.99099999999999999</v>
      </c>
      <c r="V14" s="127">
        <v>-0.5</v>
      </c>
      <c r="W14" s="45"/>
      <c r="X14" s="150" t="s">
        <v>998</v>
      </c>
      <c r="Y14" s="100" t="s">
        <v>999</v>
      </c>
      <c r="Z14" s="106">
        <v>41</v>
      </c>
    </row>
    <row r="15" spans="1:31" ht="15.5" customHeight="1" thickBot="1" x14ac:dyDescent="0.4">
      <c r="A15" s="16">
        <v>13</v>
      </c>
      <c r="B15" t="s">
        <v>813</v>
      </c>
      <c r="C15" s="16">
        <v>7</v>
      </c>
      <c r="D15" s="16">
        <v>10</v>
      </c>
      <c r="E15" s="58" t="s">
        <v>364</v>
      </c>
      <c r="F15" s="16">
        <v>2014</v>
      </c>
      <c r="G15" s="16">
        <v>3</v>
      </c>
      <c r="H15" s="16" t="s">
        <v>399</v>
      </c>
      <c r="I15" s="50" t="s">
        <v>403</v>
      </c>
      <c r="J15" s="91">
        <v>3.566353493895019E-3</v>
      </c>
      <c r="K15" s="92">
        <v>6.3655242527349597E-3</v>
      </c>
      <c r="L15" s="92">
        <v>1.7078404815240204E-2</v>
      </c>
      <c r="M15" s="86">
        <v>3.2227039594298511E-5</v>
      </c>
      <c r="N15" s="93">
        <v>0.23599999999999999</v>
      </c>
      <c r="O15" s="94">
        <v>0.35099999999999998</v>
      </c>
      <c r="P15" s="94">
        <v>0.20100000000000001</v>
      </c>
      <c r="Q15" s="94">
        <v>7.3999999999999996E-2</v>
      </c>
      <c r="R15" s="94">
        <v>7.0000000000000007E-2</v>
      </c>
      <c r="S15" s="94">
        <v>0.105</v>
      </c>
      <c r="T15" s="94">
        <v>6.0999999999999999E-2</v>
      </c>
      <c r="U15" s="128">
        <v>0.13</v>
      </c>
      <c r="V15" s="127">
        <v>-0.3392857142857143</v>
      </c>
      <c r="W15" s="45"/>
      <c r="X15" s="151"/>
      <c r="Y15" s="104" t="s">
        <v>1000</v>
      </c>
      <c r="Z15" s="105">
        <v>17</v>
      </c>
    </row>
    <row r="16" spans="1:31" ht="15.5" customHeight="1" x14ac:dyDescent="0.35">
      <c r="A16" s="16">
        <v>14</v>
      </c>
      <c r="B16" t="s">
        <v>814</v>
      </c>
      <c r="C16" s="16">
        <v>14</v>
      </c>
      <c r="D16" s="16">
        <v>10</v>
      </c>
      <c r="E16" s="58" t="s">
        <v>365</v>
      </c>
      <c r="F16" s="16">
        <v>2011</v>
      </c>
      <c r="G16" s="16">
        <v>3</v>
      </c>
      <c r="H16" s="16" t="s">
        <v>401</v>
      </c>
      <c r="I16" s="48" t="s">
        <v>402</v>
      </c>
      <c r="J16" s="91">
        <v>7.6213224824225864E-2</v>
      </c>
      <c r="K16" s="92">
        <v>0.14705826182352674</v>
      </c>
      <c r="L16" s="92">
        <v>0.4925765753620619</v>
      </c>
      <c r="M16" s="86">
        <v>1.0661465211978819E-6</v>
      </c>
      <c r="N16" s="93">
        <v>0.85399999999999998</v>
      </c>
      <c r="O16" s="94">
        <v>0.79900000000000004</v>
      </c>
      <c r="P16" s="94">
        <v>0.78700000000000003</v>
      </c>
      <c r="Q16" s="94">
        <v>0.746</v>
      </c>
      <c r="R16" s="94">
        <v>0.70399999999999996</v>
      </c>
      <c r="S16" s="94">
        <v>0.63800000000000001</v>
      </c>
      <c r="T16" s="94">
        <v>0.57099999999999995</v>
      </c>
      <c r="U16" s="128">
        <v>0.71399999999999997</v>
      </c>
      <c r="V16" s="127">
        <v>-0.8</v>
      </c>
      <c r="W16" s="45"/>
      <c r="X16" s="45"/>
      <c r="Y16" s="45"/>
    </row>
    <row r="17" spans="1:25" ht="15.5" customHeight="1" x14ac:dyDescent="0.35">
      <c r="A17" s="16">
        <v>15</v>
      </c>
      <c r="B17" t="s">
        <v>815</v>
      </c>
      <c r="C17" s="16">
        <v>4</v>
      </c>
      <c r="D17" s="16">
        <v>7</v>
      </c>
      <c r="E17" s="58" t="s">
        <v>366</v>
      </c>
      <c r="F17" s="16">
        <v>2009</v>
      </c>
      <c r="G17" s="16">
        <v>3</v>
      </c>
      <c r="H17" s="16" t="s">
        <v>400</v>
      </c>
      <c r="I17" s="50" t="s">
        <v>403</v>
      </c>
      <c r="J17" s="130">
        <v>0.1880924455147796</v>
      </c>
      <c r="K17" s="131">
        <v>0.25748050614018581</v>
      </c>
      <c r="L17" s="131">
        <v>0.5540345481199761</v>
      </c>
      <c r="M17" s="87">
        <v>4.3529945744466665E-7</v>
      </c>
      <c r="N17" s="132">
        <v>0.92600000000000005</v>
      </c>
      <c r="O17" s="133">
        <v>0.629</v>
      </c>
      <c r="P17" s="133">
        <v>0.61799999999999999</v>
      </c>
      <c r="Q17" s="133">
        <v>0.98399999999999999</v>
      </c>
      <c r="R17" s="94">
        <v>0.84299999999999997</v>
      </c>
      <c r="S17" s="94">
        <v>0.79</v>
      </c>
      <c r="T17" s="94">
        <v>0.80300000000000005</v>
      </c>
      <c r="U17" s="128">
        <v>0.98499999999999999</v>
      </c>
      <c r="V17" s="127">
        <v>-0.4</v>
      </c>
      <c r="W17" s="45"/>
      <c r="X17" s="45"/>
      <c r="Y17" s="45"/>
    </row>
    <row r="18" spans="1:25" ht="15.5" customHeight="1" x14ac:dyDescent="0.35">
      <c r="A18" s="16">
        <v>16</v>
      </c>
      <c r="B18" t="s">
        <v>816</v>
      </c>
      <c r="C18" s="16">
        <v>8</v>
      </c>
      <c r="D18" s="16">
        <v>10</v>
      </c>
      <c r="E18" s="58" t="s">
        <v>367</v>
      </c>
      <c r="F18" s="16">
        <v>2013</v>
      </c>
      <c r="G18" s="16">
        <v>5</v>
      </c>
      <c r="H18" s="16" t="s">
        <v>401</v>
      </c>
      <c r="I18" s="50" t="s">
        <v>403</v>
      </c>
      <c r="J18" s="130">
        <v>6.5404694474726439E-4</v>
      </c>
      <c r="K18" s="131">
        <v>1.1311393736602184E-3</v>
      </c>
      <c r="L18" s="131">
        <v>2.8095485526992039E-3</v>
      </c>
      <c r="M18" s="87">
        <v>9.8552809172540841E-7</v>
      </c>
      <c r="N18" s="132">
        <v>0.13300000000000001</v>
      </c>
      <c r="O18" s="133">
        <v>0.14699999999999999</v>
      </c>
      <c r="P18" s="133">
        <v>9.1999999999999998E-2</v>
      </c>
      <c r="Q18" s="133">
        <v>0.187</v>
      </c>
      <c r="R18" s="94">
        <v>0.11799999999999999</v>
      </c>
      <c r="S18" s="94">
        <v>0.13500000000000001</v>
      </c>
      <c r="T18" s="94">
        <v>0.13600000000000001</v>
      </c>
      <c r="U18" s="128">
        <v>0.192</v>
      </c>
      <c r="V18" s="127">
        <v>0.11904761904761904</v>
      </c>
      <c r="W18" s="45"/>
      <c r="X18" s="45"/>
      <c r="Y18" s="45"/>
    </row>
    <row r="19" spans="1:25" ht="15.5" customHeight="1" x14ac:dyDescent="0.35">
      <c r="A19" s="16">
        <v>17</v>
      </c>
      <c r="B19" t="s">
        <v>817</v>
      </c>
      <c r="C19" s="16">
        <v>14</v>
      </c>
      <c r="D19" s="16">
        <v>15</v>
      </c>
      <c r="E19" s="58" t="s">
        <v>368</v>
      </c>
      <c r="F19" s="16">
        <v>2010</v>
      </c>
      <c r="G19" s="16">
        <v>3</v>
      </c>
      <c r="H19" s="16" t="s">
        <v>401</v>
      </c>
      <c r="I19" s="48" t="s">
        <v>402</v>
      </c>
      <c r="J19" s="91">
        <v>0.19999353845253368</v>
      </c>
      <c r="K19" s="92">
        <v>0.26303424615171639</v>
      </c>
      <c r="L19" s="92">
        <v>0.83312633576521711</v>
      </c>
      <c r="M19" s="86">
        <v>8.9061026585421937E-6</v>
      </c>
      <c r="N19" s="93">
        <v>0.98699999999999999</v>
      </c>
      <c r="O19" s="94">
        <v>0.92800000000000005</v>
      </c>
      <c r="P19" s="94">
        <v>0.83299999999999996</v>
      </c>
      <c r="Q19" s="94">
        <v>0.83799999999999997</v>
      </c>
      <c r="R19" s="94">
        <v>0.98599999999999999</v>
      </c>
      <c r="S19" s="94">
        <v>0.93899999999999995</v>
      </c>
      <c r="T19" s="94">
        <v>0.90100000000000002</v>
      </c>
      <c r="U19" s="128">
        <v>0.82599999999999996</v>
      </c>
      <c r="V19" s="127">
        <v>-0.27692307692307694</v>
      </c>
      <c r="W19" s="45"/>
      <c r="X19" s="45"/>
      <c r="Y19" s="45"/>
    </row>
    <row r="20" spans="1:25" ht="15.5" customHeight="1" x14ac:dyDescent="0.35">
      <c r="A20" s="66">
        <v>18</v>
      </c>
      <c r="B20" t="s">
        <v>818</v>
      </c>
      <c r="C20" s="16">
        <v>14</v>
      </c>
      <c r="D20" s="16">
        <v>8</v>
      </c>
      <c r="E20" s="58" t="s">
        <v>369</v>
      </c>
      <c r="F20" s="16">
        <v>2012</v>
      </c>
      <c r="G20" s="16">
        <v>3</v>
      </c>
      <c r="H20" s="16" t="s">
        <v>400</v>
      </c>
      <c r="I20" s="48" t="s">
        <v>402</v>
      </c>
      <c r="J20" s="91">
        <v>2.9103929822266734E-2</v>
      </c>
      <c r="K20" s="92">
        <v>5.4587859245991674E-2</v>
      </c>
      <c r="L20" s="92">
        <v>0.18504905910848168</v>
      </c>
      <c r="M20" s="86">
        <v>4.971069314836588E-8</v>
      </c>
      <c r="N20" s="93">
        <v>0.84499999999999997</v>
      </c>
      <c r="O20" s="94">
        <v>0.78800000000000003</v>
      </c>
      <c r="P20" s="94">
        <v>0.53200000000000003</v>
      </c>
      <c r="Q20" s="94">
        <v>0.86599999999999999</v>
      </c>
      <c r="R20" s="94">
        <v>0.82299999999999995</v>
      </c>
      <c r="S20" s="94">
        <v>0.67300000000000004</v>
      </c>
      <c r="T20" s="94">
        <v>0.59699999999999998</v>
      </c>
      <c r="U20" s="128">
        <v>0.86799999999999999</v>
      </c>
      <c r="V20" s="127">
        <v>-0.63296703296703294</v>
      </c>
      <c r="W20" s="45"/>
      <c r="X20" s="45"/>
      <c r="Y20" s="45"/>
    </row>
    <row r="21" spans="1:25" ht="15.5" customHeight="1" x14ac:dyDescent="0.35">
      <c r="A21" s="16">
        <v>19</v>
      </c>
      <c r="B21" t="s">
        <v>873</v>
      </c>
      <c r="C21" s="16">
        <v>11</v>
      </c>
      <c r="D21" s="16">
        <v>15</v>
      </c>
      <c r="E21" s="60" t="s">
        <v>370</v>
      </c>
      <c r="F21" s="16">
        <v>2013</v>
      </c>
      <c r="G21" s="16">
        <v>3</v>
      </c>
      <c r="H21" s="16" t="s">
        <v>400</v>
      </c>
      <c r="I21" s="50" t="s">
        <v>403</v>
      </c>
      <c r="J21" s="130">
        <v>0.22678421155317854</v>
      </c>
      <c r="K21" s="131">
        <v>0.24629560654569407</v>
      </c>
      <c r="L21" s="131">
        <v>0.66082864166449018</v>
      </c>
      <c r="M21" s="87">
        <v>1.0828253227818177E-8</v>
      </c>
      <c r="N21" s="132">
        <v>0.88200000000000001</v>
      </c>
      <c r="O21" s="133">
        <v>0.71899999999999997</v>
      </c>
      <c r="P21" s="133">
        <v>0.753</v>
      </c>
      <c r="Q21" s="133">
        <v>1</v>
      </c>
      <c r="R21" s="94">
        <v>0.80500000000000005</v>
      </c>
      <c r="S21" s="94">
        <v>0.66400000000000003</v>
      </c>
      <c r="T21" s="94">
        <v>0.44900000000000001</v>
      </c>
      <c r="U21" s="128">
        <v>1</v>
      </c>
      <c r="V21" s="127">
        <v>-0.36363636363636365</v>
      </c>
      <c r="W21" s="45"/>
      <c r="X21" s="45"/>
      <c r="Y21" s="45"/>
    </row>
    <row r="22" spans="1:25" ht="15.5" customHeight="1" x14ac:dyDescent="0.35">
      <c r="A22" s="16">
        <v>20</v>
      </c>
      <c r="B22" s="45" t="s">
        <v>855</v>
      </c>
      <c r="C22" s="16">
        <v>11</v>
      </c>
      <c r="D22" s="16">
        <v>10</v>
      </c>
      <c r="E22" s="62"/>
      <c r="F22" s="16">
        <v>2022</v>
      </c>
      <c r="G22" s="16">
        <v>3</v>
      </c>
      <c r="H22" s="16" t="s">
        <v>401</v>
      </c>
      <c r="I22" s="50" t="s">
        <v>403</v>
      </c>
      <c r="J22" s="130">
        <v>8.1389788546872574E-4</v>
      </c>
      <c r="K22" s="131">
        <v>1.8768740101319863E-3</v>
      </c>
      <c r="L22" s="131">
        <v>6.2891876939781422E-3</v>
      </c>
      <c r="M22" s="87">
        <v>4.5401503099409024E-10</v>
      </c>
      <c r="N22" s="132">
        <v>0.41</v>
      </c>
      <c r="O22" s="133">
        <v>0.378</v>
      </c>
      <c r="P22" s="133">
        <v>0.38400000000000001</v>
      </c>
      <c r="Q22" s="133">
        <v>0.83099999999999996</v>
      </c>
      <c r="R22" s="94">
        <v>0.39900000000000002</v>
      </c>
      <c r="S22" s="94">
        <v>0.37</v>
      </c>
      <c r="T22" s="94">
        <v>0.38</v>
      </c>
      <c r="U22" s="128">
        <v>0.86499999999999999</v>
      </c>
      <c r="V22" s="127">
        <v>0.25454545454545452</v>
      </c>
      <c r="W22" s="45"/>
      <c r="X22" s="45"/>
      <c r="Y22" s="45"/>
    </row>
    <row r="23" spans="1:25" ht="15.5" customHeight="1" x14ac:dyDescent="0.35">
      <c r="A23" s="16">
        <v>21</v>
      </c>
      <c r="B23" t="s">
        <v>819</v>
      </c>
      <c r="C23" s="16">
        <v>5</v>
      </c>
      <c r="D23" s="16">
        <v>8</v>
      </c>
      <c r="E23" s="59" t="s">
        <v>371</v>
      </c>
      <c r="F23" s="16">
        <v>2008</v>
      </c>
      <c r="G23" s="16">
        <v>3</v>
      </c>
      <c r="H23" s="16" t="s">
        <v>400</v>
      </c>
      <c r="I23" s="50" t="s">
        <v>403</v>
      </c>
      <c r="J23" s="91">
        <v>0.1753479141814199</v>
      </c>
      <c r="K23" s="92">
        <v>0.28352994422009187</v>
      </c>
      <c r="L23" s="92">
        <v>0.66358356356295356</v>
      </c>
      <c r="M23" s="86">
        <v>5.1151117589981039E-5</v>
      </c>
      <c r="N23" s="93">
        <v>0.93400000000000005</v>
      </c>
      <c r="O23" s="94">
        <v>0.84899999999999998</v>
      </c>
      <c r="P23" s="94">
        <v>0.85399999999999998</v>
      </c>
      <c r="Q23" s="94">
        <v>0.84</v>
      </c>
      <c r="R23" s="94">
        <v>0.95</v>
      </c>
      <c r="S23" s="94">
        <v>0.92700000000000005</v>
      </c>
      <c r="T23" s="94">
        <v>0.93600000000000005</v>
      </c>
      <c r="U23" s="128">
        <v>0.79100000000000004</v>
      </c>
      <c r="V23" s="127">
        <v>-0.1</v>
      </c>
      <c r="W23" s="45"/>
      <c r="X23" s="45"/>
      <c r="Y23" s="45"/>
    </row>
    <row r="24" spans="1:25" ht="15.5" customHeight="1" x14ac:dyDescent="0.35">
      <c r="A24" s="16">
        <v>22</v>
      </c>
      <c r="B24" t="s">
        <v>820</v>
      </c>
      <c r="C24" s="16">
        <v>7</v>
      </c>
      <c r="D24" s="16">
        <v>10</v>
      </c>
      <c r="E24" s="58" t="s">
        <v>356</v>
      </c>
      <c r="F24" s="16">
        <v>2011</v>
      </c>
      <c r="G24" s="16">
        <v>5</v>
      </c>
      <c r="H24" s="16" t="s">
        <v>399</v>
      </c>
      <c r="I24" s="50" t="s">
        <v>403</v>
      </c>
      <c r="J24" s="91">
        <v>2.2351393945009543E-2</v>
      </c>
      <c r="K24" s="92">
        <v>2.3585478081294919E-2</v>
      </c>
      <c r="L24" s="92">
        <v>4.7038143705384387E-2</v>
      </c>
      <c r="M24" s="86">
        <v>5.2060010328702748E-6</v>
      </c>
      <c r="N24" s="93">
        <v>0.54900000000000004</v>
      </c>
      <c r="O24" s="94">
        <v>0.34599999999999997</v>
      </c>
      <c r="P24" s="94">
        <v>0.14099999999999999</v>
      </c>
      <c r="Q24" s="94">
        <v>0.623</v>
      </c>
      <c r="R24" s="94">
        <v>0.51200000000000001</v>
      </c>
      <c r="S24" s="94">
        <v>0.35299999999999998</v>
      </c>
      <c r="T24" s="94">
        <v>0.34499999999999997</v>
      </c>
      <c r="U24" s="128">
        <v>0.58099999999999996</v>
      </c>
      <c r="V24" s="127">
        <v>-0.44642857142857145</v>
      </c>
      <c r="W24" s="45"/>
      <c r="X24" s="45"/>
      <c r="Y24" s="45"/>
    </row>
    <row r="25" spans="1:25" ht="15.5" customHeight="1" x14ac:dyDescent="0.35">
      <c r="A25" s="16">
        <v>23</v>
      </c>
      <c r="B25" t="s">
        <v>842</v>
      </c>
      <c r="C25" s="16">
        <v>5</v>
      </c>
      <c r="D25" s="16">
        <v>10</v>
      </c>
      <c r="E25" s="59" t="s">
        <v>372</v>
      </c>
      <c r="F25" s="16">
        <v>2017</v>
      </c>
      <c r="G25" s="16">
        <v>5</v>
      </c>
      <c r="H25" s="16" t="s">
        <v>401</v>
      </c>
      <c r="I25" s="50" t="s">
        <v>403</v>
      </c>
      <c r="J25" s="91">
        <v>0.15639132141728407</v>
      </c>
      <c r="K25" s="92">
        <v>0.3088570892935889</v>
      </c>
      <c r="L25" s="92">
        <v>0.70708177782896087</v>
      </c>
      <c r="M25" s="86">
        <v>1.5430934333870892E-7</v>
      </c>
      <c r="N25" s="93">
        <v>0.999</v>
      </c>
      <c r="O25" s="94">
        <v>0.99</v>
      </c>
      <c r="P25" s="94">
        <v>0.99</v>
      </c>
      <c r="Q25" s="94">
        <v>0.98299999999999998</v>
      </c>
      <c r="R25" s="94">
        <v>1</v>
      </c>
      <c r="S25" s="94">
        <v>1</v>
      </c>
      <c r="T25" s="94">
        <v>1</v>
      </c>
      <c r="U25" s="128">
        <v>0.999</v>
      </c>
      <c r="V25" s="127">
        <v>0.7</v>
      </c>
      <c r="W25" s="45"/>
      <c r="X25" s="45"/>
      <c r="Y25" s="45"/>
    </row>
    <row r="26" spans="1:25" ht="15.5" customHeight="1" x14ac:dyDescent="0.35">
      <c r="A26" s="16">
        <v>24</v>
      </c>
      <c r="B26" s="45" t="s">
        <v>852</v>
      </c>
      <c r="C26" s="16">
        <v>9</v>
      </c>
      <c r="D26" s="16">
        <v>11</v>
      </c>
      <c r="E26" s="61" t="s">
        <v>421</v>
      </c>
      <c r="F26" s="16">
        <v>2021</v>
      </c>
      <c r="G26" s="16">
        <v>3</v>
      </c>
      <c r="H26" s="16" t="s">
        <v>400</v>
      </c>
      <c r="I26" s="50" t="s">
        <v>403</v>
      </c>
      <c r="J26" s="91">
        <v>0.22510322346803557</v>
      </c>
      <c r="K26" s="92">
        <v>0.22868134141995325</v>
      </c>
      <c r="L26" s="92">
        <v>0.7063129744327834</v>
      </c>
      <c r="M26" s="86">
        <v>3.00443525144039E-4</v>
      </c>
      <c r="N26" s="93">
        <v>0.16700000000000001</v>
      </c>
      <c r="O26" s="94">
        <v>0.32</v>
      </c>
      <c r="P26" s="94">
        <v>0.35699999999999998</v>
      </c>
      <c r="Q26" s="94">
        <v>0.92300000000000004</v>
      </c>
      <c r="R26" s="94">
        <v>0.158</v>
      </c>
      <c r="S26" s="94">
        <v>0.30399999999999999</v>
      </c>
      <c r="T26" s="94">
        <v>0.19</v>
      </c>
      <c r="U26" s="128">
        <v>0.93700000000000006</v>
      </c>
      <c r="V26" s="127">
        <v>6.6666666666666666E-2</v>
      </c>
      <c r="W26" s="45"/>
      <c r="X26" s="45"/>
      <c r="Y26" s="45"/>
    </row>
    <row r="27" spans="1:25" ht="15.5" customHeight="1" x14ac:dyDescent="0.35">
      <c r="A27" s="16">
        <v>25</v>
      </c>
      <c r="B27" t="s">
        <v>858</v>
      </c>
      <c r="C27" s="16">
        <v>8</v>
      </c>
      <c r="D27" s="115">
        <v>16</v>
      </c>
      <c r="E27" s="58" t="s">
        <v>373</v>
      </c>
      <c r="F27" s="16">
        <v>2016</v>
      </c>
      <c r="G27" s="16">
        <v>3</v>
      </c>
      <c r="H27" s="16" t="s">
        <v>399</v>
      </c>
      <c r="I27" s="50" t="s">
        <v>403</v>
      </c>
      <c r="J27" s="91">
        <v>5.1047627487506825E-2</v>
      </c>
      <c r="K27" s="92">
        <v>0.10058285315755687</v>
      </c>
      <c r="L27" s="92">
        <v>0.22951234749221175</v>
      </c>
      <c r="M27" s="86">
        <v>1.7926993284675659E-6</v>
      </c>
      <c r="N27" s="93">
        <v>0.878</v>
      </c>
      <c r="O27" s="94">
        <v>0.81200000000000006</v>
      </c>
      <c r="P27" s="94">
        <v>0.73699999999999999</v>
      </c>
      <c r="Q27" s="94">
        <v>0.55900000000000005</v>
      </c>
      <c r="R27" s="94">
        <v>0.86499999999999999</v>
      </c>
      <c r="S27" s="94">
        <v>0.80700000000000005</v>
      </c>
      <c r="T27" s="94">
        <v>0.73099999999999998</v>
      </c>
      <c r="U27" s="128">
        <v>0.60299999999999998</v>
      </c>
      <c r="V27" s="127">
        <v>0</v>
      </c>
      <c r="W27" s="45"/>
      <c r="X27" s="45"/>
      <c r="Y27" s="45"/>
    </row>
    <row r="28" spans="1:25" ht="15.5" customHeight="1" x14ac:dyDescent="0.35">
      <c r="A28" s="16">
        <v>26</v>
      </c>
      <c r="B28" t="s">
        <v>821</v>
      </c>
      <c r="C28" s="16">
        <v>12</v>
      </c>
      <c r="D28" s="115">
        <v>14</v>
      </c>
      <c r="E28" s="59" t="s">
        <v>374</v>
      </c>
      <c r="F28" s="16">
        <v>2011</v>
      </c>
      <c r="G28" s="16">
        <v>3</v>
      </c>
      <c r="H28" s="16" t="s">
        <v>400</v>
      </c>
      <c r="I28" s="48"/>
      <c r="J28" s="91">
        <v>6.3488114497715492E-2</v>
      </c>
      <c r="K28" s="92">
        <v>6.2894285094739655E-2</v>
      </c>
      <c r="L28" s="92">
        <v>0.15186479769233077</v>
      </c>
      <c r="M28" s="86">
        <v>1.8789171963291276E-5</v>
      </c>
      <c r="N28" s="93">
        <v>3.9E-2</v>
      </c>
      <c r="O28" s="94">
        <v>0.02</v>
      </c>
      <c r="P28" s="94">
        <v>8.9999999999999993E-3</v>
      </c>
      <c r="Q28" s="94">
        <v>0.73</v>
      </c>
      <c r="R28" s="94">
        <v>6.8000000000000005E-2</v>
      </c>
      <c r="S28" s="94">
        <v>3.4000000000000002E-2</v>
      </c>
      <c r="T28" s="94">
        <v>2.1000000000000001E-2</v>
      </c>
      <c r="U28" s="128">
        <v>0.74299999999999999</v>
      </c>
      <c r="V28" s="127">
        <v>0.36713286713286714</v>
      </c>
      <c r="W28" s="45"/>
      <c r="X28" s="45"/>
      <c r="Y28" s="45"/>
    </row>
    <row r="29" spans="1:25" ht="15.5" customHeight="1" x14ac:dyDescent="0.35">
      <c r="A29" s="16">
        <v>27</v>
      </c>
      <c r="B29" t="s">
        <v>822</v>
      </c>
      <c r="C29" s="16">
        <v>9</v>
      </c>
      <c r="D29" s="16">
        <v>13</v>
      </c>
      <c r="E29" s="59" t="s">
        <v>375</v>
      </c>
      <c r="F29" s="16">
        <v>2008</v>
      </c>
      <c r="G29" s="16">
        <v>3</v>
      </c>
      <c r="H29" s="16" t="s">
        <v>400</v>
      </c>
      <c r="I29" s="50" t="s">
        <v>403</v>
      </c>
      <c r="J29" s="91">
        <v>6.1284770234488167E-2</v>
      </c>
      <c r="K29" s="92">
        <v>0.15067198706956283</v>
      </c>
      <c r="L29" s="92">
        <v>0.45400775238653124</v>
      </c>
      <c r="M29" s="86">
        <v>1.9111697545429111E-9</v>
      </c>
      <c r="N29" s="93">
        <v>1</v>
      </c>
      <c r="O29" s="94">
        <v>0.995</v>
      </c>
      <c r="P29" s="94">
        <v>0.995</v>
      </c>
      <c r="Q29" s="94">
        <v>0.98499999999999999</v>
      </c>
      <c r="R29" s="94">
        <v>0.98599999999999999</v>
      </c>
      <c r="S29" s="94">
        <v>0.96399999999999997</v>
      </c>
      <c r="T29" s="94">
        <v>0.96199999999999997</v>
      </c>
      <c r="U29" s="128">
        <v>0.96</v>
      </c>
      <c r="V29" s="127">
        <v>-0.72499999999999998</v>
      </c>
      <c r="W29" s="45"/>
      <c r="X29" s="45"/>
      <c r="Y29" s="45"/>
    </row>
    <row r="30" spans="1:25" ht="15.5" customHeight="1" x14ac:dyDescent="0.35">
      <c r="A30" s="16">
        <v>28</v>
      </c>
      <c r="B30" t="s">
        <v>823</v>
      </c>
      <c r="C30" s="16">
        <v>6</v>
      </c>
      <c r="D30" s="16">
        <v>10</v>
      </c>
      <c r="E30" s="58" t="s">
        <v>376</v>
      </c>
      <c r="F30" s="16">
        <v>2013</v>
      </c>
      <c r="G30" s="16">
        <v>3</v>
      </c>
      <c r="H30" s="16" t="s">
        <v>400</v>
      </c>
      <c r="I30" s="48"/>
      <c r="J30" s="91">
        <v>0.14720929213102688</v>
      </c>
      <c r="K30" s="92">
        <v>0.27569291582668415</v>
      </c>
      <c r="L30" s="92">
        <v>0.70708177782896087</v>
      </c>
      <c r="M30" s="86">
        <v>7.9939409607103279E-4</v>
      </c>
      <c r="N30" s="93">
        <v>0.83499999999999996</v>
      </c>
      <c r="O30" s="94">
        <v>0.83099999999999996</v>
      </c>
      <c r="P30" s="94">
        <v>0.83699999999999997</v>
      </c>
      <c r="Q30" s="94">
        <v>0.25800000000000001</v>
      </c>
      <c r="R30" s="94">
        <v>0.77800000000000002</v>
      </c>
      <c r="S30" s="94">
        <v>0.82299999999999995</v>
      </c>
      <c r="T30" s="94">
        <v>0.83699999999999997</v>
      </c>
      <c r="U30" s="128">
        <v>0.33</v>
      </c>
      <c r="V30" s="127">
        <v>-0.68571428571428572</v>
      </c>
      <c r="W30" s="45"/>
      <c r="X30" s="45"/>
      <c r="Y30" s="45"/>
    </row>
    <row r="31" spans="1:25" ht="15.5" customHeight="1" x14ac:dyDescent="0.35">
      <c r="A31" s="16">
        <v>29</v>
      </c>
      <c r="B31" t="s">
        <v>824</v>
      </c>
      <c r="C31" s="16">
        <v>18</v>
      </c>
      <c r="D31" s="16">
        <v>8</v>
      </c>
      <c r="E31" s="59" t="s">
        <v>128</v>
      </c>
      <c r="F31" s="16">
        <v>2014</v>
      </c>
      <c r="G31" s="16">
        <v>3</v>
      </c>
      <c r="H31" s="16" t="s">
        <v>401</v>
      </c>
      <c r="I31" s="48"/>
      <c r="J31" s="91">
        <v>0.18832988014547394</v>
      </c>
      <c r="K31" s="92">
        <v>0.2283001244063102</v>
      </c>
      <c r="L31" s="92">
        <v>0.66358356356295356</v>
      </c>
      <c r="M31" s="86">
        <v>2.6631955660027818E-4</v>
      </c>
      <c r="N31" s="93">
        <v>0.89900000000000002</v>
      </c>
      <c r="O31" s="94">
        <v>0.75900000000000001</v>
      </c>
      <c r="P31" s="94">
        <v>0.23699999999999999</v>
      </c>
      <c r="Q31" s="94">
        <v>0.28499999999999998</v>
      </c>
      <c r="R31" s="94">
        <v>0.90200000000000002</v>
      </c>
      <c r="S31" s="94">
        <v>0.81299999999999994</v>
      </c>
      <c r="T31" s="94">
        <v>0.46400000000000002</v>
      </c>
      <c r="U31" s="128">
        <v>0.41899999999999998</v>
      </c>
      <c r="V31" s="127">
        <v>-0.24148606811145512</v>
      </c>
      <c r="W31" s="45"/>
      <c r="X31" s="45"/>
      <c r="Y31" s="45"/>
    </row>
    <row r="32" spans="1:25" ht="15.5" customHeight="1" x14ac:dyDescent="0.35">
      <c r="A32" s="16">
        <v>30</v>
      </c>
      <c r="B32" t="s">
        <v>874</v>
      </c>
      <c r="C32" s="16">
        <v>10</v>
      </c>
      <c r="D32" s="16">
        <v>11</v>
      </c>
      <c r="E32" s="60" t="s">
        <v>378</v>
      </c>
      <c r="F32" s="16">
        <v>2018</v>
      </c>
      <c r="G32" s="16">
        <v>3</v>
      </c>
      <c r="H32" s="16" t="s">
        <v>400</v>
      </c>
      <c r="I32" s="48" t="s">
        <v>402</v>
      </c>
      <c r="J32" s="91">
        <v>8.5339695312697472E-2</v>
      </c>
      <c r="K32" s="92">
        <v>0.14953985644465198</v>
      </c>
      <c r="L32" s="92">
        <v>0.39937993209874967</v>
      </c>
      <c r="M32" s="86">
        <v>5.8438709400522646E-6</v>
      </c>
      <c r="N32" s="93">
        <v>0.92800000000000005</v>
      </c>
      <c r="O32" s="94">
        <v>0.89400000000000002</v>
      </c>
      <c r="P32" s="94">
        <v>0.78</v>
      </c>
      <c r="Q32" s="94">
        <v>0.496</v>
      </c>
      <c r="R32" s="94">
        <v>0.90100000000000002</v>
      </c>
      <c r="S32" s="94">
        <v>0.84799999999999998</v>
      </c>
      <c r="T32" s="94">
        <v>0.83</v>
      </c>
      <c r="U32" s="128">
        <v>0.54400000000000004</v>
      </c>
      <c r="V32" s="127">
        <v>-0.52727272727272723</v>
      </c>
      <c r="W32" s="45"/>
      <c r="X32" s="45"/>
      <c r="Y32" s="45"/>
    </row>
    <row r="33" spans="1:25" ht="15.5" customHeight="1" x14ac:dyDescent="0.35">
      <c r="A33" s="16">
        <v>31</v>
      </c>
      <c r="B33" t="s">
        <v>860</v>
      </c>
      <c r="C33" s="16">
        <v>20</v>
      </c>
      <c r="D33" s="16">
        <v>16</v>
      </c>
      <c r="E33" s="58" t="s">
        <v>377</v>
      </c>
      <c r="F33" s="16">
        <v>2013</v>
      </c>
      <c r="G33" s="16">
        <v>3</v>
      </c>
      <c r="H33" s="16" t="s">
        <v>400</v>
      </c>
      <c r="I33" s="48" t="s">
        <v>402</v>
      </c>
      <c r="J33" s="91">
        <v>7.0039518914968346E-2</v>
      </c>
      <c r="K33" s="92">
        <v>0.14072098514970741</v>
      </c>
      <c r="L33" s="92">
        <v>0.51732478411353822</v>
      </c>
      <c r="M33" s="86">
        <v>1.3655546653928842E-8</v>
      </c>
      <c r="N33" s="93">
        <v>0.93100000000000005</v>
      </c>
      <c r="O33" s="94">
        <v>0.81599999999999995</v>
      </c>
      <c r="P33" s="94">
        <v>0.74299999999999999</v>
      </c>
      <c r="Q33" s="94">
        <v>0.92600000000000005</v>
      </c>
      <c r="R33" s="94">
        <v>0.8</v>
      </c>
      <c r="S33" s="94">
        <v>0.63200000000000001</v>
      </c>
      <c r="T33" s="94">
        <v>0.53</v>
      </c>
      <c r="U33" s="128">
        <v>0.91800000000000004</v>
      </c>
      <c r="V33" s="127">
        <v>-0.86691729323308275</v>
      </c>
      <c r="W33" s="45"/>
      <c r="X33" s="45"/>
      <c r="Y33" s="45"/>
    </row>
    <row r="34" spans="1:25" ht="15.5" customHeight="1" x14ac:dyDescent="0.35">
      <c r="A34" s="16">
        <v>32</v>
      </c>
      <c r="B34" t="s">
        <v>825</v>
      </c>
      <c r="C34" s="16">
        <v>5</v>
      </c>
      <c r="D34" s="16">
        <v>10</v>
      </c>
      <c r="E34" s="58" t="s">
        <v>356</v>
      </c>
      <c r="F34" s="16">
        <v>2011</v>
      </c>
      <c r="G34" s="16">
        <v>5</v>
      </c>
      <c r="H34" s="16" t="s">
        <v>399</v>
      </c>
      <c r="I34" s="50" t="s">
        <v>403</v>
      </c>
      <c r="J34" s="91">
        <v>1.7518548325316081E-2</v>
      </c>
      <c r="K34" s="92">
        <v>3.2291547113933589E-2</v>
      </c>
      <c r="L34" s="92">
        <v>7.500910575638238E-2</v>
      </c>
      <c r="M34" s="86">
        <v>5.4481208884339398E-8</v>
      </c>
      <c r="N34" s="93">
        <v>0.78800000000000003</v>
      </c>
      <c r="O34" s="94">
        <v>0.72899999999999998</v>
      </c>
      <c r="P34" s="94">
        <v>0.72899999999999998</v>
      </c>
      <c r="Q34" s="94">
        <v>0.76700000000000002</v>
      </c>
      <c r="R34" s="94">
        <v>0.78400000000000003</v>
      </c>
      <c r="S34" s="94">
        <v>0.749</v>
      </c>
      <c r="T34" s="94">
        <v>0.76</v>
      </c>
      <c r="U34" s="128">
        <v>0.78400000000000003</v>
      </c>
      <c r="V34" s="127">
        <v>0.1</v>
      </c>
      <c r="W34" s="45"/>
      <c r="X34" s="45"/>
      <c r="Y34" s="45"/>
    </row>
    <row r="35" spans="1:25" ht="15.5" customHeight="1" x14ac:dyDescent="0.35">
      <c r="A35" s="16">
        <v>33</v>
      </c>
      <c r="B35" t="s">
        <v>837</v>
      </c>
      <c r="C35" s="16">
        <v>8</v>
      </c>
      <c r="D35" s="16">
        <v>11</v>
      </c>
      <c r="E35" s="61" t="s">
        <v>379</v>
      </c>
      <c r="F35" s="16">
        <v>2017</v>
      </c>
      <c r="G35" s="16">
        <v>5</v>
      </c>
      <c r="H35" s="16" t="s">
        <v>399</v>
      </c>
      <c r="I35" s="50" t="s">
        <v>403</v>
      </c>
      <c r="J35" s="91">
        <v>6.8786409044112359E-2</v>
      </c>
      <c r="K35" s="92">
        <v>0.12580409443051299</v>
      </c>
      <c r="L35" s="92">
        <v>0.36957421904705368</v>
      </c>
      <c r="M35" s="86">
        <v>1.6950630538000908E-7</v>
      </c>
      <c r="N35" s="93">
        <v>2.7E-2</v>
      </c>
      <c r="O35" s="94">
        <v>0.157</v>
      </c>
      <c r="P35" s="94">
        <v>0.25700000000000001</v>
      </c>
      <c r="Q35" s="94">
        <v>0.995</v>
      </c>
      <c r="R35" s="94">
        <v>6.0000000000000001E-3</v>
      </c>
      <c r="S35" s="94">
        <v>4.2000000000000003E-2</v>
      </c>
      <c r="T35" s="94">
        <v>4.2000000000000003E-2</v>
      </c>
      <c r="U35" s="128">
        <v>0.995</v>
      </c>
      <c r="V35" s="127">
        <v>-0.23809523809523808</v>
      </c>
      <c r="W35" s="45"/>
      <c r="X35" s="45"/>
      <c r="Y35" s="45"/>
    </row>
    <row r="36" spans="1:25" ht="15.5" customHeight="1" x14ac:dyDescent="0.35">
      <c r="A36" s="16">
        <v>34</v>
      </c>
      <c r="B36" t="s">
        <v>841</v>
      </c>
      <c r="C36" s="16">
        <v>4</v>
      </c>
      <c r="D36" s="16">
        <v>10</v>
      </c>
      <c r="E36" s="59" t="s">
        <v>380</v>
      </c>
      <c r="F36" s="16">
        <v>2017</v>
      </c>
      <c r="G36" s="16">
        <v>5</v>
      </c>
      <c r="H36" s="16" t="s">
        <v>401</v>
      </c>
      <c r="I36" s="50" t="s">
        <v>403</v>
      </c>
      <c r="J36" s="91">
        <v>0.17004684926671479</v>
      </c>
      <c r="K36" s="92">
        <v>0.31373229975094485</v>
      </c>
      <c r="L36" s="92">
        <v>0.64010246742237942</v>
      </c>
      <c r="M36" s="86">
        <v>5.8589864860594878E-7</v>
      </c>
      <c r="N36" s="93">
        <v>0.80900000000000005</v>
      </c>
      <c r="O36" s="94">
        <v>0.87</v>
      </c>
      <c r="P36" s="94">
        <v>0.82899999999999996</v>
      </c>
      <c r="Q36" s="94">
        <v>0.996</v>
      </c>
      <c r="R36" s="94">
        <v>0.77900000000000003</v>
      </c>
      <c r="S36" s="94">
        <v>0.83899999999999997</v>
      </c>
      <c r="T36" s="94">
        <v>0.83199999999999996</v>
      </c>
      <c r="U36" s="128">
        <v>0.996</v>
      </c>
      <c r="V36" s="127">
        <v>-0.4</v>
      </c>
      <c r="W36" s="45"/>
      <c r="X36" s="45"/>
      <c r="Y36" s="45"/>
    </row>
    <row r="37" spans="1:25" ht="15.5" customHeight="1" x14ac:dyDescent="0.35">
      <c r="A37" s="16">
        <v>35</v>
      </c>
      <c r="B37" s="45" t="s">
        <v>851</v>
      </c>
      <c r="C37" s="16">
        <v>11</v>
      </c>
      <c r="D37" s="16">
        <v>14</v>
      </c>
      <c r="E37" s="62"/>
      <c r="F37" s="16">
        <v>2020</v>
      </c>
      <c r="G37" s="16">
        <v>3</v>
      </c>
      <c r="H37" s="16" t="s">
        <v>399</v>
      </c>
      <c r="I37" s="48" t="s">
        <v>402</v>
      </c>
      <c r="J37" s="91">
        <v>4.1274300125927609E-11</v>
      </c>
      <c r="K37" s="92">
        <v>1.0742014159179425E-10</v>
      </c>
      <c r="L37" s="92">
        <v>3.5182588405145983E-10</v>
      </c>
      <c r="M37" s="86">
        <v>4.1938904808945227E-19</v>
      </c>
      <c r="N37" s="93">
        <v>0.86199999999999999</v>
      </c>
      <c r="O37" s="94">
        <v>0.86199999999999999</v>
      </c>
      <c r="P37" s="94">
        <v>0.85</v>
      </c>
      <c r="Q37" s="94">
        <v>0.58299999999999996</v>
      </c>
      <c r="R37" s="94">
        <v>0.85599999999999998</v>
      </c>
      <c r="S37" s="94">
        <v>0.85099999999999998</v>
      </c>
      <c r="T37" s="94">
        <v>0.85099999999999998</v>
      </c>
      <c r="U37" s="128">
        <v>0.56299999999999994</v>
      </c>
      <c r="V37" s="127">
        <v>-0.6454545454545455</v>
      </c>
      <c r="W37" s="45"/>
      <c r="X37" s="45"/>
      <c r="Y37" s="45"/>
    </row>
    <row r="38" spans="1:25" ht="15.5" customHeight="1" x14ac:dyDescent="0.35">
      <c r="A38" s="16">
        <v>36</v>
      </c>
      <c r="B38" t="s">
        <v>826</v>
      </c>
      <c r="C38" s="16">
        <v>11</v>
      </c>
      <c r="D38" s="16">
        <v>10</v>
      </c>
      <c r="E38" s="58" t="s">
        <v>381</v>
      </c>
      <c r="F38" s="16">
        <v>2010</v>
      </c>
      <c r="G38" s="16">
        <v>3</v>
      </c>
      <c r="H38" s="16" t="s">
        <v>400</v>
      </c>
      <c r="I38" s="50" t="s">
        <v>403</v>
      </c>
      <c r="J38" s="91">
        <v>3.1827467245203883E-4</v>
      </c>
      <c r="K38" s="92">
        <v>8.3679466865102157E-4</v>
      </c>
      <c r="L38" s="92">
        <v>2.8095485526992039E-3</v>
      </c>
      <c r="M38" s="86">
        <v>3.5003697201079977E-8</v>
      </c>
      <c r="N38" s="93">
        <v>0.22900000000000001</v>
      </c>
      <c r="O38" s="94">
        <v>0.27600000000000002</v>
      </c>
      <c r="P38" s="94">
        <v>0.26900000000000002</v>
      </c>
      <c r="Q38" s="94">
        <v>0.17</v>
      </c>
      <c r="R38" s="94">
        <v>0.114</v>
      </c>
      <c r="S38" s="94">
        <v>0.16200000000000001</v>
      </c>
      <c r="T38" s="94">
        <v>0.193</v>
      </c>
      <c r="U38" s="128">
        <v>0.154</v>
      </c>
      <c r="V38" s="127">
        <v>-0.25454545454545452</v>
      </c>
      <c r="W38" s="45"/>
      <c r="X38" s="45"/>
      <c r="Y38" s="45"/>
    </row>
    <row r="39" spans="1:25" ht="15.5" customHeight="1" x14ac:dyDescent="0.35">
      <c r="A39" s="16">
        <v>37</v>
      </c>
      <c r="B39" t="s">
        <v>827</v>
      </c>
      <c r="C39" s="16">
        <v>4</v>
      </c>
      <c r="D39" s="16">
        <v>10</v>
      </c>
      <c r="E39" s="58" t="s">
        <v>356</v>
      </c>
      <c r="F39" s="16">
        <v>2011</v>
      </c>
      <c r="G39" s="16">
        <v>5</v>
      </c>
      <c r="H39" s="16" t="s">
        <v>399</v>
      </c>
      <c r="I39" s="50" t="s">
        <v>403</v>
      </c>
      <c r="J39" s="91">
        <v>1.8912805575930199E-3</v>
      </c>
      <c r="K39" s="92">
        <v>3.7110596793976723E-3</v>
      </c>
      <c r="L39" s="92">
        <v>7.4574682695398974E-3</v>
      </c>
      <c r="M39" s="86">
        <v>4.5401503099409024E-10</v>
      </c>
      <c r="N39" s="93">
        <v>0.76300000000000001</v>
      </c>
      <c r="O39" s="94">
        <v>0.78400000000000003</v>
      </c>
      <c r="P39" s="94">
        <v>0.78400000000000003</v>
      </c>
      <c r="Q39" s="94">
        <v>0.97</v>
      </c>
      <c r="R39" s="94">
        <v>0.68600000000000005</v>
      </c>
      <c r="S39" s="94">
        <v>0.72099999999999997</v>
      </c>
      <c r="T39" s="94">
        <v>0.70799999999999996</v>
      </c>
      <c r="U39" s="128">
        <v>0.96899999999999997</v>
      </c>
      <c r="V39" s="127">
        <v>-0.8</v>
      </c>
      <c r="W39" s="45"/>
      <c r="X39" s="45"/>
      <c r="Y39" s="45"/>
    </row>
    <row r="40" spans="1:25" ht="15.5" customHeight="1" x14ac:dyDescent="0.35">
      <c r="A40" s="16">
        <v>38</v>
      </c>
      <c r="B40" s="45" t="s">
        <v>850</v>
      </c>
      <c r="C40" s="16">
        <v>5</v>
      </c>
      <c r="D40" s="16">
        <v>10</v>
      </c>
      <c r="E40" s="62"/>
      <c r="F40" s="16">
        <v>2020</v>
      </c>
      <c r="G40" s="16">
        <v>3</v>
      </c>
      <c r="H40" s="16" t="s">
        <v>400</v>
      </c>
      <c r="I40" s="48" t="s">
        <v>402</v>
      </c>
      <c r="J40" s="91">
        <v>3.5922481255336048E-4</v>
      </c>
      <c r="K40" s="92">
        <v>8.0148884956726294E-4</v>
      </c>
      <c r="L40" s="92">
        <v>1.7929697781092642E-3</v>
      </c>
      <c r="M40" s="86">
        <v>1.6859783487489306E-12</v>
      </c>
      <c r="N40" s="93">
        <v>0.99</v>
      </c>
      <c r="O40" s="94">
        <v>0.98299999999999998</v>
      </c>
      <c r="P40" s="94">
        <v>0.98199999999999998</v>
      </c>
      <c r="Q40" s="94">
        <v>0.91100000000000003</v>
      </c>
      <c r="R40" s="94">
        <v>0.98099999999999998</v>
      </c>
      <c r="S40" s="94">
        <v>0.98099999999999998</v>
      </c>
      <c r="T40" s="94">
        <v>0.98099999999999998</v>
      </c>
      <c r="U40" s="128">
        <v>0.92900000000000005</v>
      </c>
      <c r="V40" s="127">
        <v>-0.3</v>
      </c>
      <c r="W40" s="45"/>
      <c r="X40" s="45"/>
      <c r="Y40" s="45"/>
    </row>
    <row r="41" spans="1:25" ht="15.5" customHeight="1" x14ac:dyDescent="0.35">
      <c r="A41" s="16">
        <v>39</v>
      </c>
      <c r="B41" t="s">
        <v>861</v>
      </c>
      <c r="C41" s="16">
        <v>4</v>
      </c>
      <c r="D41" s="16">
        <v>10</v>
      </c>
      <c r="E41" s="58" t="s">
        <v>382</v>
      </c>
      <c r="F41" s="16">
        <v>2013</v>
      </c>
      <c r="G41" s="16">
        <v>5</v>
      </c>
      <c r="H41" s="16" t="s">
        <v>399</v>
      </c>
      <c r="I41" s="50" t="s">
        <v>403</v>
      </c>
      <c r="J41" s="91">
        <v>6.6692724831076411E-2</v>
      </c>
      <c r="K41" s="92">
        <v>9.0556091638129194E-2</v>
      </c>
      <c r="L41" s="92">
        <v>0.19174600174227452</v>
      </c>
      <c r="M41" s="86">
        <v>2.4698579358616405E-10</v>
      </c>
      <c r="N41" s="93">
        <v>0.92900000000000005</v>
      </c>
      <c r="O41" s="94">
        <v>0.90300000000000002</v>
      </c>
      <c r="P41" s="94">
        <v>0.90300000000000002</v>
      </c>
      <c r="Q41" s="94">
        <v>0.997</v>
      </c>
      <c r="R41" s="94">
        <v>0.91800000000000004</v>
      </c>
      <c r="S41" s="94">
        <v>0.878</v>
      </c>
      <c r="T41" s="94">
        <v>0.878</v>
      </c>
      <c r="U41" s="128">
        <v>0.997</v>
      </c>
      <c r="V41" s="127">
        <v>-1</v>
      </c>
      <c r="W41" s="45"/>
      <c r="X41" s="45"/>
      <c r="Y41" s="45"/>
    </row>
    <row r="42" spans="1:25" ht="15.5" customHeight="1" x14ac:dyDescent="0.35">
      <c r="A42" s="16">
        <v>40</v>
      </c>
      <c r="B42" s="45" t="s">
        <v>849</v>
      </c>
      <c r="C42" s="16">
        <v>6</v>
      </c>
      <c r="D42" s="16">
        <v>30</v>
      </c>
      <c r="E42" s="60" t="s">
        <v>420</v>
      </c>
      <c r="F42" s="16">
        <v>2019</v>
      </c>
      <c r="G42" s="46">
        <v>3</v>
      </c>
      <c r="H42" s="46" t="s">
        <v>400</v>
      </c>
      <c r="I42" s="49"/>
      <c r="J42" s="89">
        <v>4.5134254080909238E-5</v>
      </c>
      <c r="K42" s="92">
        <v>8.8600221879641571E-5</v>
      </c>
      <c r="L42" s="92">
        <v>2.2206767368011251E-4</v>
      </c>
      <c r="M42" s="86">
        <v>6.9029790251141085E-10</v>
      </c>
      <c r="N42" s="93">
        <v>6.5000000000000002E-2</v>
      </c>
      <c r="O42" s="94">
        <v>7.6999999999999999E-2</v>
      </c>
      <c r="P42" s="94">
        <v>8.1000000000000003E-2</v>
      </c>
      <c r="Q42" s="94">
        <v>0.79</v>
      </c>
      <c r="R42" s="94">
        <v>4.7E-2</v>
      </c>
      <c r="S42" s="94">
        <v>6.7000000000000004E-2</v>
      </c>
      <c r="T42" s="94">
        <v>6.6000000000000003E-2</v>
      </c>
      <c r="U42" s="128">
        <v>0.79700000000000004</v>
      </c>
      <c r="V42" s="127">
        <v>-0.6</v>
      </c>
      <c r="W42" s="45"/>
      <c r="X42" s="45"/>
      <c r="Y42" s="45"/>
    </row>
    <row r="43" spans="1:25" ht="15.5" customHeight="1" x14ac:dyDescent="0.35">
      <c r="A43" s="66">
        <v>41</v>
      </c>
      <c r="B43" t="s">
        <v>828</v>
      </c>
      <c r="C43" s="16">
        <v>10</v>
      </c>
      <c r="D43" s="115">
        <v>12</v>
      </c>
      <c r="E43" s="58" t="s">
        <v>383</v>
      </c>
      <c r="F43" s="16">
        <v>2009</v>
      </c>
      <c r="G43" s="16">
        <v>3</v>
      </c>
      <c r="H43" s="16" t="s">
        <v>401</v>
      </c>
      <c r="I43" s="48" t="s">
        <v>402</v>
      </c>
      <c r="J43" s="91">
        <v>9.7117575295503095E-3</v>
      </c>
      <c r="K43" s="92">
        <v>1.4703085318317726E-2</v>
      </c>
      <c r="L43" s="92">
        <v>3.5994508920066885E-2</v>
      </c>
      <c r="M43" s="86">
        <v>2.4329334307280603E-10</v>
      </c>
      <c r="N43" s="93">
        <v>0.60199999999999998</v>
      </c>
      <c r="O43" s="94">
        <v>0.52400000000000002</v>
      </c>
      <c r="P43" s="94">
        <v>0.254</v>
      </c>
      <c r="Q43" s="94">
        <v>0.98899999999999999</v>
      </c>
      <c r="R43" s="94">
        <v>0.53800000000000003</v>
      </c>
      <c r="S43" s="94">
        <v>0.40300000000000002</v>
      </c>
      <c r="T43" s="94">
        <v>0.30299999999999999</v>
      </c>
      <c r="U43" s="128">
        <v>0.99099999999999999</v>
      </c>
      <c r="V43" s="127">
        <v>-0.67878787878787883</v>
      </c>
      <c r="W43" s="45"/>
      <c r="X43" s="45"/>
      <c r="Y43" s="45"/>
    </row>
    <row r="44" spans="1:25" ht="15.5" customHeight="1" x14ac:dyDescent="0.35">
      <c r="A44" s="16">
        <v>42</v>
      </c>
      <c r="B44" t="s">
        <v>1016</v>
      </c>
      <c r="C44" s="16">
        <v>28</v>
      </c>
      <c r="D44" s="16">
        <v>15</v>
      </c>
      <c r="E44" s="58" t="s">
        <v>397</v>
      </c>
      <c r="F44" s="46">
        <v>2022</v>
      </c>
      <c r="G44" s="16">
        <v>3</v>
      </c>
      <c r="H44" s="16" t="s">
        <v>400</v>
      </c>
      <c r="I44" s="50" t="s">
        <v>1075</v>
      </c>
      <c r="J44" s="91">
        <v>4.445190675936371E-2</v>
      </c>
      <c r="K44" s="92">
        <v>9.8605644516544758E-2</v>
      </c>
      <c r="L44" s="92">
        <v>0.43136311206959255</v>
      </c>
      <c r="M44" s="86">
        <v>7.6978980748716216E-10</v>
      </c>
      <c r="N44" s="93">
        <v>0.94699999999999995</v>
      </c>
      <c r="O44" s="94">
        <v>0.79600000000000004</v>
      </c>
      <c r="P44" s="94">
        <v>0.8</v>
      </c>
      <c r="Q44" s="94">
        <v>0.871</v>
      </c>
      <c r="R44" s="94">
        <v>0.88900000000000001</v>
      </c>
      <c r="S44" s="94">
        <v>0.754</v>
      </c>
      <c r="T44" s="94">
        <v>0.77200000000000002</v>
      </c>
      <c r="U44" s="128">
        <v>0.88900000000000001</v>
      </c>
      <c r="V44" s="127">
        <v>-0.44088669950738918</v>
      </c>
      <c r="W44" s="45"/>
      <c r="X44" s="45"/>
      <c r="Y44" s="45"/>
    </row>
    <row r="45" spans="1:25" ht="15.5" customHeight="1" x14ac:dyDescent="0.35">
      <c r="A45" s="66">
        <v>43</v>
      </c>
      <c r="B45" t="s">
        <v>845</v>
      </c>
      <c r="C45" s="16">
        <v>16</v>
      </c>
      <c r="D45" s="16">
        <v>21</v>
      </c>
      <c r="E45" s="58" t="s">
        <v>384</v>
      </c>
      <c r="F45" s="16">
        <v>2018</v>
      </c>
      <c r="G45" s="16">
        <v>3</v>
      </c>
      <c r="H45" s="16" t="s">
        <v>399</v>
      </c>
      <c r="I45" s="49"/>
      <c r="J45" s="91">
        <v>6.6744756770545816E-5</v>
      </c>
      <c r="K45" s="92">
        <v>2.5227146524821158E-4</v>
      </c>
      <c r="L45" s="92">
        <v>9.7840547034006822E-4</v>
      </c>
      <c r="M45" s="86">
        <v>4.1369440406917122E-20</v>
      </c>
      <c r="N45" s="93">
        <v>0.99299999999999999</v>
      </c>
      <c r="O45" s="94">
        <v>0.99299999999999999</v>
      </c>
      <c r="P45" s="94">
        <v>0.99299999999999999</v>
      </c>
      <c r="Q45" s="94">
        <v>0.97799999999999998</v>
      </c>
      <c r="R45" s="94">
        <v>0.99299999999999999</v>
      </c>
      <c r="S45" s="94">
        <v>0.99299999999999999</v>
      </c>
      <c r="T45" s="94">
        <v>0.99299999999999999</v>
      </c>
      <c r="U45" s="128">
        <v>0.97799999999999998</v>
      </c>
      <c r="V45" s="127">
        <v>-0.64107142857142863</v>
      </c>
      <c r="W45" s="45"/>
      <c r="X45" s="45"/>
      <c r="Y45" s="45"/>
    </row>
    <row r="46" spans="1:25" ht="15.5" customHeight="1" x14ac:dyDescent="0.35">
      <c r="A46" s="16">
        <v>44</v>
      </c>
      <c r="B46" t="s">
        <v>843</v>
      </c>
      <c r="C46" s="16">
        <v>9</v>
      </c>
      <c r="D46" s="16">
        <v>13</v>
      </c>
      <c r="E46" s="58" t="s">
        <v>385</v>
      </c>
      <c r="F46" s="16">
        <v>2014</v>
      </c>
      <c r="G46" s="16">
        <v>3</v>
      </c>
      <c r="H46" s="16" t="s">
        <v>400</v>
      </c>
      <c r="I46" s="48" t="s">
        <v>402</v>
      </c>
      <c r="J46" s="91">
        <v>3.6833998668765661E-2</v>
      </c>
      <c r="K46" s="92">
        <v>9.161517434372661E-2</v>
      </c>
      <c r="L46" s="92">
        <v>0.27665760247462118</v>
      </c>
      <c r="M46" s="86">
        <v>5.037997564917634E-12</v>
      </c>
      <c r="N46" s="93">
        <v>0.95899999999999996</v>
      </c>
      <c r="O46" s="94">
        <v>0.95299999999999996</v>
      </c>
      <c r="P46" s="94">
        <v>0.95099999999999996</v>
      </c>
      <c r="Q46" s="94">
        <v>0.99099999999999999</v>
      </c>
      <c r="R46" s="94">
        <v>0.95799999999999996</v>
      </c>
      <c r="S46" s="94">
        <v>0.95299999999999996</v>
      </c>
      <c r="T46" s="94">
        <v>0.95299999999999996</v>
      </c>
      <c r="U46" s="128">
        <v>0.99399999999999999</v>
      </c>
      <c r="V46" s="127">
        <v>-0.32500000000000001</v>
      </c>
      <c r="W46" s="45"/>
      <c r="X46" s="45"/>
      <c r="Y46" s="45"/>
    </row>
    <row r="47" spans="1:25" ht="15.5" customHeight="1" x14ac:dyDescent="0.35">
      <c r="A47" s="16">
        <v>45</v>
      </c>
      <c r="B47" t="s">
        <v>844</v>
      </c>
      <c r="C47" s="16">
        <v>8</v>
      </c>
      <c r="D47" s="16">
        <v>19</v>
      </c>
      <c r="E47" s="58" t="s">
        <v>386</v>
      </c>
      <c r="F47" s="16">
        <v>2016</v>
      </c>
      <c r="G47" s="16">
        <v>3</v>
      </c>
      <c r="H47" s="16" t="s">
        <v>400</v>
      </c>
      <c r="I47" s="48" t="s">
        <v>402</v>
      </c>
      <c r="J47" s="91">
        <v>1.7188911774430845E-3</v>
      </c>
      <c r="K47" s="92">
        <v>4.174873122244945E-3</v>
      </c>
      <c r="L47" s="92">
        <v>1.0240608302133278E-2</v>
      </c>
      <c r="M47" s="86">
        <v>3.2650719867381827E-12</v>
      </c>
      <c r="N47" s="93">
        <v>0.97199999999999998</v>
      </c>
      <c r="O47" s="94">
        <v>0.97199999999999998</v>
      </c>
      <c r="P47" s="94">
        <v>0.97199999999999998</v>
      </c>
      <c r="Q47" s="94">
        <v>0.70199999999999996</v>
      </c>
      <c r="R47" s="94">
        <v>0.96799999999999997</v>
      </c>
      <c r="S47" s="94">
        <v>0.96799999999999997</v>
      </c>
      <c r="T47" s="94">
        <v>0.96799999999999997</v>
      </c>
      <c r="U47" s="128">
        <v>0.67900000000000005</v>
      </c>
      <c r="V47" s="127">
        <v>-0.42857142857142855</v>
      </c>
      <c r="W47" s="45"/>
      <c r="X47" s="45"/>
      <c r="Y47" s="45"/>
    </row>
    <row r="48" spans="1:25" ht="15.5" customHeight="1" x14ac:dyDescent="0.35">
      <c r="A48" s="16">
        <v>46</v>
      </c>
      <c r="B48" s="45" t="s">
        <v>980</v>
      </c>
      <c r="C48" s="16">
        <v>12</v>
      </c>
      <c r="D48" s="16">
        <v>8</v>
      </c>
      <c r="E48" s="62" t="s">
        <v>981</v>
      </c>
      <c r="F48" s="113">
        <v>2022</v>
      </c>
      <c r="G48" s="16">
        <v>3</v>
      </c>
      <c r="H48" s="16" t="s">
        <v>400</v>
      </c>
      <c r="I48" s="50" t="s">
        <v>403</v>
      </c>
      <c r="J48" s="91">
        <v>0.15350161088206735</v>
      </c>
      <c r="K48" s="92">
        <v>0.24710061297746244</v>
      </c>
      <c r="L48" s="92">
        <v>0.68751831896103632</v>
      </c>
      <c r="M48" s="86">
        <v>3.8862108592223039E-8</v>
      </c>
      <c r="N48" s="93">
        <v>0.91800000000000004</v>
      </c>
      <c r="O48" s="94">
        <v>0.91200000000000003</v>
      </c>
      <c r="P48" s="94">
        <v>0.80900000000000005</v>
      </c>
      <c r="Q48" s="94">
        <v>0.996</v>
      </c>
      <c r="R48" s="94">
        <v>0.91400000000000003</v>
      </c>
      <c r="S48" s="94">
        <v>0.85399999999999998</v>
      </c>
      <c r="T48" s="94">
        <v>0.82499999999999996</v>
      </c>
      <c r="U48" s="128">
        <v>0.996</v>
      </c>
      <c r="V48" s="127">
        <v>0.22027972027972029</v>
      </c>
      <c r="W48" s="45"/>
      <c r="X48" s="45"/>
      <c r="Y48" s="45"/>
    </row>
    <row r="49" spans="1:27" ht="15.5" customHeight="1" x14ac:dyDescent="0.35">
      <c r="A49" s="16">
        <v>47</v>
      </c>
      <c r="B49" s="45" t="s">
        <v>856</v>
      </c>
      <c r="C49" s="16">
        <v>9</v>
      </c>
      <c r="D49" s="16">
        <v>10</v>
      </c>
      <c r="E49" s="62"/>
      <c r="F49" s="16">
        <v>2022</v>
      </c>
      <c r="G49" s="16">
        <v>3</v>
      </c>
      <c r="H49" s="16" t="s">
        <v>401</v>
      </c>
      <c r="I49" s="50" t="s">
        <v>403</v>
      </c>
      <c r="J49" s="91">
        <v>1.9793809316996248E-3</v>
      </c>
      <c r="K49" s="92">
        <v>3.870173241649831E-3</v>
      </c>
      <c r="L49" s="92">
        <v>1.0718886693955992E-2</v>
      </c>
      <c r="M49" s="86">
        <v>4.5401503099409024E-10</v>
      </c>
      <c r="N49" s="93">
        <v>0.82699999999999996</v>
      </c>
      <c r="O49" s="94">
        <v>0.71399999999999997</v>
      </c>
      <c r="P49" s="94">
        <v>0.71199999999999997</v>
      </c>
      <c r="Q49" s="94">
        <v>0.84399999999999997</v>
      </c>
      <c r="R49" s="94">
        <v>0.73899999999999999</v>
      </c>
      <c r="S49" s="94">
        <v>0.71</v>
      </c>
      <c r="T49" s="94">
        <v>0.68</v>
      </c>
      <c r="U49" s="128">
        <v>0.875</v>
      </c>
      <c r="V49" s="127">
        <v>-0.05</v>
      </c>
      <c r="W49" s="45"/>
      <c r="X49" s="45"/>
      <c r="Y49" s="45"/>
    </row>
    <row r="50" spans="1:27" ht="15.5" customHeight="1" x14ac:dyDescent="0.35">
      <c r="A50" s="16">
        <v>48</v>
      </c>
      <c r="B50" t="s">
        <v>829</v>
      </c>
      <c r="C50" s="16">
        <v>8</v>
      </c>
      <c r="D50" s="16">
        <v>10</v>
      </c>
      <c r="E50" s="58" t="s">
        <v>387</v>
      </c>
      <c r="F50" s="16">
        <v>2011</v>
      </c>
      <c r="G50" s="16">
        <v>5</v>
      </c>
      <c r="H50" s="16" t="s">
        <v>401</v>
      </c>
      <c r="I50" s="50" t="s">
        <v>403</v>
      </c>
      <c r="J50" s="91">
        <v>3.4509654848454216E-4</v>
      </c>
      <c r="K50" s="92">
        <v>5.9144683242608577E-4</v>
      </c>
      <c r="L50" s="92">
        <v>1.3105697256946432E-3</v>
      </c>
      <c r="M50" s="86">
        <v>8.3636086056304812E-11</v>
      </c>
      <c r="N50" s="93">
        <v>0.88900000000000001</v>
      </c>
      <c r="O50" s="94">
        <v>0.879</v>
      </c>
      <c r="P50" s="94">
        <v>0.82</v>
      </c>
      <c r="Q50" s="94">
        <v>0.68799999999999994</v>
      </c>
      <c r="R50" s="94">
        <v>0.88400000000000001</v>
      </c>
      <c r="S50" s="94">
        <v>0.85799999999999998</v>
      </c>
      <c r="T50" s="94">
        <v>0.84899999999999998</v>
      </c>
      <c r="U50" s="128">
        <v>0.79700000000000004</v>
      </c>
      <c r="V50" s="127">
        <v>-0.5</v>
      </c>
      <c r="W50" s="45"/>
      <c r="X50" s="45"/>
      <c r="Y50" s="45"/>
    </row>
    <row r="51" spans="1:27" ht="15.5" customHeight="1" x14ac:dyDescent="0.35">
      <c r="A51" s="16">
        <v>49</v>
      </c>
      <c r="B51" t="s">
        <v>830</v>
      </c>
      <c r="C51" s="16">
        <v>14</v>
      </c>
      <c r="D51" s="16">
        <v>15</v>
      </c>
      <c r="E51" s="58" t="s">
        <v>388</v>
      </c>
      <c r="F51" s="16">
        <v>2010</v>
      </c>
      <c r="G51" s="16">
        <v>3</v>
      </c>
      <c r="H51" s="16" t="s">
        <v>401</v>
      </c>
      <c r="I51" s="48" t="s">
        <v>402</v>
      </c>
      <c r="J51" s="91">
        <v>5.6429844547626097E-2</v>
      </c>
      <c r="K51" s="92">
        <v>0.16993084848426446</v>
      </c>
      <c r="L51" s="92">
        <v>0.64320165319535971</v>
      </c>
      <c r="M51" s="86">
        <v>1.6179933144031912E-11</v>
      </c>
      <c r="N51" s="93">
        <v>0.98499999999999999</v>
      </c>
      <c r="O51" s="94">
        <v>0.97299999999999998</v>
      </c>
      <c r="P51" s="94">
        <v>0.97299999999999998</v>
      </c>
      <c r="Q51" s="94">
        <v>0.99399999999999999</v>
      </c>
      <c r="R51" s="94">
        <v>0.95299999999999996</v>
      </c>
      <c r="S51" s="94">
        <v>0.94899999999999995</v>
      </c>
      <c r="T51" s="94">
        <v>0.95</v>
      </c>
      <c r="U51" s="128">
        <v>0.995</v>
      </c>
      <c r="V51" s="127">
        <v>-0.67252747252747258</v>
      </c>
      <c r="W51" s="45"/>
      <c r="X51" s="45"/>
      <c r="Y51" s="45"/>
    </row>
    <row r="52" spans="1:27" ht="15.5" customHeight="1" x14ac:dyDescent="0.35">
      <c r="A52" s="16">
        <v>50</v>
      </c>
      <c r="B52" t="s">
        <v>840</v>
      </c>
      <c r="C52" s="16">
        <v>5</v>
      </c>
      <c r="D52" s="16">
        <v>10</v>
      </c>
      <c r="E52" s="59" t="s">
        <v>389</v>
      </c>
      <c r="F52" s="16">
        <v>2017</v>
      </c>
      <c r="G52" s="16">
        <v>5</v>
      </c>
      <c r="H52" s="16" t="s">
        <v>401</v>
      </c>
      <c r="I52" s="50" t="s">
        <v>403</v>
      </c>
      <c r="J52" s="89">
        <v>4.6954355918107571E-6</v>
      </c>
      <c r="K52" s="90">
        <v>9.0732658135283567E-6</v>
      </c>
      <c r="L52" s="90">
        <v>2.0828916954594615E-5</v>
      </c>
      <c r="M52" s="86">
        <v>1.2926577285694389E-10</v>
      </c>
      <c r="N52" s="93">
        <v>0.58599999999999997</v>
      </c>
      <c r="O52" s="94">
        <v>0.40500000000000003</v>
      </c>
      <c r="P52" s="94">
        <v>0.35799999999999998</v>
      </c>
      <c r="Q52" s="94">
        <v>0.89100000000000001</v>
      </c>
      <c r="R52" s="94">
        <v>0.51800000000000002</v>
      </c>
      <c r="S52" s="94">
        <v>0.54400000000000004</v>
      </c>
      <c r="T52" s="94">
        <v>0.58699999999999997</v>
      </c>
      <c r="U52" s="128">
        <v>0.89200000000000002</v>
      </c>
      <c r="V52" s="127">
        <v>-0.5</v>
      </c>
      <c r="W52" s="45"/>
      <c r="X52" s="45"/>
      <c r="Y52" s="45"/>
    </row>
    <row r="53" spans="1:27" ht="15.5" customHeight="1" x14ac:dyDescent="0.35">
      <c r="A53" s="16">
        <v>51</v>
      </c>
      <c r="B53" t="s">
        <v>831</v>
      </c>
      <c r="C53" s="16">
        <v>14</v>
      </c>
      <c r="D53" s="16">
        <v>16</v>
      </c>
      <c r="E53" s="58" t="s">
        <v>390</v>
      </c>
      <c r="F53" s="16">
        <v>2008</v>
      </c>
      <c r="G53" s="16">
        <v>3</v>
      </c>
      <c r="H53" s="16" t="s">
        <v>400</v>
      </c>
      <c r="I53" s="48" t="s">
        <v>402</v>
      </c>
      <c r="J53" s="91">
        <v>1.8250477728066952E-2</v>
      </c>
      <c r="K53" s="92">
        <v>6.0331193399003516E-2</v>
      </c>
      <c r="L53" s="92">
        <v>0.2273936372308468</v>
      </c>
      <c r="M53" s="86">
        <v>2.8792834134901956E-12</v>
      </c>
      <c r="N53" s="93">
        <v>0.98199999999999998</v>
      </c>
      <c r="O53" s="94">
        <v>0.96799999999999997</v>
      </c>
      <c r="P53" s="94">
        <v>0.96799999999999997</v>
      </c>
      <c r="Q53" s="94">
        <v>0.93899999999999995</v>
      </c>
      <c r="R53" s="94">
        <v>0.95399999999999996</v>
      </c>
      <c r="S53" s="94">
        <v>0.94</v>
      </c>
      <c r="T53" s="94">
        <v>0.94299999999999995</v>
      </c>
      <c r="U53" s="128">
        <v>0.94099999999999995</v>
      </c>
      <c r="V53" s="127">
        <v>-0.68131868131868134</v>
      </c>
      <c r="W53" s="45"/>
      <c r="X53" s="45"/>
      <c r="Y53" s="45"/>
    </row>
    <row r="54" spans="1:27" ht="15.5" customHeight="1" x14ac:dyDescent="0.35">
      <c r="A54" s="16">
        <v>52</v>
      </c>
      <c r="B54" t="s">
        <v>973</v>
      </c>
      <c r="C54" s="16">
        <v>12</v>
      </c>
      <c r="D54" s="16">
        <v>13</v>
      </c>
      <c r="E54" s="62" t="s">
        <v>391</v>
      </c>
      <c r="F54" s="16">
        <v>2019</v>
      </c>
      <c r="G54" s="16">
        <v>3</v>
      </c>
      <c r="H54" s="16" t="s">
        <v>400</v>
      </c>
      <c r="I54" s="48" t="s">
        <v>402</v>
      </c>
      <c r="J54" s="91">
        <v>0.21482806418633649</v>
      </c>
      <c r="K54" s="92">
        <v>0.28641616951421406</v>
      </c>
      <c r="L54" s="92">
        <v>0.7543208411082305</v>
      </c>
      <c r="M54" s="86">
        <v>9.4827084214636889E-4</v>
      </c>
      <c r="N54" s="93">
        <v>0.65900000000000003</v>
      </c>
      <c r="O54" s="94">
        <v>0.82699999999999996</v>
      </c>
      <c r="P54" s="94">
        <v>0.51800000000000002</v>
      </c>
      <c r="Q54" s="94">
        <v>0.51700000000000002</v>
      </c>
      <c r="R54" s="94">
        <v>0.44900000000000001</v>
      </c>
      <c r="S54" s="94">
        <v>0.73299999999999998</v>
      </c>
      <c r="T54" s="94">
        <v>0.76400000000000001</v>
      </c>
      <c r="U54" s="128">
        <v>0.41899999999999998</v>
      </c>
      <c r="V54" s="127">
        <v>-0.49650349650349651</v>
      </c>
      <c r="W54" s="45"/>
      <c r="X54" s="45"/>
      <c r="Z54" s="16"/>
      <c r="AA54"/>
    </row>
    <row r="55" spans="1:27" ht="15.5" customHeight="1" x14ac:dyDescent="0.35">
      <c r="A55" s="16">
        <v>53</v>
      </c>
      <c r="B55" t="s">
        <v>974</v>
      </c>
      <c r="C55" s="16">
        <v>8</v>
      </c>
      <c r="D55" s="16">
        <v>13</v>
      </c>
      <c r="E55" s="58" t="s">
        <v>392</v>
      </c>
      <c r="F55" s="16">
        <v>2019</v>
      </c>
      <c r="G55" s="16">
        <v>3</v>
      </c>
      <c r="H55" s="16" t="s">
        <v>400</v>
      </c>
      <c r="I55" s="48" t="s">
        <v>402</v>
      </c>
      <c r="J55" s="91">
        <v>0.21683305696536284</v>
      </c>
      <c r="K55" s="92">
        <v>0.33181072680635493</v>
      </c>
      <c r="L55" s="92">
        <v>0.92825127877991032</v>
      </c>
      <c r="M55" s="86">
        <v>2.7410503474462993E-9</v>
      </c>
      <c r="N55" s="93">
        <v>0.999</v>
      </c>
      <c r="O55" s="94">
        <v>0.98499999999999999</v>
      </c>
      <c r="P55" s="94">
        <v>0.92600000000000005</v>
      </c>
      <c r="Q55" s="94">
        <v>0.99199999999999999</v>
      </c>
      <c r="R55" s="94">
        <v>0.998</v>
      </c>
      <c r="S55" s="94">
        <v>0.94499999999999995</v>
      </c>
      <c r="T55" s="94">
        <v>0.94</v>
      </c>
      <c r="U55" s="128">
        <v>0.99299999999999999</v>
      </c>
      <c r="V55" s="127">
        <v>-0.45238095238095238</v>
      </c>
      <c r="W55" s="45"/>
      <c r="X55" s="45"/>
      <c r="Z55" s="16"/>
      <c r="AA55"/>
    </row>
    <row r="56" spans="1:27" ht="15.5" customHeight="1" x14ac:dyDescent="0.35">
      <c r="A56" s="16">
        <v>54</v>
      </c>
      <c r="B56" t="s">
        <v>832</v>
      </c>
      <c r="C56" s="16">
        <v>18</v>
      </c>
      <c r="D56" s="16">
        <v>17</v>
      </c>
      <c r="E56" s="58" t="s">
        <v>393</v>
      </c>
      <c r="F56" s="16">
        <v>2012</v>
      </c>
      <c r="G56" s="16">
        <v>3</v>
      </c>
      <c r="H56" s="16" t="s">
        <v>400</v>
      </c>
      <c r="I56" s="48" t="s">
        <v>402</v>
      </c>
      <c r="J56" s="91">
        <v>0.10296799602382066</v>
      </c>
      <c r="K56" s="92">
        <v>0.27207214171747834</v>
      </c>
      <c r="L56" s="92">
        <v>0.98897895086652043</v>
      </c>
      <c r="M56" s="86">
        <v>1.0183272759573164E-12</v>
      </c>
      <c r="N56" s="93">
        <v>1</v>
      </c>
      <c r="O56" s="94">
        <v>1</v>
      </c>
      <c r="P56" s="94">
        <v>0.995</v>
      </c>
      <c r="Q56" s="94">
        <v>0.99</v>
      </c>
      <c r="R56" s="94">
        <v>1</v>
      </c>
      <c r="S56" s="94">
        <v>0.999</v>
      </c>
      <c r="T56" s="94">
        <v>0.998</v>
      </c>
      <c r="U56" s="128">
        <v>0.99</v>
      </c>
      <c r="V56" s="127">
        <v>-0.55108359133126938</v>
      </c>
      <c r="W56" s="45"/>
      <c r="X56" s="45"/>
      <c r="Z56" s="16"/>
      <c r="AA56"/>
    </row>
    <row r="57" spans="1:27" ht="15.5" customHeight="1" x14ac:dyDescent="0.35">
      <c r="A57" s="16">
        <v>55</v>
      </c>
      <c r="B57" t="s">
        <v>833</v>
      </c>
      <c r="C57" s="16">
        <v>7</v>
      </c>
      <c r="D57" s="16">
        <v>10</v>
      </c>
      <c r="E57" s="58" t="s">
        <v>382</v>
      </c>
      <c r="F57" s="16">
        <v>2011</v>
      </c>
      <c r="G57" s="16">
        <v>5</v>
      </c>
      <c r="H57" s="16" t="s">
        <v>399</v>
      </c>
      <c r="I57" s="50" t="s">
        <v>403</v>
      </c>
      <c r="J57" s="91">
        <v>0.20552003327414617</v>
      </c>
      <c r="K57" s="92">
        <v>0.23944400990866579</v>
      </c>
      <c r="L57" s="92">
        <v>0.68281622694147348</v>
      </c>
      <c r="M57" s="86">
        <v>5.9916445760123966E-3</v>
      </c>
      <c r="N57" s="93">
        <v>0.40600000000000003</v>
      </c>
      <c r="O57" s="94">
        <v>0.46300000000000002</v>
      </c>
      <c r="P57" s="94">
        <v>0.33500000000000002</v>
      </c>
      <c r="Q57" s="94">
        <v>0.57899999999999996</v>
      </c>
      <c r="R57" s="94">
        <v>0.45800000000000002</v>
      </c>
      <c r="S57" s="94">
        <v>0.65900000000000003</v>
      </c>
      <c r="T57" s="94">
        <v>0.73499999999999999</v>
      </c>
      <c r="U57" s="128">
        <v>0.63900000000000001</v>
      </c>
      <c r="V57" s="127">
        <v>-0.125</v>
      </c>
      <c r="W57" s="45"/>
      <c r="X57" s="45"/>
      <c r="Z57" s="16"/>
      <c r="AA57"/>
    </row>
    <row r="58" spans="1:27" ht="15.5" customHeight="1" x14ac:dyDescent="0.35">
      <c r="A58" s="16">
        <v>56</v>
      </c>
      <c r="B58" t="s">
        <v>834</v>
      </c>
      <c r="C58" s="16">
        <v>21</v>
      </c>
      <c r="D58" s="16">
        <v>16</v>
      </c>
      <c r="E58" s="58" t="s">
        <v>394</v>
      </c>
      <c r="F58" s="16">
        <v>2013</v>
      </c>
      <c r="G58" s="16">
        <v>3</v>
      </c>
      <c r="H58" s="16" t="s">
        <v>400</v>
      </c>
      <c r="I58" s="48" t="s">
        <v>402</v>
      </c>
      <c r="J58" s="91">
        <v>3.0838569626552119E-2</v>
      </c>
      <c r="K58" s="92">
        <v>0.10019010147071049</v>
      </c>
      <c r="L58" s="92">
        <v>0.4110805291090206</v>
      </c>
      <c r="M58" s="86">
        <v>4.4201881234600964E-12</v>
      </c>
      <c r="N58" s="93">
        <v>0.98699999999999999</v>
      </c>
      <c r="O58" s="94">
        <v>0.98199999999999998</v>
      </c>
      <c r="P58" s="94">
        <v>0.98199999999999998</v>
      </c>
      <c r="Q58" s="94">
        <v>0.96</v>
      </c>
      <c r="R58" s="94">
        <v>0.98199999999999998</v>
      </c>
      <c r="S58" s="94">
        <v>0.97299999999999998</v>
      </c>
      <c r="T58" s="94">
        <v>0.95699999999999996</v>
      </c>
      <c r="U58" s="128">
        <v>0.95699999999999996</v>
      </c>
      <c r="V58" s="127">
        <v>-0.79025974025974022</v>
      </c>
    </row>
    <row r="59" spans="1:27" ht="15.5" customHeight="1" x14ac:dyDescent="0.35">
      <c r="A59" s="16">
        <v>57</v>
      </c>
      <c r="B59" t="s">
        <v>839</v>
      </c>
      <c r="C59" s="16">
        <v>6</v>
      </c>
      <c r="D59" s="16">
        <v>10</v>
      </c>
      <c r="E59" s="59" t="s">
        <v>395</v>
      </c>
      <c r="F59" s="16">
        <v>2017</v>
      </c>
      <c r="G59" s="16">
        <v>5</v>
      </c>
      <c r="H59" s="16" t="s">
        <v>401</v>
      </c>
      <c r="I59" s="50" t="s">
        <v>403</v>
      </c>
      <c r="J59" s="91">
        <v>0.14938874220882098</v>
      </c>
      <c r="K59" s="92">
        <v>0.27178556609898336</v>
      </c>
      <c r="L59" s="92">
        <v>0.68281622694147348</v>
      </c>
      <c r="M59" s="86">
        <v>6.1739202070464313E-9</v>
      </c>
      <c r="N59" s="93">
        <v>0.96099999999999997</v>
      </c>
      <c r="O59" s="94">
        <v>0.92300000000000004</v>
      </c>
      <c r="P59" s="94">
        <v>0.91700000000000004</v>
      </c>
      <c r="Q59" s="94">
        <v>0.995</v>
      </c>
      <c r="R59" s="94">
        <v>0.751</v>
      </c>
      <c r="S59" s="94">
        <v>0.63800000000000001</v>
      </c>
      <c r="T59" s="94">
        <v>0.57699999999999996</v>
      </c>
      <c r="U59" s="128">
        <v>0.996</v>
      </c>
      <c r="V59" s="134">
        <v>-0.37142857142857144</v>
      </c>
    </row>
    <row r="60" spans="1:27" ht="15.5" customHeight="1" x14ac:dyDescent="0.35">
      <c r="A60" s="46">
        <v>58</v>
      </c>
      <c r="B60" t="s">
        <v>875</v>
      </c>
      <c r="C60" s="16">
        <v>9</v>
      </c>
      <c r="D60" s="16">
        <v>11</v>
      </c>
      <c r="E60" s="59" t="s">
        <v>396</v>
      </c>
      <c r="F60" s="16">
        <v>2013</v>
      </c>
      <c r="G60" s="16">
        <v>3</v>
      </c>
      <c r="H60" s="16" t="s">
        <v>400</v>
      </c>
      <c r="I60" s="50" t="s">
        <v>403</v>
      </c>
      <c r="J60" s="91">
        <v>0.13344532839331819</v>
      </c>
      <c r="K60" s="92">
        <v>0.26940765934982991</v>
      </c>
      <c r="L60" s="92">
        <v>0.7063129744327834</v>
      </c>
      <c r="M60" s="86">
        <v>3.2101012045323673E-14</v>
      </c>
      <c r="N60" s="93">
        <v>0.99099999999999999</v>
      </c>
      <c r="O60" s="94">
        <v>0.95899999999999996</v>
      </c>
      <c r="P60" s="94">
        <v>0.95399999999999996</v>
      </c>
      <c r="Q60" s="94">
        <v>1</v>
      </c>
      <c r="R60" s="94">
        <v>0.99299999999999999</v>
      </c>
      <c r="S60" s="94">
        <v>0.98899999999999999</v>
      </c>
      <c r="T60" s="94">
        <v>0.97699999999999998</v>
      </c>
      <c r="U60" s="128">
        <v>1</v>
      </c>
      <c r="V60" s="127">
        <v>-0.77500000000000002</v>
      </c>
    </row>
    <row r="61" spans="1:27" ht="15.5" customHeight="1" x14ac:dyDescent="0.35">
      <c r="A61" s="11">
        <v>59</v>
      </c>
      <c r="B61" t="s">
        <v>838</v>
      </c>
      <c r="C61" s="16">
        <v>32</v>
      </c>
      <c r="D61" s="16">
        <v>18</v>
      </c>
      <c r="E61" s="58" t="s">
        <v>397</v>
      </c>
      <c r="F61" s="16">
        <v>2017</v>
      </c>
      <c r="G61" s="16">
        <v>3</v>
      </c>
      <c r="H61" s="16" t="s">
        <v>400</v>
      </c>
      <c r="I61" s="48" t="s">
        <v>402</v>
      </c>
      <c r="J61" s="91">
        <v>3.1497229472525847E-3</v>
      </c>
      <c r="K61" s="92">
        <v>1.1722477748998145E-2</v>
      </c>
      <c r="L61" s="92">
        <v>5.5536721559898729E-2</v>
      </c>
      <c r="M61" s="86">
        <v>7.1155746393986285E-13</v>
      </c>
      <c r="N61" s="93">
        <v>0.85199999999999998</v>
      </c>
      <c r="O61" s="94">
        <v>0.82499999999999996</v>
      </c>
      <c r="P61" s="94">
        <v>0.77900000000000003</v>
      </c>
      <c r="Q61" s="94">
        <v>0.82499999999999996</v>
      </c>
      <c r="R61" s="94">
        <v>0.84399999999999997</v>
      </c>
      <c r="S61" s="94">
        <v>0.82099999999999995</v>
      </c>
      <c r="T61" s="94">
        <v>0.78100000000000003</v>
      </c>
      <c r="U61" s="128">
        <v>0.79400000000000004</v>
      </c>
      <c r="V61" s="127">
        <v>-0.61162023460410553</v>
      </c>
    </row>
    <row r="62" spans="1:27" ht="15.5" customHeight="1" x14ac:dyDescent="0.35">
      <c r="A62" s="11">
        <v>60</v>
      </c>
      <c r="B62" t="s">
        <v>835</v>
      </c>
      <c r="C62" s="16">
        <v>5</v>
      </c>
      <c r="D62" s="16">
        <v>10</v>
      </c>
      <c r="E62" s="58" t="s">
        <v>356</v>
      </c>
      <c r="F62" s="16">
        <v>2011</v>
      </c>
      <c r="G62" s="16">
        <v>5</v>
      </c>
      <c r="H62" s="16" t="s">
        <v>399</v>
      </c>
      <c r="I62" s="50" t="s">
        <v>403</v>
      </c>
      <c r="J62" s="135">
        <v>6.2926324253722396E-2</v>
      </c>
      <c r="K62" s="136">
        <v>0.1043200359881617</v>
      </c>
      <c r="L62" s="136">
        <v>0.24408882758691605</v>
      </c>
      <c r="M62" s="88">
        <v>5.9893325908859558E-4</v>
      </c>
      <c r="N62" s="137">
        <v>0.26700000000000002</v>
      </c>
      <c r="O62" s="138">
        <v>0.40400000000000003</v>
      </c>
      <c r="P62" s="138">
        <v>0.374</v>
      </c>
      <c r="Q62" s="138">
        <v>0.51800000000000002</v>
      </c>
      <c r="R62" s="138">
        <v>0.161</v>
      </c>
      <c r="S62" s="138">
        <v>0.24</v>
      </c>
      <c r="T62" s="138">
        <v>0.23200000000000001</v>
      </c>
      <c r="U62" s="128">
        <v>0.48399999999999999</v>
      </c>
      <c r="V62" s="134">
        <v>-0.5</v>
      </c>
    </row>
    <row r="63" spans="1:27" ht="15.5" customHeight="1" x14ac:dyDescent="0.35">
      <c r="C63" s="8">
        <f>SUM(C3:C62)</f>
        <v>663</v>
      </c>
      <c r="D63" s="8">
        <f>SUM(D3:D62)</f>
        <v>726</v>
      </c>
      <c r="E63" s="62"/>
      <c r="I63" s="50"/>
    </row>
    <row r="64" spans="1:27" ht="15.5" customHeight="1" x14ac:dyDescent="0.35">
      <c r="E64" s="62"/>
      <c r="I64" s="50"/>
      <c r="J64" s="7"/>
      <c r="K64" s="7"/>
      <c r="L64" s="7"/>
      <c r="M64" s="140"/>
      <c r="N64" s="140"/>
      <c r="O64" s="140"/>
      <c r="P64" s="16"/>
      <c r="Q64" s="16"/>
      <c r="R64" s="16"/>
      <c r="S64" s="16"/>
      <c r="T64" s="27"/>
      <c r="U64" s="27"/>
      <c r="V64" s="7"/>
    </row>
    <row r="65" spans="1:51" ht="15.5" customHeight="1" x14ac:dyDescent="0.35">
      <c r="A65" s="45"/>
      <c r="C65" s="45"/>
      <c r="D65" s="45"/>
      <c r="E65" s="45"/>
      <c r="F65" s="45"/>
      <c r="G65" s="45"/>
      <c r="H65" s="45"/>
      <c r="I65" s="67"/>
      <c r="W65" s="67"/>
      <c r="X65" s="67"/>
      <c r="Y65" s="67"/>
      <c r="Z65" s="98"/>
      <c r="AA65" s="67"/>
      <c r="AB65" s="84"/>
      <c r="AC65" s="67"/>
      <c r="AD65" s="67"/>
      <c r="AE65" s="84"/>
      <c r="AF65" s="67"/>
      <c r="AG65" s="84"/>
      <c r="AH65" s="67"/>
      <c r="AI65" s="67"/>
      <c r="AJ65" s="67"/>
      <c r="AK65" s="67"/>
      <c r="AL65" s="84"/>
      <c r="AM65" s="67"/>
      <c r="AN65" s="67"/>
      <c r="AO65" s="67"/>
      <c r="AP65" s="67"/>
      <c r="AQ65" s="67"/>
      <c r="AR65" s="67"/>
      <c r="AS65" s="67"/>
      <c r="AT65" s="67"/>
      <c r="AU65" s="67"/>
      <c r="AV65" s="67"/>
      <c r="AW65" s="67"/>
      <c r="AX65" s="67"/>
      <c r="AY65" s="67"/>
    </row>
    <row r="66" spans="1:51" ht="15.5" customHeight="1" x14ac:dyDescent="0.35">
      <c r="A66" s="45"/>
      <c r="C66" s="45"/>
      <c r="D66" s="45"/>
      <c r="E66" s="45"/>
      <c r="F66" s="45"/>
      <c r="G66" s="45"/>
      <c r="H66" s="45"/>
    </row>
  </sheetData>
  <sortState xmlns:xlrd2="http://schemas.microsoft.com/office/spreadsheetml/2017/richdata2" ref="B2:V69">
    <sortCondition ref="B2:B69"/>
  </sortState>
  <mergeCells count="7">
    <mergeCell ref="AB1:AC1"/>
    <mergeCell ref="X9:X11"/>
    <mergeCell ref="X12:X13"/>
    <mergeCell ref="X14:X15"/>
    <mergeCell ref="J1:M1"/>
    <mergeCell ref="N1:U1"/>
    <mergeCell ref="Y1:AA1"/>
  </mergeCells>
  <hyperlinks>
    <hyperlink ref="E31" r:id="rId1" xr:uid="{00000000-0004-0000-0000-000000000000}"/>
    <hyperlink ref="E12" r:id="rId2" xr:uid="{00000000-0004-0000-0000-000001000000}"/>
    <hyperlink ref="E26" r:id="rId3" xr:uid="{00000000-0004-0000-0000-000002000000}"/>
    <hyperlink ref="E10" r:id="rId4" xr:uid="{00000000-0004-0000-0000-000003000000}"/>
    <hyperlink ref="E25" r:id="rId5" xr:uid="{00000000-0004-0000-0000-000004000000}"/>
    <hyperlink ref="E36" r:id="rId6" xr:uid="{00000000-0004-0000-0000-000005000000}"/>
    <hyperlink ref="E52" r:id="rId7" xr:uid="{00000000-0004-0000-0000-000006000000}"/>
    <hyperlink ref="E59" r:id="rId8" xr:uid="{00000000-0004-0000-0000-000007000000}"/>
    <hyperlink ref="E60" r:id="rId9" xr:uid="{00000000-0004-0000-0000-000008000000}"/>
    <hyperlink ref="E35" r:id="rId10" xr:uid="{00000000-0004-0000-0000-000009000000}"/>
    <hyperlink ref="E8" r:id="rId11" location="brexit-and-food-security-long-term-implications-for-public-health-" xr:uid="{00000000-0004-0000-0000-00000A000000}"/>
    <hyperlink ref="E21" r:id="rId12" xr:uid="{00000000-0004-0000-0000-00000B000000}"/>
    <hyperlink ref="E29" r:id="rId13" location=".VoTb-fkrK_4" xr:uid="{00000000-0004-0000-0000-00000C000000}"/>
    <hyperlink ref="B29" r:id="rId14" location=".VoTb-fkrK_4" display="GL_NIS" xr:uid="{00000000-0004-0000-0000-00000D000000}"/>
    <hyperlink ref="E32" r:id="rId15" xr:uid="{00000000-0004-0000-0000-00000E000000}"/>
    <hyperlink ref="E28" r:id="rId16" xr:uid="{00000000-0004-0000-0000-00000F000000}"/>
    <hyperlink ref="E6" r:id="rId17" xr:uid="{00000000-0004-0000-0000-000010000000}"/>
    <hyperlink ref="E5" r:id="rId18" xr:uid="{00000000-0004-0000-0000-000011000000}"/>
    <hyperlink ref="E23" r:id="rId19" xr:uid="{00000000-0004-0000-0000-000012000000}"/>
    <hyperlink ref="E42" r:id="rId20" xr:uid="{00000000-0004-0000-0000-000013000000}"/>
  </hyperlinks>
  <pageMargins left="0.7" right="0.7" top="0.75" bottom="0.75" header="0.3" footer="0.3"/>
  <pageSetup orientation="portrait" horizontalDpi="90" verticalDpi="90" r:id="rId21"/>
  <drawing r:id="rId22"/>
  <legacyDrawing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9"/>
  <dimension ref="A1:B71"/>
  <sheetViews>
    <sheetView topLeftCell="A33" zoomScale="81" zoomScaleNormal="81" workbookViewId="0">
      <selection activeCell="B61" sqref="B61"/>
    </sheetView>
  </sheetViews>
  <sheetFormatPr defaultRowHeight="14.5" x14ac:dyDescent="0.35"/>
  <cols>
    <col min="1" max="1" width="21.81640625" style="68" customWidth="1"/>
    <col min="2" max="2" width="153.54296875" style="81" customWidth="1"/>
    <col min="3" max="3" width="9.1796875" customWidth="1"/>
  </cols>
  <sheetData>
    <row r="1" spans="1:2" x14ac:dyDescent="0.35">
      <c r="A1" s="69" t="s">
        <v>305</v>
      </c>
      <c r="B1" s="75" t="s">
        <v>877</v>
      </c>
    </row>
    <row r="2" spans="1:2" x14ac:dyDescent="0.35">
      <c r="A2" s="69" t="s">
        <v>440</v>
      </c>
      <c r="B2" s="76" t="s">
        <v>878</v>
      </c>
    </row>
    <row r="3" spans="1:2" x14ac:dyDescent="0.35">
      <c r="A3" s="69" t="s">
        <v>76</v>
      </c>
      <c r="B3" s="77" t="s">
        <v>879</v>
      </c>
    </row>
    <row r="4" spans="1:2" x14ac:dyDescent="0.35">
      <c r="A4" s="69" t="s">
        <v>252</v>
      </c>
      <c r="B4" s="77" t="s">
        <v>880</v>
      </c>
    </row>
    <row r="5" spans="1:2" x14ac:dyDescent="0.35">
      <c r="A5" s="69" t="s">
        <v>449</v>
      </c>
      <c r="B5" s="76" t="s">
        <v>881</v>
      </c>
    </row>
    <row r="6" spans="1:2" x14ac:dyDescent="0.35">
      <c r="A6" s="69" t="s">
        <v>486</v>
      </c>
      <c r="B6" s="77" t="s">
        <v>882</v>
      </c>
    </row>
    <row r="7" spans="1:2" x14ac:dyDescent="0.35">
      <c r="A7" s="70" t="s">
        <v>695</v>
      </c>
      <c r="B7" s="78"/>
    </row>
    <row r="8" spans="1:2" x14ac:dyDescent="0.35">
      <c r="A8" s="69" t="s">
        <v>459</v>
      </c>
      <c r="B8" s="77" t="s">
        <v>883</v>
      </c>
    </row>
    <row r="9" spans="1:2" x14ac:dyDescent="0.35">
      <c r="A9" s="69" t="s">
        <v>866</v>
      </c>
      <c r="B9" s="77" t="s">
        <v>920</v>
      </c>
    </row>
    <row r="10" spans="1:2" x14ac:dyDescent="0.35">
      <c r="A10" s="70" t="s">
        <v>348</v>
      </c>
      <c r="B10" s="77" t="s">
        <v>918</v>
      </c>
    </row>
    <row r="11" spans="1:2" x14ac:dyDescent="0.35">
      <c r="A11" s="69" t="s">
        <v>255</v>
      </c>
      <c r="B11" s="75" t="s">
        <v>877</v>
      </c>
    </row>
    <row r="12" spans="1:2" x14ac:dyDescent="0.35">
      <c r="A12" s="69" t="s">
        <v>336</v>
      </c>
      <c r="B12" s="75" t="s">
        <v>884</v>
      </c>
    </row>
    <row r="13" spans="1:2" ht="21" customHeight="1" x14ac:dyDescent="0.35">
      <c r="A13" s="158" t="s">
        <v>262</v>
      </c>
      <c r="B13" s="71" t="s">
        <v>885</v>
      </c>
    </row>
    <row r="14" spans="1:2" x14ac:dyDescent="0.35">
      <c r="A14" s="158"/>
      <c r="B14" s="71" t="s">
        <v>886</v>
      </c>
    </row>
    <row r="15" spans="1:2" ht="22" x14ac:dyDescent="0.35">
      <c r="A15" s="158"/>
      <c r="B15" s="71" t="s">
        <v>887</v>
      </c>
    </row>
    <row r="16" spans="1:2" x14ac:dyDescent="0.35">
      <c r="A16" s="69" t="s">
        <v>84</v>
      </c>
      <c r="B16" s="75" t="s">
        <v>888</v>
      </c>
    </row>
    <row r="17" spans="1:2" x14ac:dyDescent="0.35">
      <c r="A17" s="69" t="s">
        <v>465</v>
      </c>
      <c r="B17" s="77" t="s">
        <v>921</v>
      </c>
    </row>
    <row r="18" spans="1:2" ht="27.5" customHeight="1" x14ac:dyDescent="0.35">
      <c r="A18" s="158" t="s">
        <v>119</v>
      </c>
      <c r="B18" s="79" t="s">
        <v>889</v>
      </c>
    </row>
    <row r="19" spans="1:2" x14ac:dyDescent="0.35">
      <c r="A19" s="158"/>
      <c r="B19" s="72" t="s">
        <v>890</v>
      </c>
    </row>
    <row r="20" spans="1:2" ht="22" x14ac:dyDescent="0.35">
      <c r="A20" s="158"/>
      <c r="B20" s="72" t="s">
        <v>891</v>
      </c>
    </row>
    <row r="21" spans="1:2" x14ac:dyDescent="0.35">
      <c r="A21" s="69" t="s">
        <v>468</v>
      </c>
      <c r="B21" s="75" t="s">
        <v>891</v>
      </c>
    </row>
    <row r="22" spans="1:2" x14ac:dyDescent="0.35">
      <c r="A22" s="158" t="s">
        <v>872</v>
      </c>
      <c r="B22" s="77" t="s">
        <v>892</v>
      </c>
    </row>
    <row r="23" spans="1:2" x14ac:dyDescent="0.35">
      <c r="A23" s="158"/>
      <c r="B23" s="77" t="s">
        <v>893</v>
      </c>
    </row>
    <row r="24" spans="1:2" x14ac:dyDescent="0.35">
      <c r="A24" s="70" t="s">
        <v>696</v>
      </c>
      <c r="B24" s="78"/>
    </row>
    <row r="25" spans="1:2" x14ac:dyDescent="0.35">
      <c r="A25" s="69" t="s">
        <v>118</v>
      </c>
      <c r="B25" s="77" t="s">
        <v>879</v>
      </c>
    </row>
    <row r="26" spans="1:2" x14ac:dyDescent="0.35">
      <c r="A26" s="69" t="s">
        <v>257</v>
      </c>
      <c r="B26" s="74" t="s">
        <v>877</v>
      </c>
    </row>
    <row r="27" spans="1:2" x14ac:dyDescent="0.35">
      <c r="A27" s="69" t="s">
        <v>253</v>
      </c>
      <c r="B27" s="77" t="s">
        <v>894</v>
      </c>
    </row>
    <row r="28" spans="1:2" x14ac:dyDescent="0.35">
      <c r="A28" s="70" t="s">
        <v>490</v>
      </c>
      <c r="B28" s="77" t="s">
        <v>918</v>
      </c>
    </row>
    <row r="29" spans="1:2" x14ac:dyDescent="0.35">
      <c r="A29" s="69" t="s">
        <v>867</v>
      </c>
      <c r="B29" s="73" t="s">
        <v>923</v>
      </c>
    </row>
    <row r="30" spans="1:2" x14ac:dyDescent="0.35">
      <c r="A30" s="158" t="s">
        <v>263</v>
      </c>
      <c r="B30" s="80" t="s">
        <v>924</v>
      </c>
    </row>
    <row r="31" spans="1:2" x14ac:dyDescent="0.35">
      <c r="A31" s="158"/>
      <c r="B31" s="80" t="s">
        <v>895</v>
      </c>
    </row>
    <row r="32" spans="1:2" ht="24.9" customHeight="1" x14ac:dyDescent="0.35">
      <c r="A32" s="158"/>
      <c r="B32" s="74" t="s">
        <v>896</v>
      </c>
    </row>
    <row r="33" spans="1:2" x14ac:dyDescent="0.35">
      <c r="A33" s="158" t="s">
        <v>472</v>
      </c>
      <c r="B33" s="82" t="s">
        <v>897</v>
      </c>
    </row>
    <row r="34" spans="1:2" ht="22" x14ac:dyDescent="0.35">
      <c r="A34" s="158"/>
      <c r="B34" s="82" t="s">
        <v>898</v>
      </c>
    </row>
    <row r="35" spans="1:2" x14ac:dyDescent="0.35">
      <c r="A35" s="69" t="s">
        <v>223</v>
      </c>
      <c r="B35" s="77" t="s">
        <v>899</v>
      </c>
    </row>
    <row r="36" spans="1:2" x14ac:dyDescent="0.35">
      <c r="A36" s="69" t="s">
        <v>128</v>
      </c>
      <c r="B36" s="77" t="s">
        <v>900</v>
      </c>
    </row>
    <row r="37" spans="1:2" x14ac:dyDescent="0.35">
      <c r="A37" s="69" t="s">
        <v>335</v>
      </c>
      <c r="B37" s="77" t="s">
        <v>901</v>
      </c>
    </row>
    <row r="38" spans="1:2" x14ac:dyDescent="0.35">
      <c r="A38" s="69" t="s">
        <v>287</v>
      </c>
      <c r="B38" s="77" t="s">
        <v>902</v>
      </c>
    </row>
    <row r="39" spans="1:2" x14ac:dyDescent="0.35">
      <c r="A39" s="69" t="s">
        <v>258</v>
      </c>
      <c r="B39" s="75" t="s">
        <v>877</v>
      </c>
    </row>
    <row r="40" spans="1:2" x14ac:dyDescent="0.35">
      <c r="A40" s="69" t="s">
        <v>478</v>
      </c>
      <c r="B40" s="75" t="s">
        <v>903</v>
      </c>
    </row>
    <row r="41" spans="1:2" x14ac:dyDescent="0.35">
      <c r="A41" s="69" t="s">
        <v>303</v>
      </c>
      <c r="B41" s="77" t="s">
        <v>894</v>
      </c>
    </row>
    <row r="42" spans="1:2" x14ac:dyDescent="0.35">
      <c r="A42" s="70" t="s">
        <v>344</v>
      </c>
      <c r="B42" s="78"/>
    </row>
    <row r="43" spans="1:2" x14ac:dyDescent="0.35">
      <c r="A43" s="69" t="s">
        <v>473</v>
      </c>
      <c r="B43" s="77" t="s">
        <v>904</v>
      </c>
    </row>
    <row r="44" spans="1:2" x14ac:dyDescent="0.35">
      <c r="A44" s="69" t="s">
        <v>250</v>
      </c>
      <c r="B44" s="75" t="s">
        <v>877</v>
      </c>
    </row>
    <row r="45" spans="1:2" x14ac:dyDescent="0.35">
      <c r="A45" s="70" t="s">
        <v>343</v>
      </c>
      <c r="B45" s="78"/>
    </row>
    <row r="46" spans="1:2" x14ac:dyDescent="0.35">
      <c r="A46" s="69" t="s">
        <v>919</v>
      </c>
      <c r="B46" s="75" t="s">
        <v>905</v>
      </c>
    </row>
    <row r="47" spans="1:2" x14ac:dyDescent="0.35">
      <c r="A47" s="70" t="s">
        <v>342</v>
      </c>
      <c r="B47" s="77" t="s">
        <v>917</v>
      </c>
    </row>
    <row r="48" spans="1:2" x14ac:dyDescent="0.35">
      <c r="A48" s="69" t="s">
        <v>474</v>
      </c>
      <c r="B48" s="75" t="s">
        <v>906</v>
      </c>
    </row>
    <row r="49" spans="1:2" x14ac:dyDescent="0.35">
      <c r="A49" s="69" t="s">
        <v>484</v>
      </c>
      <c r="B49" s="78"/>
    </row>
    <row r="50" spans="1:2" x14ac:dyDescent="0.35">
      <c r="A50" s="69" t="s">
        <v>480</v>
      </c>
      <c r="B50" s="77" t="s">
        <v>907</v>
      </c>
    </row>
    <row r="51" spans="1:2" x14ac:dyDescent="0.35">
      <c r="A51" s="69" t="s">
        <v>482</v>
      </c>
      <c r="B51" s="77" t="s">
        <v>907</v>
      </c>
    </row>
    <row r="52" spans="1:2" x14ac:dyDescent="0.35">
      <c r="A52" s="70" t="s">
        <v>697</v>
      </c>
      <c r="B52" s="78"/>
    </row>
    <row r="53" spans="1:2" x14ac:dyDescent="0.35">
      <c r="A53" s="69" t="s">
        <v>475</v>
      </c>
      <c r="B53" s="75" t="s">
        <v>922</v>
      </c>
    </row>
    <row r="54" spans="1:2" x14ac:dyDescent="0.35">
      <c r="A54" s="69" t="s">
        <v>129</v>
      </c>
      <c r="B54" s="76" t="s">
        <v>908</v>
      </c>
    </row>
    <row r="55" spans="1:2" ht="22" x14ac:dyDescent="0.35">
      <c r="A55" s="69" t="s">
        <v>338</v>
      </c>
      <c r="B55" s="82" t="s">
        <v>894</v>
      </c>
    </row>
    <row r="56" spans="1:2" x14ac:dyDescent="0.35">
      <c r="A56" s="69" t="s">
        <v>157</v>
      </c>
      <c r="B56" s="80" t="s">
        <v>909</v>
      </c>
    </row>
    <row r="57" spans="1:2" ht="15.5" customHeight="1" x14ac:dyDescent="0.35">
      <c r="A57" s="158" t="s">
        <v>489</v>
      </c>
      <c r="B57" s="82" t="s">
        <v>910</v>
      </c>
    </row>
    <row r="58" spans="1:2" x14ac:dyDescent="0.35">
      <c r="A58" s="158"/>
      <c r="B58" s="82" t="s">
        <v>911</v>
      </c>
    </row>
    <row r="59" spans="1:2" ht="22" x14ac:dyDescent="0.35">
      <c r="A59" s="158" t="s">
        <v>488</v>
      </c>
      <c r="B59" s="82" t="s">
        <v>912</v>
      </c>
    </row>
    <row r="60" spans="1:2" x14ac:dyDescent="0.35">
      <c r="A60" s="158"/>
      <c r="B60" s="82" t="s">
        <v>913</v>
      </c>
    </row>
    <row r="61" spans="1:2" x14ac:dyDescent="0.35">
      <c r="A61" s="69" t="s">
        <v>175</v>
      </c>
      <c r="B61" s="77" t="s">
        <v>913</v>
      </c>
    </row>
    <row r="62" spans="1:2" x14ac:dyDescent="0.35">
      <c r="A62" s="69" t="s">
        <v>476</v>
      </c>
      <c r="B62" s="75" t="s">
        <v>905</v>
      </c>
    </row>
    <row r="63" spans="1:2" x14ac:dyDescent="0.35">
      <c r="A63" s="69" t="s">
        <v>477</v>
      </c>
      <c r="B63" s="77" t="s">
        <v>913</v>
      </c>
    </row>
    <row r="64" spans="1:2" x14ac:dyDescent="0.35">
      <c r="A64" s="69" t="s">
        <v>254</v>
      </c>
      <c r="B64" s="77" t="s">
        <v>894</v>
      </c>
    </row>
    <row r="65" spans="1:2" ht="18" customHeight="1" x14ac:dyDescent="0.35">
      <c r="A65" s="158" t="s">
        <v>865</v>
      </c>
      <c r="B65" s="82" t="s">
        <v>914</v>
      </c>
    </row>
    <row r="66" spans="1:2" ht="27.5" customHeight="1" x14ac:dyDescent="0.35">
      <c r="A66" s="158"/>
      <c r="B66" s="82" t="s">
        <v>915</v>
      </c>
    </row>
    <row r="67" spans="1:2" x14ac:dyDescent="0.35">
      <c r="A67" s="69" t="s">
        <v>33</v>
      </c>
      <c r="B67" s="77" t="s">
        <v>916</v>
      </c>
    </row>
    <row r="68" spans="1:2" x14ac:dyDescent="0.35">
      <c r="A68" s="69" t="s">
        <v>260</v>
      </c>
      <c r="B68" s="75" t="s">
        <v>877</v>
      </c>
    </row>
    <row r="69" spans="1:2" x14ac:dyDescent="0.35">
      <c r="A69" s="69" t="s">
        <v>980</v>
      </c>
      <c r="B69" s="111" t="s">
        <v>982</v>
      </c>
    </row>
    <row r="70" spans="1:2" x14ac:dyDescent="0.35">
      <c r="A70" s="69" t="s">
        <v>1015</v>
      </c>
      <c r="B70" s="77" t="s">
        <v>1073</v>
      </c>
    </row>
    <row r="71" spans="1:2" x14ac:dyDescent="0.35">
      <c r="A71" s="69" t="s">
        <v>1016</v>
      </c>
      <c r="B71" s="77" t="s">
        <v>1074</v>
      </c>
    </row>
  </sheetData>
  <sortState xmlns:xlrd2="http://schemas.microsoft.com/office/spreadsheetml/2017/richdata2" ref="A36">
    <sortCondition ref="A36"/>
  </sortState>
  <mergeCells count="8">
    <mergeCell ref="A59:A60"/>
    <mergeCell ref="A65:A66"/>
    <mergeCell ref="A22:A23"/>
    <mergeCell ref="A13:A15"/>
    <mergeCell ref="A18:A20"/>
    <mergeCell ref="A30:A32"/>
    <mergeCell ref="A33:A34"/>
    <mergeCell ref="A57:A58"/>
  </mergeCells>
  <hyperlinks>
    <hyperlink ref="B3" r:id="rId1" display="https://www.researchgate.net/publication/297259911_EEMCS_Final_Report_for_the_Causal_Modeling_for_Air_Transport_Safety_CATS" xr:uid="{00000000-0004-0000-0100-000000000000}"/>
    <hyperlink ref="B4" r:id="rId2" display="http://www.rff.org/research/publications/how-does-breastfeeding-affect-iq-applying-classical-model-structured-expert" xr:uid="{00000000-0004-0000-0100-000001000000}"/>
    <hyperlink ref="B6" r:id="rId3" display="https://bmjopen.bmj.com/content/10/3/e032376.responses" xr:uid="{00000000-0004-0000-0100-000002000000}"/>
    <hyperlink ref="B8" r:id="rId4" display="https://papers.ssrn.com/sol3/papers.cfm?abstract_id=2704189" xr:uid="{00000000-0004-0000-0100-000003000000}"/>
    <hyperlink ref="B9" r:id="rId5" display="https://doi.org/10.3201/eid2701.200316" xr:uid="{00000000-0004-0000-0100-000004000000}"/>
    <hyperlink ref="B10" r:id="rId6" display="https://www.rff.org/publications/working-papers/the-social-cost-of-carbon-advances-in-long-term-probabilistic-projections-of-population-gdp-emissions-and-discount-rates/" xr:uid="{00000000-0004-0000-0100-000005000000}"/>
    <hyperlink ref="B28" r:id="rId7" display="https://www.rff.org/publications/working-papers/the-social-cost-of-carbon-advances-in-long-term-probabilistic-projections-of-population-gdp-emissions-and-discount-rates/" xr:uid="{00000000-0004-0000-0100-000006000000}"/>
    <hyperlink ref="B13" r:id="rId8" display="https://www.inderscience.com/info/inarticle.php?artid=47552" xr:uid="{00000000-0004-0000-0100-000007000000}"/>
    <hyperlink ref="B14" r:id="rId9" display="https://www.tandfonline.com/doi/abs/10.1080/15287394.2016.1174005?journalCode=uteh20" xr:uid="{00000000-0004-0000-0100-000008000000}"/>
    <hyperlink ref="B15" r:id="rId10" display="https://www.tandfonline.com/doi/abs/10.1080/15287394.2016.1174005?journalCode=uteh20" xr:uid="{00000000-0004-0000-0100-000009000000}"/>
    <hyperlink ref="B17" r:id="rId11" display="https://bmjopen.bmj.com/content/5/6/e007233" xr:uid="{00000000-0004-0000-0100-00000A000000}"/>
    <hyperlink ref="B33" r:id="rId12" display="https://coastalscience.noaa.gov/data_reports/ship-borne-nonindigenous-species-diminish-great-lakes-ecosystem-services/" xr:uid="{00000000-0004-0000-0100-00000B000000}"/>
    <hyperlink ref="B34" r:id="rId13" display="https://www.researchgate.net/publication/250078159_Future_declines_of_the_binational_Laurentian_Great_Lakes_fisheries_The_importance_of_environmental_and_cultural_change" xr:uid="{00000000-0004-0000-0100-00000C000000}"/>
    <hyperlink ref="B57" r:id="rId14" display="https://agupubs.onlinelibrary.wiley.com/doi/full/10.1002/2016JB013858" xr:uid="{00000000-0004-0000-0100-00000D000000}"/>
    <hyperlink ref="B58" r:id="rId15" display="https://agupubs.onlinelibrary.wiley.com/doi/full/10.1002/2014JB011775" xr:uid="{00000000-0004-0000-0100-00000E000000}"/>
    <hyperlink ref="B59" r:id="rId16" display="https://agupubs.onlinelibrary.wiley.com/doi/full/10.1002/2016JB013858" xr:uid="{00000000-0004-0000-0100-00000F000000}"/>
    <hyperlink ref="B60" r:id="rId17" display="https://www.tandfonline.com/doi/abs/10.1080/13669877.2014.971334" xr:uid="{00000000-0004-0000-0100-000010000000}"/>
    <hyperlink ref="B35" r:id="rId18" display="https://journals.sagepub.com/doi/10.3141/2400-02" xr:uid="{00000000-0004-0000-0100-000011000000}"/>
    <hyperlink ref="B36" r:id="rId19" display="https://pubmed.ncbi.nlm.nih.gov/23672712/" xr:uid="{00000000-0004-0000-0100-000012000000}"/>
    <hyperlink ref="B37" r:id="rId20" display="https://www.nature.com/articles/nclimate1778" xr:uid="{00000000-0004-0000-0100-000013000000}"/>
    <hyperlink ref="B38" r:id="rId21" display="https://www.pnas.org/doi/10.1073/pnas.1817205116" xr:uid="{00000000-0004-0000-0100-000014000000}"/>
    <hyperlink ref="B41" r:id="rId22" display="https://journals.plos.org/plosone/article?id=10.1371/journal.pone.0219190" xr:uid="{00000000-0004-0000-0100-000015000000}"/>
    <hyperlink ref="B43" r:id="rId23" display="https://www.sciencedirect.com/science/article/abs/pii/S0951832013001993" xr:uid="{00000000-0004-0000-0100-000016000000}"/>
    <hyperlink ref="B47" r:id="rId24" display="https://www.researchgate.net/publication/331488690_Expert_judgments_calibration_and_combination_for_assessment_of_river_levee_failure_probability" xr:uid="{00000000-0004-0000-0100-000017000000}"/>
    <hyperlink ref="B50" r:id="rId25" display="https://www.tandfonline.com/doi/abs/10.1080/14693062.2017.1373623?journalCode=tcpo20" xr:uid="{00000000-0004-0000-0100-000018000000}"/>
    <hyperlink ref="B51" r:id="rId26" display="https://www.tandfonline.com/doi/abs/10.1080/14693062.2017.1373623?journalCode=tcpo20" xr:uid="{00000000-0004-0000-0100-000019000000}"/>
    <hyperlink ref="B55" r:id="rId27" display="https://journals.plos.org/plosone/article?id=10.1371/journal.pone.0219190" xr:uid="{00000000-0004-0000-0100-00001A000000}"/>
    <hyperlink ref="B61" r:id="rId28" display="https://www.tandfonline.com/doi/abs/10.1080/13669877.2014.971334" xr:uid="{00000000-0004-0000-0100-00001B000000}"/>
    <hyperlink ref="B63" r:id="rId29" display="https://www.tandfonline.com/doi/abs/10.1080/13669877.2014.971334" xr:uid="{00000000-0004-0000-0100-00001C000000}"/>
    <hyperlink ref="B64" r:id="rId30" display="https://journals.plos.org/plosone/article?id=10.1371/journal.pone.0219190" xr:uid="{00000000-0004-0000-0100-00001D000000}"/>
    <hyperlink ref="B65" r:id="rId31" display="https://www.elementascience.org/articles/79" xr:uid="{00000000-0004-0000-0100-00001E000000}"/>
    <hyperlink ref="B66" r:id="rId32" display="https://www.elementascience.org/articles/63" xr:uid="{00000000-0004-0000-0100-00001F000000}"/>
    <hyperlink ref="B67" r:id="rId33" display="https://pubs.er.usgs.gov/publication/70114464" xr:uid="{00000000-0004-0000-0100-000020000000}"/>
    <hyperlink ref="B22" r:id="rId34" display="https://pubmed.ncbi.nlm.nih.gov/25044130/" xr:uid="{00000000-0004-0000-0100-000021000000}"/>
    <hyperlink ref="B23" r:id="rId35" display="https://www.tandfonline.com/doi/full/10.1080/00028487.2015.1069211" xr:uid="{00000000-0004-0000-0100-000022000000}"/>
    <hyperlink ref="B25" r:id="rId36" display="https://www.researchgate.net/publication/297259911_EEMCS_Final_Report_for_the_Causal_Modeling_for_Air_Transport_Safety_CATS" xr:uid="{00000000-0004-0000-0100-000023000000}"/>
    <hyperlink ref="B27" r:id="rId37" display="https://journals.plos.org/plosone/article?id=10.1371/journal.pone.0219190" xr:uid="{00000000-0004-0000-0100-000024000000}"/>
    <hyperlink ref="B29" r:id="rId38" display="https://www.academia.edu/26203570/_Ask_The_Experts_Forward_Looking_Political_Violence_Frequncy_Via_Structured_Expert_Judgement_SEJ_For_Re_insurance" xr:uid="{00000000-0004-0000-0100-000025000000}"/>
    <hyperlink ref="B30" r:id="rId39" display="https://doi.org/10.1785/0220160084" xr:uid="{00000000-0004-0000-0100-000026000000}"/>
    <hyperlink ref="B31" r:id="rId40" display="https://journals.sagepub.com/doi/10.1193/021913EQS037M" xr:uid="{00000000-0004-0000-0100-000027000000}"/>
    <hyperlink ref="B56" r:id="rId41" display="http://www.nat-hazards-earth-syst-sci-discuss.net/1/7779/2013/" xr:uid="{00000000-0004-0000-0100-000028000000}"/>
    <hyperlink ref="B69" r:id="rId42" xr:uid="{00000000-0004-0000-0100-000029000000}"/>
    <hyperlink ref="B70" r:id="rId43" xr:uid="{7A91635F-916C-492A-B569-25EB63291E54}"/>
    <hyperlink ref="B71" r:id="rId44" xr:uid="{A5BEBD28-7718-4C45-BC82-C0490FF8074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5"/>
  <dimension ref="A1:AH1683"/>
  <sheetViews>
    <sheetView tabSelected="1" topLeftCell="A53" zoomScale="85" zoomScaleNormal="85" workbookViewId="0">
      <selection activeCell="M2" sqref="M2:M61"/>
    </sheetView>
  </sheetViews>
  <sheetFormatPr defaultColWidth="9.1796875" defaultRowHeight="14.5" x14ac:dyDescent="0.35"/>
  <cols>
    <col min="1" max="1" width="15.1796875" customWidth="1"/>
    <col min="2" max="2" width="9.08984375" style="17" bestFit="1" customWidth="1"/>
    <col min="3" max="5" width="12.08984375" bestFit="1" customWidth="1"/>
    <col min="6" max="6" width="6" customWidth="1"/>
    <col min="7" max="9" width="12.08984375" bestFit="1" customWidth="1"/>
    <col min="11" max="11" width="9.1796875" style="10"/>
    <col min="12" max="13" width="9.1796875" style="16"/>
    <col min="14" max="14" width="18" customWidth="1"/>
    <col min="15" max="15" width="12.81640625" style="54" customWidth="1"/>
    <col min="16" max="16" width="12.81640625" customWidth="1"/>
    <col min="17" max="17" width="12.81640625" style="55" customWidth="1"/>
    <col min="18" max="18" width="12.81640625" style="54" customWidth="1"/>
    <col min="19" max="19" width="12.81640625" customWidth="1"/>
    <col min="20" max="20" width="12.81640625" style="55" customWidth="1"/>
    <col min="21" max="21" width="12.81640625" style="54" customWidth="1"/>
    <col min="22" max="22" width="12.81640625" customWidth="1"/>
    <col min="23" max="23" width="12.81640625" style="55" customWidth="1"/>
    <col min="24" max="24" width="12.81640625" style="54" customWidth="1"/>
    <col min="25" max="25" width="12.81640625" customWidth="1"/>
    <col min="26" max="26" width="12.81640625" style="55" customWidth="1"/>
    <col min="27" max="27" width="9.08984375" customWidth="1"/>
    <col min="28" max="28" width="9.54296875" customWidth="1"/>
    <col min="29" max="29" width="17.26953125" customWidth="1"/>
    <col min="30" max="30" width="16" customWidth="1"/>
    <col min="31" max="32" width="11.81640625" customWidth="1"/>
    <col min="33" max="35" width="14.54296875" customWidth="1"/>
  </cols>
  <sheetData>
    <row r="1" spans="1:34" x14ac:dyDescent="0.35">
      <c r="A1" t="s">
        <v>925</v>
      </c>
      <c r="B1" s="16"/>
      <c r="J1">
        <v>1</v>
      </c>
      <c r="K1" s="3" t="s">
        <v>340</v>
      </c>
      <c r="L1" s="8" t="s">
        <v>698</v>
      </c>
      <c r="M1" s="8" t="s">
        <v>423</v>
      </c>
      <c r="N1" s="3" t="s">
        <v>857</v>
      </c>
      <c r="O1" s="52" t="s">
        <v>871</v>
      </c>
      <c r="P1" s="3" t="s">
        <v>424</v>
      </c>
      <c r="Q1" s="53" t="s">
        <v>425</v>
      </c>
      <c r="R1" s="52" t="s">
        <v>868</v>
      </c>
      <c r="S1" s="3" t="s">
        <v>426</v>
      </c>
      <c r="T1" s="53" t="s">
        <v>427</v>
      </c>
      <c r="U1" s="52" t="s">
        <v>869</v>
      </c>
      <c r="V1" s="3" t="s">
        <v>428</v>
      </c>
      <c r="W1" s="53" t="s">
        <v>429</v>
      </c>
      <c r="X1" s="52" t="s">
        <v>870</v>
      </c>
      <c r="Y1" s="3" t="s">
        <v>430</v>
      </c>
      <c r="Z1" s="53" t="s">
        <v>431</v>
      </c>
      <c r="AA1" s="3" t="s">
        <v>432</v>
      </c>
      <c r="AB1" s="3" t="s">
        <v>433</v>
      </c>
      <c r="AC1" s="3" t="s">
        <v>434</v>
      </c>
      <c r="AD1" s="3" t="s">
        <v>435</v>
      </c>
      <c r="AE1" s="3" t="s">
        <v>436</v>
      </c>
      <c r="AF1" s="3" t="s">
        <v>437</v>
      </c>
      <c r="AG1" s="3" t="s">
        <v>926</v>
      </c>
      <c r="AH1" s="3" t="s">
        <v>927</v>
      </c>
    </row>
    <row r="2" spans="1:34" x14ac:dyDescent="0.35">
      <c r="A2" t="s">
        <v>700</v>
      </c>
      <c r="B2" s="16"/>
      <c r="K2">
        <v>1</v>
      </c>
      <c r="L2" s="16">
        <v>4</v>
      </c>
      <c r="M2" s="16">
        <v>10</v>
      </c>
      <c r="N2" s="141" t="s">
        <v>305</v>
      </c>
      <c r="O2" s="54">
        <v>0.38590000000000002</v>
      </c>
      <c r="P2">
        <v>0.19750000000000001</v>
      </c>
      <c r="Q2" s="55">
        <v>7.6200000000000004E-2</v>
      </c>
      <c r="R2" s="54">
        <v>0.49880000000000002</v>
      </c>
      <c r="S2">
        <v>0.33560000000000001</v>
      </c>
      <c r="T2" s="55">
        <v>0.16739999999999999</v>
      </c>
      <c r="U2" s="54">
        <v>0.49880000000000002</v>
      </c>
      <c r="V2">
        <v>0.3372</v>
      </c>
      <c r="W2" s="55">
        <v>0.16819999999999999</v>
      </c>
      <c r="X2" s="54">
        <v>0.49880000000000002</v>
      </c>
      <c r="Y2">
        <v>0.52339999999999998</v>
      </c>
      <c r="Z2" s="55">
        <v>0.2611</v>
      </c>
      <c r="AA2">
        <v>7.1469999999999997E-3</v>
      </c>
      <c r="AB2">
        <v>1.22</v>
      </c>
      <c r="AC2">
        <v>8.7200000000000003E-3</v>
      </c>
      <c r="AD2">
        <v>6.9819999999999993E-2</v>
      </c>
      <c r="AE2">
        <v>0.41389999999999999</v>
      </c>
      <c r="AF2">
        <v>2.8899999999999999E-2</v>
      </c>
      <c r="AG2">
        <v>6.9819999999999993E-2</v>
      </c>
      <c r="AH2">
        <v>1.145E-5</v>
      </c>
    </row>
    <row r="3" spans="1:34" x14ac:dyDescent="0.35">
      <c r="A3" t="s">
        <v>438</v>
      </c>
      <c r="B3" s="16"/>
      <c r="K3">
        <v>2</v>
      </c>
      <c r="L3" s="16">
        <v>9</v>
      </c>
      <c r="M3" s="16">
        <v>10</v>
      </c>
      <c r="N3" s="142" t="s">
        <v>440</v>
      </c>
      <c r="O3" s="54">
        <v>6.0830000000000002E-2</v>
      </c>
      <c r="P3">
        <v>1.095</v>
      </c>
      <c r="Q3" s="55">
        <v>6.6619999999999999E-2</v>
      </c>
      <c r="R3" s="54">
        <v>3.5749999999999997E-2</v>
      </c>
      <c r="S3">
        <v>1.679</v>
      </c>
      <c r="T3" s="55">
        <v>6.0010000000000001E-2</v>
      </c>
      <c r="U3" s="54">
        <v>3.5749999999999997E-2</v>
      </c>
      <c r="V3">
        <v>2.7389999999999999</v>
      </c>
      <c r="W3" s="55">
        <v>9.7939999999999999E-2</v>
      </c>
      <c r="X3" s="54">
        <v>3.5749999999999997E-2</v>
      </c>
      <c r="Y3">
        <v>2.7389999999999999</v>
      </c>
      <c r="Z3" s="55">
        <v>9.7939999999999999E-2</v>
      </c>
      <c r="AA3">
        <v>6.2870000000000001E-3</v>
      </c>
      <c r="AB3">
        <v>1.897</v>
      </c>
      <c r="AC3">
        <v>1.193E-2</v>
      </c>
      <c r="AD3">
        <v>3.5749999999999997E-2</v>
      </c>
      <c r="AE3">
        <v>2.7389999999999999</v>
      </c>
      <c r="AF3">
        <v>9.7939999999999999E-2</v>
      </c>
      <c r="AG3">
        <v>3.5749999999999997E-2</v>
      </c>
      <c r="AH3">
        <v>9.8599999999999996E-7</v>
      </c>
    </row>
    <row r="4" spans="1:34" x14ac:dyDescent="0.35">
      <c r="A4" t="s">
        <v>439</v>
      </c>
      <c r="B4" s="16"/>
      <c r="K4">
        <v>3</v>
      </c>
      <c r="L4" s="16">
        <v>5</v>
      </c>
      <c r="M4" s="16">
        <v>10</v>
      </c>
      <c r="N4" s="142" t="s">
        <v>76</v>
      </c>
      <c r="O4" s="54">
        <v>0.1242</v>
      </c>
      <c r="P4">
        <v>0.2472</v>
      </c>
      <c r="Q4" s="55">
        <v>3.0700000000000002E-2</v>
      </c>
      <c r="R4" s="54">
        <v>0.68269999999999997</v>
      </c>
      <c r="S4">
        <v>0.2271</v>
      </c>
      <c r="T4" s="55">
        <v>0.15509999999999999</v>
      </c>
      <c r="U4" s="54">
        <v>0.68269999999999997</v>
      </c>
      <c r="V4">
        <v>0.2271</v>
      </c>
      <c r="W4" s="55">
        <v>0.15509999999999999</v>
      </c>
      <c r="X4" s="54">
        <v>0.24410000000000001</v>
      </c>
      <c r="Y4">
        <v>0.37569999999999998</v>
      </c>
      <c r="Z4" s="55">
        <v>9.1700000000000004E-2</v>
      </c>
      <c r="AA4">
        <v>4.7059999999999998E-2</v>
      </c>
      <c r="AB4">
        <v>0.95879999999999999</v>
      </c>
      <c r="AC4">
        <v>4.512E-2</v>
      </c>
      <c r="AD4">
        <v>0.1012</v>
      </c>
      <c r="AE4">
        <v>0.50339999999999996</v>
      </c>
      <c r="AF4">
        <v>5.0950000000000002E-2</v>
      </c>
      <c r="AG4">
        <v>0.1012</v>
      </c>
      <c r="AH4">
        <v>2.795E-9</v>
      </c>
    </row>
    <row r="5" spans="1:34" x14ac:dyDescent="0.35">
      <c r="A5" t="s">
        <v>441</v>
      </c>
      <c r="B5" s="16"/>
      <c r="K5">
        <v>4</v>
      </c>
      <c r="L5" s="16">
        <v>7</v>
      </c>
      <c r="M5" s="16">
        <v>11</v>
      </c>
      <c r="N5" s="142" t="s">
        <v>252</v>
      </c>
      <c r="O5" s="54">
        <v>0.42449999999999999</v>
      </c>
      <c r="P5">
        <v>0.29420000000000002</v>
      </c>
      <c r="Q5" s="55">
        <v>0.1249</v>
      </c>
      <c r="R5" s="54">
        <v>0.60089999999999999</v>
      </c>
      <c r="S5">
        <v>0.29449999999999998</v>
      </c>
      <c r="T5" s="55">
        <v>0.17699999999999999</v>
      </c>
      <c r="U5" s="54">
        <v>0.69240000000000002</v>
      </c>
      <c r="V5">
        <v>0.57299999999999995</v>
      </c>
      <c r="W5" s="55">
        <v>0.39679999999999999</v>
      </c>
      <c r="X5" s="54">
        <v>0.69240000000000002</v>
      </c>
      <c r="Y5">
        <v>0.57299999999999995</v>
      </c>
      <c r="Z5" s="55">
        <v>0.39679999999999999</v>
      </c>
      <c r="AA5">
        <v>0.2306</v>
      </c>
      <c r="AB5">
        <v>0.4153</v>
      </c>
      <c r="AC5">
        <v>9.5780000000000004E-2</v>
      </c>
      <c r="AD5">
        <v>0.69240000000000002</v>
      </c>
      <c r="AE5">
        <v>0.57299999999999995</v>
      </c>
      <c r="AF5">
        <v>0.39679999999999999</v>
      </c>
      <c r="AG5">
        <v>0.69240000000000002</v>
      </c>
      <c r="AH5">
        <v>3.0150000000000001E-4</v>
      </c>
    </row>
    <row r="6" spans="1:34" x14ac:dyDescent="0.35">
      <c r="A6" t="s">
        <v>701</v>
      </c>
      <c r="B6" s="16"/>
      <c r="K6">
        <v>5</v>
      </c>
      <c r="L6" s="16">
        <v>12</v>
      </c>
      <c r="M6" s="16">
        <v>12</v>
      </c>
      <c r="N6" s="142" t="s">
        <v>1104</v>
      </c>
      <c r="O6" s="54">
        <v>0.41320000000000001</v>
      </c>
      <c r="P6">
        <v>0.2437</v>
      </c>
      <c r="Q6" s="55">
        <v>0.1007</v>
      </c>
      <c r="R6" s="54">
        <v>0.41320000000000001</v>
      </c>
      <c r="S6">
        <v>0.433</v>
      </c>
      <c r="T6" s="55">
        <v>0.1789</v>
      </c>
      <c r="U6" s="54">
        <v>0.6784</v>
      </c>
      <c r="V6">
        <v>0.60970000000000002</v>
      </c>
      <c r="W6" s="55">
        <v>0.41360000000000002</v>
      </c>
      <c r="X6" s="54">
        <v>0.6784</v>
      </c>
      <c r="Y6">
        <v>0.66090000000000004</v>
      </c>
      <c r="Z6" s="55">
        <v>0.44840000000000002</v>
      </c>
      <c r="AA6">
        <v>0.29830000000000001</v>
      </c>
      <c r="AB6">
        <v>0.87470000000000003</v>
      </c>
      <c r="AC6">
        <v>0.26090000000000002</v>
      </c>
      <c r="AD6">
        <v>0.311</v>
      </c>
      <c r="AE6">
        <v>1.0029999999999999</v>
      </c>
      <c r="AF6">
        <v>0.312</v>
      </c>
      <c r="AG6">
        <v>0.311</v>
      </c>
      <c r="AH6">
        <v>1.4190000000000001E-6</v>
      </c>
    </row>
    <row r="7" spans="1:34" x14ac:dyDescent="0.35">
      <c r="A7" t="s">
        <v>442</v>
      </c>
      <c r="B7" s="16" t="s">
        <v>443</v>
      </c>
      <c r="C7" t="s">
        <v>444</v>
      </c>
      <c r="D7" t="s">
        <v>445</v>
      </c>
      <c r="E7" t="s">
        <v>445</v>
      </c>
      <c r="F7" t="s">
        <v>446</v>
      </c>
      <c r="G7" t="s">
        <v>447</v>
      </c>
      <c r="H7" t="s">
        <v>448</v>
      </c>
      <c r="I7" t="s">
        <v>448</v>
      </c>
      <c r="K7">
        <v>6</v>
      </c>
      <c r="L7" s="16">
        <v>10</v>
      </c>
      <c r="M7" s="16">
        <v>10</v>
      </c>
      <c r="N7" s="142" t="s">
        <v>1105</v>
      </c>
      <c r="O7" s="54">
        <v>0.1135</v>
      </c>
      <c r="P7">
        <v>0.2742</v>
      </c>
      <c r="Q7" s="55">
        <v>3.1119999999999998E-2</v>
      </c>
      <c r="R7" s="54">
        <v>0.47349999999999998</v>
      </c>
      <c r="S7">
        <v>0.58209999999999995</v>
      </c>
      <c r="T7" s="55">
        <v>0.27560000000000001</v>
      </c>
      <c r="U7" s="54">
        <v>0.47349999999999998</v>
      </c>
      <c r="V7">
        <v>0.75439999999999996</v>
      </c>
      <c r="W7" s="55">
        <v>0.35720000000000002</v>
      </c>
      <c r="X7" s="54">
        <v>0.55030000000000001</v>
      </c>
      <c r="Y7">
        <v>0.83750000000000002</v>
      </c>
      <c r="Z7" s="55">
        <v>0.46089999999999998</v>
      </c>
      <c r="AA7">
        <v>1.7080000000000001E-2</v>
      </c>
      <c r="AB7">
        <v>1.254</v>
      </c>
      <c r="AC7">
        <v>2.1409999999999998E-2</v>
      </c>
      <c r="AD7">
        <v>7.5020000000000003E-2</v>
      </c>
      <c r="AE7">
        <v>1.2430000000000001</v>
      </c>
      <c r="AF7">
        <v>9.3229999999999993E-2</v>
      </c>
      <c r="AG7">
        <v>7.5020000000000003E-2</v>
      </c>
      <c r="AH7">
        <v>1.2930000000000001E-10</v>
      </c>
    </row>
    <row r="8" spans="1:34" x14ac:dyDescent="0.35">
      <c r="A8" t="s">
        <v>450</v>
      </c>
      <c r="B8" s="16" t="s">
        <v>451</v>
      </c>
      <c r="C8" t="s">
        <v>452</v>
      </c>
      <c r="D8" t="s">
        <v>453</v>
      </c>
      <c r="E8" t="s">
        <v>454</v>
      </c>
      <c r="F8" t="s">
        <v>455</v>
      </c>
      <c r="G8" t="s">
        <v>456</v>
      </c>
      <c r="H8" t="s">
        <v>457</v>
      </c>
      <c r="I8" t="s">
        <v>458</v>
      </c>
      <c r="K8">
        <v>7</v>
      </c>
      <c r="L8" s="16">
        <v>12</v>
      </c>
      <c r="M8" s="16">
        <v>10</v>
      </c>
      <c r="N8" s="143" t="s">
        <v>695</v>
      </c>
      <c r="O8" s="54">
        <v>0.28949999999999998</v>
      </c>
      <c r="P8">
        <v>0.44409999999999999</v>
      </c>
      <c r="Q8" s="55">
        <v>0.12859999999999999</v>
      </c>
      <c r="R8" s="54">
        <v>0.19170000000000001</v>
      </c>
      <c r="S8">
        <v>1.079</v>
      </c>
      <c r="T8" s="55">
        <v>0.20680000000000001</v>
      </c>
      <c r="U8" s="54">
        <v>0.19170000000000001</v>
      </c>
      <c r="V8">
        <v>1.177</v>
      </c>
      <c r="W8" s="55">
        <v>0.22570000000000001</v>
      </c>
      <c r="X8" s="54">
        <v>0.39439999999999997</v>
      </c>
      <c r="Y8">
        <v>1.135</v>
      </c>
      <c r="Z8" s="55">
        <v>0.44769999999999999</v>
      </c>
      <c r="AA8">
        <v>1.31E-3</v>
      </c>
      <c r="AB8">
        <v>2.5369999999999999</v>
      </c>
      <c r="AC8">
        <v>3.323E-3</v>
      </c>
      <c r="AD8">
        <v>4.7059999999999998E-2</v>
      </c>
      <c r="AE8">
        <v>1.28</v>
      </c>
      <c r="AF8">
        <v>6.0220000000000003E-2</v>
      </c>
      <c r="AG8">
        <v>4.7059999999999998E-2</v>
      </c>
      <c r="AH8">
        <v>4.5410000000000001E-10</v>
      </c>
    </row>
    <row r="9" spans="1:34" x14ac:dyDescent="0.35">
      <c r="A9" t="s">
        <v>702</v>
      </c>
      <c r="B9" s="16" t="s">
        <v>703</v>
      </c>
      <c r="C9" t="s">
        <v>704</v>
      </c>
      <c r="D9" t="s">
        <v>704</v>
      </c>
      <c r="E9" t="s">
        <v>704</v>
      </c>
      <c r="F9" t="s">
        <v>705</v>
      </c>
      <c r="G9" t="s">
        <v>704</v>
      </c>
      <c r="H9" t="s">
        <v>704</v>
      </c>
      <c r="I9" t="s">
        <v>704</v>
      </c>
      <c r="K9">
        <v>8</v>
      </c>
      <c r="L9" s="16">
        <v>20</v>
      </c>
      <c r="M9" s="16">
        <v>10</v>
      </c>
      <c r="N9" s="142" t="s">
        <v>459</v>
      </c>
      <c r="O9" s="54">
        <v>0.23280000000000001</v>
      </c>
      <c r="P9">
        <v>1.23</v>
      </c>
      <c r="Q9" s="55">
        <v>0.28639999999999999</v>
      </c>
      <c r="R9" s="54">
        <v>0.38590000000000002</v>
      </c>
      <c r="S9">
        <v>1.349</v>
      </c>
      <c r="T9" s="55">
        <v>0.52080000000000004</v>
      </c>
      <c r="U9" s="54">
        <v>0.72030000000000005</v>
      </c>
      <c r="V9">
        <v>2.3050000000000002</v>
      </c>
      <c r="W9" s="55">
        <v>1.66</v>
      </c>
      <c r="X9" s="54">
        <v>0.72030000000000005</v>
      </c>
      <c r="Y9">
        <v>2.3050000000000002</v>
      </c>
      <c r="Z9" s="55">
        <v>1.66</v>
      </c>
      <c r="AA9">
        <v>0.49880000000000002</v>
      </c>
      <c r="AB9">
        <v>1.91</v>
      </c>
      <c r="AC9">
        <v>0.9526</v>
      </c>
      <c r="AD9">
        <v>0.72030000000000005</v>
      </c>
      <c r="AE9">
        <v>2.3050000000000002</v>
      </c>
      <c r="AF9">
        <v>1.66</v>
      </c>
      <c r="AG9">
        <v>0.72030000000000005</v>
      </c>
      <c r="AH9">
        <v>2.181E-7</v>
      </c>
    </row>
    <row r="10" spans="1:34" x14ac:dyDescent="0.35">
      <c r="A10">
        <v>1</v>
      </c>
      <c r="B10" s="16" t="s">
        <v>460</v>
      </c>
      <c r="C10" s="4">
        <v>1.145E-5</v>
      </c>
      <c r="D10">
        <v>1.837</v>
      </c>
      <c r="E10">
        <v>1.4750000000000001</v>
      </c>
      <c r="F10">
        <v>10</v>
      </c>
      <c r="G10" s="4">
        <v>1.6889999999999999E-5</v>
      </c>
      <c r="H10">
        <v>4.483E-4</v>
      </c>
      <c r="I10" s="4">
        <v>8.2369999999999999E-5</v>
      </c>
      <c r="K10">
        <v>9</v>
      </c>
      <c r="L10" s="16">
        <v>48</v>
      </c>
      <c r="M10" s="16">
        <v>14</v>
      </c>
      <c r="N10" s="142" t="s">
        <v>866</v>
      </c>
      <c r="O10" s="54">
        <v>0.24979999999999999</v>
      </c>
      <c r="P10">
        <v>1.0820000000000001</v>
      </c>
      <c r="Q10" s="55">
        <v>0.27029999999999998</v>
      </c>
      <c r="R10" s="54">
        <v>0.24979999999999999</v>
      </c>
      <c r="S10">
        <v>1.423</v>
      </c>
      <c r="T10" s="55">
        <v>0.35560000000000003</v>
      </c>
      <c r="U10" s="54">
        <v>0.96830000000000005</v>
      </c>
      <c r="V10">
        <v>2.5409999999999999</v>
      </c>
      <c r="W10" s="55">
        <v>2.46</v>
      </c>
      <c r="X10" s="54">
        <v>0.96830000000000005</v>
      </c>
      <c r="Y10">
        <v>2.5409999999999999</v>
      </c>
      <c r="Z10" s="55">
        <v>2.46</v>
      </c>
      <c r="AA10">
        <v>0.56910000000000005</v>
      </c>
      <c r="AB10">
        <v>2.5739999999999998</v>
      </c>
      <c r="AC10">
        <v>1.4650000000000001</v>
      </c>
      <c r="AD10">
        <v>0.96830000000000005</v>
      </c>
      <c r="AE10">
        <v>2.5409999999999999</v>
      </c>
      <c r="AF10">
        <v>2.46</v>
      </c>
      <c r="AG10">
        <v>0.96830000000000005</v>
      </c>
      <c r="AH10">
        <v>5.7990000000000005E-7</v>
      </c>
    </row>
    <row r="11" spans="1:34" x14ac:dyDescent="0.35">
      <c r="A11">
        <v>2</v>
      </c>
      <c r="B11" s="16" t="s">
        <v>461</v>
      </c>
      <c r="C11">
        <v>7.1469999999999997E-3</v>
      </c>
      <c r="D11">
        <v>0.95720000000000005</v>
      </c>
      <c r="E11">
        <v>1.22</v>
      </c>
      <c r="F11">
        <v>10</v>
      </c>
      <c r="G11">
        <v>8.7200000000000003E-3</v>
      </c>
      <c r="H11">
        <v>0.23139999999999999</v>
      </c>
      <c r="I11">
        <v>4.2520000000000002E-2</v>
      </c>
      <c r="K11">
        <v>10</v>
      </c>
      <c r="L11" s="16">
        <v>10</v>
      </c>
      <c r="M11" s="16">
        <v>11</v>
      </c>
      <c r="N11" s="143" t="s">
        <v>348</v>
      </c>
      <c r="O11" s="54">
        <v>0.63780000000000003</v>
      </c>
      <c r="P11">
        <v>0.23760000000000001</v>
      </c>
      <c r="Q11" s="55">
        <v>0.15160000000000001</v>
      </c>
      <c r="R11" s="54">
        <v>0.61499999999999999</v>
      </c>
      <c r="S11">
        <v>0.3075</v>
      </c>
      <c r="T11" s="55">
        <v>0.18909999999999999</v>
      </c>
      <c r="U11" s="54">
        <v>0.85240000000000005</v>
      </c>
      <c r="V11">
        <v>0.31280000000000002</v>
      </c>
      <c r="W11" s="55">
        <v>0.2666</v>
      </c>
      <c r="X11" s="54">
        <v>0.61499999999999999</v>
      </c>
      <c r="Y11">
        <v>0.36059999999999998</v>
      </c>
      <c r="Z11" s="55">
        <v>0.22170000000000001</v>
      </c>
      <c r="AA11">
        <v>0.3851</v>
      </c>
      <c r="AB11">
        <v>0.6109</v>
      </c>
      <c r="AC11">
        <v>0.23530000000000001</v>
      </c>
      <c r="AD11">
        <v>0.32650000000000001</v>
      </c>
      <c r="AE11">
        <v>0.84609999999999996</v>
      </c>
      <c r="AF11">
        <v>0.2762</v>
      </c>
      <c r="AG11">
        <v>0.39939999999999998</v>
      </c>
      <c r="AH11">
        <v>1.6960000000000001E-7</v>
      </c>
    </row>
    <row r="12" spans="1:34" x14ac:dyDescent="0.35">
      <c r="A12">
        <v>3</v>
      </c>
      <c r="B12" s="16" t="s">
        <v>462</v>
      </c>
      <c r="C12">
        <v>6.9819999999999993E-2</v>
      </c>
      <c r="D12">
        <v>0.67669999999999997</v>
      </c>
      <c r="E12">
        <v>0.41389999999999999</v>
      </c>
      <c r="F12">
        <v>10</v>
      </c>
      <c r="G12">
        <v>2.8899999999999999E-2</v>
      </c>
      <c r="H12">
        <v>0.76690000000000003</v>
      </c>
      <c r="I12">
        <v>0.1409</v>
      </c>
      <c r="K12">
        <v>11</v>
      </c>
      <c r="L12" s="16">
        <v>20</v>
      </c>
      <c r="M12" s="16">
        <v>14</v>
      </c>
      <c r="N12" s="142" t="s">
        <v>1057</v>
      </c>
      <c r="O12" s="54">
        <v>0.35649999999999998</v>
      </c>
      <c r="P12">
        <v>0.3115</v>
      </c>
      <c r="Q12" s="55">
        <v>0.1111</v>
      </c>
      <c r="R12" s="54">
        <v>0.35649999999999998</v>
      </c>
      <c r="S12">
        <v>0.39660000000000001</v>
      </c>
      <c r="T12" s="55">
        <v>0.1414</v>
      </c>
      <c r="U12" s="54">
        <v>0.3992</v>
      </c>
      <c r="V12">
        <v>0.82679999999999998</v>
      </c>
      <c r="W12" s="55">
        <v>0.33</v>
      </c>
      <c r="X12" s="54">
        <v>0.3992</v>
      </c>
      <c r="Y12">
        <v>0.85289999999999999</v>
      </c>
      <c r="Z12" s="55">
        <v>0.34050000000000002</v>
      </c>
      <c r="AA12">
        <v>0.89849999999999997</v>
      </c>
      <c r="AB12">
        <v>1.169</v>
      </c>
      <c r="AC12">
        <v>1.0509999999999999</v>
      </c>
      <c r="AD12">
        <v>0.89849999999999997</v>
      </c>
      <c r="AE12">
        <v>1.2230000000000001</v>
      </c>
      <c r="AF12">
        <v>1.099</v>
      </c>
      <c r="AG12">
        <v>0.89849999999999997</v>
      </c>
      <c r="AH12">
        <v>3.5219999999999998E-10</v>
      </c>
    </row>
    <row r="13" spans="1:34" x14ac:dyDescent="0.35">
      <c r="A13">
        <v>4</v>
      </c>
      <c r="B13" s="16" t="s">
        <v>463</v>
      </c>
      <c r="C13" s="4">
        <v>7.8319999999999996E-5</v>
      </c>
      <c r="D13">
        <v>1.077</v>
      </c>
      <c r="E13">
        <v>0.6038</v>
      </c>
      <c r="F13">
        <v>10</v>
      </c>
      <c r="G13" s="4">
        <v>4.7290000000000003E-5</v>
      </c>
      <c r="H13">
        <v>1.255E-3</v>
      </c>
      <c r="I13">
        <v>2.3059999999999999E-4</v>
      </c>
      <c r="K13">
        <v>12</v>
      </c>
      <c r="L13" s="16">
        <v>5</v>
      </c>
      <c r="M13" s="16">
        <v>10</v>
      </c>
      <c r="N13" s="142" t="s">
        <v>255</v>
      </c>
      <c r="O13" s="54">
        <v>0.62819999999999998</v>
      </c>
      <c r="P13">
        <v>0.27429999999999999</v>
      </c>
      <c r="Q13" s="55">
        <v>0.17230000000000001</v>
      </c>
      <c r="R13" s="54">
        <v>0.72030000000000005</v>
      </c>
      <c r="S13">
        <v>0.38279999999999997</v>
      </c>
      <c r="T13" s="55">
        <v>0.27579999999999999</v>
      </c>
      <c r="U13" s="54">
        <v>0.72030000000000005</v>
      </c>
      <c r="V13">
        <v>0.43090000000000001</v>
      </c>
      <c r="W13" s="55">
        <v>0.31040000000000001</v>
      </c>
      <c r="X13" s="54">
        <v>0.72030000000000005</v>
      </c>
      <c r="Y13">
        <v>0.50609999999999999</v>
      </c>
      <c r="Z13" s="55">
        <v>0.36459999999999998</v>
      </c>
      <c r="AA13">
        <v>0.75619999999999998</v>
      </c>
      <c r="AB13">
        <v>0.37719999999999998</v>
      </c>
      <c r="AC13">
        <v>0.2853</v>
      </c>
      <c r="AD13">
        <v>0.61950000000000005</v>
      </c>
      <c r="AE13">
        <v>0.89259999999999995</v>
      </c>
      <c r="AF13">
        <v>0.55289999999999995</v>
      </c>
      <c r="AG13">
        <v>0.75619999999999998</v>
      </c>
      <c r="AH13">
        <v>6.2299999999999996E-6</v>
      </c>
    </row>
    <row r="14" spans="1:34" x14ac:dyDescent="0.35">
      <c r="A14">
        <v>5</v>
      </c>
      <c r="B14" s="16" t="s">
        <v>464</v>
      </c>
      <c r="C14">
        <v>0.49880000000000002</v>
      </c>
      <c r="D14">
        <v>0.41789999999999999</v>
      </c>
      <c r="E14">
        <v>0.33560000000000001</v>
      </c>
      <c r="F14">
        <v>10</v>
      </c>
      <c r="G14">
        <v>0.16739999999999999</v>
      </c>
      <c r="H14" t="s">
        <v>452</v>
      </c>
      <c r="I14">
        <v>0.81630000000000003</v>
      </c>
      <c r="K14">
        <v>13</v>
      </c>
      <c r="L14" s="16">
        <v>7</v>
      </c>
      <c r="M14" s="16">
        <v>10</v>
      </c>
      <c r="N14" s="142" t="s">
        <v>336</v>
      </c>
      <c r="O14" s="54">
        <v>6.0830000000000002E-2</v>
      </c>
      <c r="P14">
        <v>0.2069</v>
      </c>
      <c r="Q14" s="55">
        <v>1.2579999999999999E-2</v>
      </c>
      <c r="R14" s="54">
        <v>0.19170000000000001</v>
      </c>
      <c r="S14">
        <v>0.26650000000000001</v>
      </c>
      <c r="T14" s="55">
        <v>5.108E-2</v>
      </c>
      <c r="U14" s="54">
        <v>0.39439999999999997</v>
      </c>
      <c r="V14">
        <v>0.2757</v>
      </c>
      <c r="W14" s="55">
        <v>0.1087</v>
      </c>
      <c r="X14" s="54">
        <v>0.31359999999999999</v>
      </c>
      <c r="Y14">
        <v>0.29830000000000001</v>
      </c>
      <c r="Z14" s="55">
        <v>9.3549999999999994E-2</v>
      </c>
      <c r="AA14">
        <v>6.2870000000000001E-3</v>
      </c>
      <c r="AB14">
        <v>0.64849999999999997</v>
      </c>
      <c r="AC14">
        <v>4.0769999999999999E-3</v>
      </c>
      <c r="AD14">
        <v>1.7080000000000001E-2</v>
      </c>
      <c r="AE14">
        <v>0.2505</v>
      </c>
      <c r="AF14">
        <v>4.2779999999999997E-3</v>
      </c>
      <c r="AG14">
        <v>1.7080000000000001E-2</v>
      </c>
      <c r="AH14">
        <v>3.2230000000000001E-5</v>
      </c>
    </row>
    <row r="15" spans="1:34" x14ac:dyDescent="0.35">
      <c r="A15">
        <v>6</v>
      </c>
      <c r="B15" s="16" t="s">
        <v>466</v>
      </c>
      <c r="C15">
        <v>0.38590000000000002</v>
      </c>
      <c r="D15">
        <v>0.22370000000000001</v>
      </c>
      <c r="E15">
        <v>0.19750000000000001</v>
      </c>
      <c r="F15">
        <v>10</v>
      </c>
      <c r="G15">
        <v>7.6200000000000004E-2</v>
      </c>
      <c r="H15" t="s">
        <v>452</v>
      </c>
      <c r="I15">
        <v>0.66910000000000003</v>
      </c>
      <c r="K15">
        <v>14</v>
      </c>
      <c r="L15" s="16">
        <v>14</v>
      </c>
      <c r="M15" s="16">
        <v>10</v>
      </c>
      <c r="N15" s="142" t="s">
        <v>262</v>
      </c>
      <c r="O15" s="54">
        <v>0.47349999999999998</v>
      </c>
      <c r="P15">
        <v>0.9304</v>
      </c>
      <c r="Q15" s="55">
        <v>0.4405</v>
      </c>
      <c r="R15" s="54">
        <v>0.47349999999999998</v>
      </c>
      <c r="S15">
        <v>0.94159999999999999</v>
      </c>
      <c r="T15" s="55">
        <v>0.44579999999999997</v>
      </c>
      <c r="U15" s="54">
        <v>0.49249999999999999</v>
      </c>
      <c r="V15">
        <v>1.2150000000000001</v>
      </c>
      <c r="W15" s="55">
        <v>0.59830000000000005</v>
      </c>
      <c r="X15" s="54">
        <v>0.68269999999999997</v>
      </c>
      <c r="Y15">
        <v>1.325</v>
      </c>
      <c r="Z15" s="55">
        <v>0.90490000000000004</v>
      </c>
      <c r="AA15">
        <v>0.49249999999999999</v>
      </c>
      <c r="AB15">
        <v>1.1240000000000001</v>
      </c>
      <c r="AC15">
        <v>0.55379999999999996</v>
      </c>
      <c r="AD15">
        <v>0.31359999999999999</v>
      </c>
      <c r="AE15">
        <v>2.194</v>
      </c>
      <c r="AF15">
        <v>0.68810000000000004</v>
      </c>
      <c r="AG15">
        <v>0.49249999999999999</v>
      </c>
      <c r="AH15">
        <v>1.0669999999999999E-6</v>
      </c>
    </row>
    <row r="16" spans="1:34" x14ac:dyDescent="0.35">
      <c r="A16">
        <v>7</v>
      </c>
      <c r="B16" s="16" t="s">
        <v>467</v>
      </c>
      <c r="C16">
        <v>0.49880000000000002</v>
      </c>
      <c r="D16">
        <v>0.41920000000000002</v>
      </c>
      <c r="E16">
        <v>0.3372</v>
      </c>
      <c r="F16">
        <v>10</v>
      </c>
      <c r="G16">
        <v>0.16819999999999999</v>
      </c>
      <c r="H16" t="s">
        <v>452</v>
      </c>
      <c r="I16">
        <v>0.81730000000000003</v>
      </c>
      <c r="K16">
        <v>15</v>
      </c>
      <c r="L16" s="16">
        <v>4</v>
      </c>
      <c r="M16" s="16">
        <v>7</v>
      </c>
      <c r="N16" s="142" t="s">
        <v>84</v>
      </c>
      <c r="O16" s="54">
        <v>0.53320000000000001</v>
      </c>
      <c r="P16">
        <v>0.1676</v>
      </c>
      <c r="Q16" s="55">
        <v>8.9349999999999999E-2</v>
      </c>
      <c r="R16" s="54">
        <v>0.67889999999999995</v>
      </c>
      <c r="S16">
        <v>0.23369999999999999</v>
      </c>
      <c r="T16" s="55">
        <v>0.15870000000000001</v>
      </c>
      <c r="U16" s="54">
        <v>0.55389999999999995</v>
      </c>
      <c r="V16">
        <v>0.63360000000000005</v>
      </c>
      <c r="W16" s="55">
        <v>0.35089999999999999</v>
      </c>
      <c r="X16" s="54">
        <v>0.55389999999999995</v>
      </c>
      <c r="Y16">
        <v>0.63360000000000005</v>
      </c>
      <c r="Z16" s="55">
        <v>0.35089999999999999</v>
      </c>
      <c r="AA16">
        <v>0.1822</v>
      </c>
      <c r="AB16">
        <v>0.53149999999999997</v>
      </c>
      <c r="AC16">
        <v>9.6820000000000003E-2</v>
      </c>
      <c r="AD16">
        <v>0.55389999999999995</v>
      </c>
      <c r="AE16">
        <v>0.63360000000000005</v>
      </c>
      <c r="AF16">
        <v>0.35089999999999999</v>
      </c>
      <c r="AG16">
        <v>0.55389999999999995</v>
      </c>
      <c r="AH16">
        <v>4.3539999999999999E-7</v>
      </c>
    </row>
    <row r="17" spans="1:34" x14ac:dyDescent="0.35">
      <c r="A17">
        <v>8</v>
      </c>
      <c r="B17" s="16" t="s">
        <v>469</v>
      </c>
      <c r="C17">
        <v>0.49880000000000002</v>
      </c>
      <c r="D17">
        <v>0.62770000000000004</v>
      </c>
      <c r="E17">
        <v>0.52339999999999998</v>
      </c>
      <c r="F17">
        <v>10</v>
      </c>
      <c r="G17">
        <v>0.2611</v>
      </c>
      <c r="H17" t="s">
        <v>452</v>
      </c>
      <c r="I17">
        <v>0.87409999999999999</v>
      </c>
      <c r="K17">
        <v>16</v>
      </c>
      <c r="L17" s="16">
        <v>8</v>
      </c>
      <c r="M17" s="16">
        <v>10</v>
      </c>
      <c r="N17" s="142" t="s">
        <v>256</v>
      </c>
      <c r="O17" s="54">
        <v>5.8909999999999997E-2</v>
      </c>
      <c r="P17">
        <v>0.62190000000000001</v>
      </c>
      <c r="Q17" s="55">
        <v>3.6639999999999999E-2</v>
      </c>
      <c r="R17" s="54">
        <v>0.11890000000000001</v>
      </c>
      <c r="S17">
        <v>1.1439999999999999</v>
      </c>
      <c r="T17" s="55">
        <v>0.13589999999999999</v>
      </c>
      <c r="U17" s="54">
        <v>0.11890000000000001</v>
      </c>
      <c r="V17">
        <v>1.3089999999999999</v>
      </c>
      <c r="W17" s="55">
        <v>0.15559999999999999</v>
      </c>
      <c r="X17" s="54">
        <v>0.26590000000000003</v>
      </c>
      <c r="Y17">
        <v>1.343</v>
      </c>
      <c r="Z17" s="55">
        <v>0.35709999999999997</v>
      </c>
      <c r="AA17">
        <v>5.9280000000000001E-3</v>
      </c>
      <c r="AB17">
        <v>1.47</v>
      </c>
      <c r="AC17">
        <v>8.7150000000000005E-3</v>
      </c>
      <c r="AD17">
        <v>7.6210000000000002E-3</v>
      </c>
      <c r="AE17">
        <v>1.917</v>
      </c>
      <c r="AF17">
        <v>1.461E-2</v>
      </c>
      <c r="AG17">
        <v>7.6210000000000002E-3</v>
      </c>
      <c r="AH17">
        <v>6.2299999999999996E-6</v>
      </c>
    </row>
    <row r="18" spans="1:34" x14ac:dyDescent="0.35">
      <c r="A18" t="s">
        <v>701</v>
      </c>
      <c r="B18" s="16"/>
      <c r="K18">
        <v>17</v>
      </c>
      <c r="L18" s="16">
        <v>14</v>
      </c>
      <c r="M18" s="16">
        <v>15</v>
      </c>
      <c r="N18" s="142" t="s">
        <v>119</v>
      </c>
      <c r="O18" s="54">
        <v>0.35780000000000001</v>
      </c>
      <c r="P18">
        <v>0.31580000000000003</v>
      </c>
      <c r="Q18" s="55">
        <v>0.113</v>
      </c>
      <c r="R18" s="54">
        <v>0.35780000000000001</v>
      </c>
      <c r="S18">
        <v>0.43140000000000001</v>
      </c>
      <c r="T18" s="55">
        <v>0.15440000000000001</v>
      </c>
      <c r="U18" s="54">
        <v>0.83340000000000003</v>
      </c>
      <c r="V18">
        <v>1.4059999999999999</v>
      </c>
      <c r="W18" s="55">
        <v>1.1719999999999999</v>
      </c>
      <c r="X18" s="54">
        <v>0.83340000000000003</v>
      </c>
      <c r="Y18">
        <v>1.4059999999999999</v>
      </c>
      <c r="Z18" s="55">
        <v>1.1719999999999999</v>
      </c>
      <c r="AA18">
        <v>0.57099999999999995</v>
      </c>
      <c r="AB18">
        <v>1.5389999999999999</v>
      </c>
      <c r="AC18">
        <v>0.87839999999999996</v>
      </c>
      <c r="AD18">
        <v>0.83340000000000003</v>
      </c>
      <c r="AE18">
        <v>1.4059999999999999</v>
      </c>
      <c r="AF18">
        <v>1.1719999999999999</v>
      </c>
      <c r="AG18">
        <v>0.83340000000000003</v>
      </c>
      <c r="AH18">
        <v>8.9060000000000008E-6</v>
      </c>
    </row>
    <row r="19" spans="1:34" x14ac:dyDescent="0.35">
      <c r="A19" t="s">
        <v>700</v>
      </c>
      <c r="B19" s="16"/>
      <c r="K19">
        <v>18</v>
      </c>
      <c r="L19" s="16">
        <v>14</v>
      </c>
      <c r="M19" s="16">
        <v>8</v>
      </c>
      <c r="N19" s="142" t="s">
        <v>468</v>
      </c>
      <c r="O19" s="54">
        <v>0.2863</v>
      </c>
      <c r="P19">
        <v>0.79569999999999996</v>
      </c>
      <c r="Q19" s="55">
        <v>0.2278</v>
      </c>
      <c r="R19" s="54">
        <v>0.2863</v>
      </c>
      <c r="S19">
        <v>1.02</v>
      </c>
      <c r="T19" s="55">
        <v>0.29189999999999999</v>
      </c>
      <c r="U19" s="54">
        <v>0.66379999999999995</v>
      </c>
      <c r="V19">
        <v>1.123</v>
      </c>
      <c r="W19" s="55">
        <v>0.74539999999999995</v>
      </c>
      <c r="X19" s="54">
        <v>0.66379999999999995</v>
      </c>
      <c r="Y19">
        <v>1.24</v>
      </c>
      <c r="Z19" s="55">
        <v>0.82289999999999996</v>
      </c>
      <c r="AA19">
        <v>8.763E-2</v>
      </c>
      <c r="AB19">
        <v>2.2000000000000002</v>
      </c>
      <c r="AC19">
        <v>0.1928</v>
      </c>
      <c r="AD19">
        <v>0.185</v>
      </c>
      <c r="AE19">
        <v>1.802</v>
      </c>
      <c r="AF19">
        <v>0.33339999999999997</v>
      </c>
      <c r="AG19">
        <v>0.185</v>
      </c>
      <c r="AH19">
        <v>4.9700000000000002E-8</v>
      </c>
    </row>
    <row r="20" spans="1:34" x14ac:dyDescent="0.35">
      <c r="A20" t="s">
        <v>470</v>
      </c>
      <c r="B20" s="16"/>
      <c r="K20">
        <v>19</v>
      </c>
      <c r="L20" s="16">
        <v>11</v>
      </c>
      <c r="M20" s="16">
        <v>15</v>
      </c>
      <c r="N20" s="142" t="s">
        <v>872</v>
      </c>
      <c r="O20" s="54">
        <v>0.31259999999999999</v>
      </c>
      <c r="P20">
        <v>0.29430000000000001</v>
      </c>
      <c r="Q20" s="55">
        <v>9.1969999999999996E-2</v>
      </c>
      <c r="R20" s="54">
        <v>0.56830000000000003</v>
      </c>
      <c r="S20">
        <v>0.4456</v>
      </c>
      <c r="T20" s="55">
        <v>0.25319999999999998</v>
      </c>
      <c r="U20" s="54">
        <v>0.76060000000000005</v>
      </c>
      <c r="V20">
        <v>0.85619999999999996</v>
      </c>
      <c r="W20" s="55">
        <v>0.65129999999999999</v>
      </c>
      <c r="X20" s="54">
        <v>0.76060000000000005</v>
      </c>
      <c r="Y20">
        <v>0.85619999999999996</v>
      </c>
      <c r="Z20" s="55">
        <v>0.65129999999999999</v>
      </c>
      <c r="AA20">
        <v>0.61499999999999999</v>
      </c>
      <c r="AB20">
        <v>1.0860000000000001</v>
      </c>
      <c r="AC20">
        <v>0.66779999999999995</v>
      </c>
      <c r="AD20">
        <v>0.52759999999999996</v>
      </c>
      <c r="AE20">
        <v>1.288</v>
      </c>
      <c r="AF20">
        <v>0.67969999999999997</v>
      </c>
      <c r="AG20">
        <v>0.76060000000000005</v>
      </c>
      <c r="AH20">
        <v>1.9290000000000001E-6</v>
      </c>
    </row>
    <row r="21" spans="1:34" x14ac:dyDescent="0.35">
      <c r="A21" t="s">
        <v>471</v>
      </c>
      <c r="B21" s="16"/>
      <c r="K21">
        <v>20</v>
      </c>
      <c r="L21" s="16">
        <v>11</v>
      </c>
      <c r="M21" s="16">
        <v>10</v>
      </c>
      <c r="N21" s="143" t="s">
        <v>696</v>
      </c>
      <c r="O21" s="54">
        <v>0.47349999999999998</v>
      </c>
      <c r="P21">
        <v>0.65939999999999999</v>
      </c>
      <c r="Q21" s="55">
        <v>0.31219999999999998</v>
      </c>
      <c r="R21" s="54">
        <v>0.39439999999999997</v>
      </c>
      <c r="S21">
        <v>1.2190000000000001</v>
      </c>
      <c r="T21" s="55">
        <v>0.48060000000000003</v>
      </c>
      <c r="U21" s="54">
        <v>0.39439999999999997</v>
      </c>
      <c r="V21">
        <v>1.349</v>
      </c>
      <c r="W21" s="55">
        <v>0.53220000000000001</v>
      </c>
      <c r="X21" s="54">
        <v>0.70689999999999997</v>
      </c>
      <c r="Y21">
        <v>1.74</v>
      </c>
      <c r="Z21" s="55">
        <v>1.23</v>
      </c>
      <c r="AA21">
        <v>1.31E-3</v>
      </c>
      <c r="AB21">
        <v>2.9209999999999998</v>
      </c>
      <c r="AC21">
        <v>3.826E-3</v>
      </c>
      <c r="AD21">
        <v>6.2870000000000001E-3</v>
      </c>
      <c r="AE21">
        <v>2.1869999999999998</v>
      </c>
      <c r="AF21">
        <v>1.375E-2</v>
      </c>
      <c r="AG21">
        <v>6.2870000000000001E-3</v>
      </c>
      <c r="AH21">
        <v>4.5410000000000001E-10</v>
      </c>
    </row>
    <row r="22" spans="1:34" x14ac:dyDescent="0.35">
      <c r="A22" t="s">
        <v>928</v>
      </c>
      <c r="B22" s="16"/>
      <c r="J22">
        <v>2</v>
      </c>
      <c r="K22">
        <v>21</v>
      </c>
      <c r="L22" s="16">
        <v>5</v>
      </c>
      <c r="M22" s="16">
        <v>8</v>
      </c>
      <c r="N22" s="142" t="s">
        <v>118</v>
      </c>
      <c r="O22" s="54">
        <v>0.22239999999999999</v>
      </c>
      <c r="P22">
        <v>9.9449999999999997E-2</v>
      </c>
      <c r="Q22" s="55">
        <v>2.2120000000000001E-2</v>
      </c>
      <c r="R22" s="54">
        <v>0.1447</v>
      </c>
      <c r="S22">
        <v>0.38679999999999998</v>
      </c>
      <c r="T22" s="55">
        <v>5.5989999999999998E-2</v>
      </c>
      <c r="U22" s="54">
        <v>0.66379999999999995</v>
      </c>
      <c r="V22">
        <v>0.57399999999999995</v>
      </c>
      <c r="W22" s="55">
        <v>0.38100000000000001</v>
      </c>
      <c r="X22" s="54">
        <v>0.66379999999999995</v>
      </c>
      <c r="Y22">
        <v>0.57399999999999995</v>
      </c>
      <c r="Z22" s="55">
        <v>0.38100000000000001</v>
      </c>
      <c r="AA22">
        <v>0.185</v>
      </c>
      <c r="AB22">
        <v>1.0289999999999999</v>
      </c>
      <c r="AC22">
        <v>0.1905</v>
      </c>
      <c r="AD22">
        <v>0.66379999999999995</v>
      </c>
      <c r="AE22">
        <v>0.57399999999999995</v>
      </c>
      <c r="AF22">
        <v>0.38100000000000001</v>
      </c>
      <c r="AG22">
        <v>0.66379999999999995</v>
      </c>
      <c r="AH22">
        <v>5.1150000000000003E-5</v>
      </c>
    </row>
    <row r="23" spans="1:34" x14ac:dyDescent="0.35">
      <c r="A23" t="s">
        <v>700</v>
      </c>
      <c r="B23" s="16"/>
      <c r="K23">
        <v>22</v>
      </c>
      <c r="L23" s="16">
        <v>7</v>
      </c>
      <c r="M23" s="16">
        <v>10</v>
      </c>
      <c r="N23" s="142" t="s">
        <v>257</v>
      </c>
      <c r="O23" s="54">
        <v>0.75619999999999998</v>
      </c>
      <c r="P23">
        <v>0.45540000000000003</v>
      </c>
      <c r="Q23" s="55">
        <v>0.34429999999999999</v>
      </c>
      <c r="R23" s="54">
        <v>0.56189999999999996</v>
      </c>
      <c r="S23">
        <v>0.79769999999999996</v>
      </c>
      <c r="T23" s="55">
        <v>0.44819999999999999</v>
      </c>
      <c r="U23" s="54">
        <v>0.75619999999999998</v>
      </c>
      <c r="V23">
        <v>1.133</v>
      </c>
      <c r="W23" s="55">
        <v>0.8569</v>
      </c>
      <c r="X23" s="54">
        <v>0.75619999999999998</v>
      </c>
      <c r="Y23">
        <v>1.145</v>
      </c>
      <c r="Z23" s="55">
        <v>0.8659</v>
      </c>
      <c r="AA23">
        <v>5.2339999999999998E-2</v>
      </c>
      <c r="AB23">
        <v>1.2290000000000001</v>
      </c>
      <c r="AC23">
        <v>6.4310000000000006E-2</v>
      </c>
      <c r="AD23">
        <v>0.1249</v>
      </c>
      <c r="AE23">
        <v>1.736</v>
      </c>
      <c r="AF23">
        <v>0.21690000000000001</v>
      </c>
      <c r="AG23">
        <v>0.1249</v>
      </c>
      <c r="AH23">
        <v>1.1770000000000001E-5</v>
      </c>
    </row>
    <row r="24" spans="1:34" x14ac:dyDescent="0.35">
      <c r="A24" t="s">
        <v>438</v>
      </c>
      <c r="B24" s="16"/>
      <c r="K24">
        <v>23</v>
      </c>
      <c r="L24" s="16">
        <v>5</v>
      </c>
      <c r="M24" s="16">
        <v>10</v>
      </c>
      <c r="N24" s="142" t="s">
        <v>253</v>
      </c>
      <c r="O24" s="54">
        <v>7.7939999999999995E-2</v>
      </c>
      <c r="P24">
        <v>0.43280000000000002</v>
      </c>
      <c r="Q24" s="55">
        <v>3.3739999999999999E-2</v>
      </c>
      <c r="R24" s="54">
        <v>0.49880000000000002</v>
      </c>
      <c r="S24">
        <v>1.6539999999999999</v>
      </c>
      <c r="T24" s="55">
        <v>0.82499999999999996</v>
      </c>
      <c r="U24" s="54">
        <v>0.65169999999999995</v>
      </c>
      <c r="V24">
        <v>1.958</v>
      </c>
      <c r="W24" s="55">
        <v>1.276</v>
      </c>
      <c r="X24" s="54">
        <v>0.65169999999999995</v>
      </c>
      <c r="Y24">
        <v>1.958</v>
      </c>
      <c r="Z24" s="55">
        <v>1.276</v>
      </c>
      <c r="AA24">
        <v>3.1019999999999999E-2</v>
      </c>
      <c r="AB24">
        <v>1.379</v>
      </c>
      <c r="AC24">
        <v>4.2779999999999999E-2</v>
      </c>
      <c r="AD24">
        <v>0.65169999999999995</v>
      </c>
      <c r="AE24">
        <v>1.958</v>
      </c>
      <c r="AF24">
        <v>1.276</v>
      </c>
      <c r="AG24">
        <v>0.65169999999999995</v>
      </c>
      <c r="AH24">
        <v>1.991E-7</v>
      </c>
    </row>
    <row r="25" spans="1:34" x14ac:dyDescent="0.35">
      <c r="A25" t="s">
        <v>439</v>
      </c>
      <c r="B25" s="16"/>
      <c r="K25">
        <v>24</v>
      </c>
      <c r="L25" s="16">
        <v>9</v>
      </c>
      <c r="M25" s="16">
        <v>11</v>
      </c>
      <c r="N25" s="143" t="s">
        <v>490</v>
      </c>
      <c r="O25" s="54">
        <v>0.36969999999999997</v>
      </c>
      <c r="P25">
        <v>0.26619999999999999</v>
      </c>
      <c r="Q25" s="55">
        <v>9.8390000000000005E-2</v>
      </c>
      <c r="R25" s="54">
        <v>0.49199999999999999</v>
      </c>
      <c r="S25">
        <v>0.40479999999999999</v>
      </c>
      <c r="T25" s="55">
        <v>0.1991</v>
      </c>
      <c r="U25" s="54">
        <v>0.70620000000000005</v>
      </c>
      <c r="V25">
        <v>0.67249999999999999</v>
      </c>
      <c r="W25" s="55">
        <v>0.47489999999999999</v>
      </c>
      <c r="X25" s="54">
        <v>0.70620000000000005</v>
      </c>
      <c r="Y25">
        <v>0.67249999999999999</v>
      </c>
      <c r="Z25" s="55">
        <v>0.47489999999999999</v>
      </c>
      <c r="AA25">
        <v>0.32650000000000001</v>
      </c>
      <c r="AB25">
        <v>1.131</v>
      </c>
      <c r="AC25">
        <v>0.36930000000000002</v>
      </c>
      <c r="AD25">
        <v>0.70620000000000005</v>
      </c>
      <c r="AE25">
        <v>0.67249999999999999</v>
      </c>
      <c r="AF25">
        <v>0.47489999999999999</v>
      </c>
      <c r="AG25">
        <v>0.70620000000000005</v>
      </c>
      <c r="AH25">
        <v>3.0049999999999999E-4</v>
      </c>
    </row>
    <row r="26" spans="1:34" x14ac:dyDescent="0.35">
      <c r="A26" t="s">
        <v>441</v>
      </c>
      <c r="B26" s="16"/>
      <c r="K26">
        <v>25</v>
      </c>
      <c r="L26" s="16">
        <v>8</v>
      </c>
      <c r="M26" s="115">
        <v>16</v>
      </c>
      <c r="N26" s="142" t="s">
        <v>867</v>
      </c>
      <c r="O26" s="54">
        <v>0.19589999999999999</v>
      </c>
      <c r="P26">
        <v>0.55859999999999999</v>
      </c>
      <c r="Q26" s="55">
        <v>0.1094</v>
      </c>
      <c r="R26" s="54">
        <v>0.6371</v>
      </c>
      <c r="S26">
        <v>1.0369999999999999</v>
      </c>
      <c r="T26" s="55">
        <v>0.66049999999999998</v>
      </c>
      <c r="U26" s="54">
        <v>0.6371</v>
      </c>
      <c r="V26">
        <v>1.0389999999999999</v>
      </c>
      <c r="W26" s="55">
        <v>0.66210000000000002</v>
      </c>
      <c r="X26" s="54">
        <v>0.42459999999999998</v>
      </c>
      <c r="Y26">
        <v>1.1499999999999999</v>
      </c>
      <c r="Z26" s="55">
        <v>0.48820000000000002</v>
      </c>
      <c r="AA26">
        <v>1.4829999999999999E-2</v>
      </c>
      <c r="AB26">
        <v>1.3029999999999999</v>
      </c>
      <c r="AC26">
        <v>1.932E-2</v>
      </c>
      <c r="AD26">
        <v>8.3159999999999998E-2</v>
      </c>
      <c r="AE26">
        <v>1.454</v>
      </c>
      <c r="AF26">
        <v>0.12089999999999999</v>
      </c>
      <c r="AG26">
        <v>8.3159999999999998E-2</v>
      </c>
      <c r="AH26">
        <v>2.8950000000000001E-8</v>
      </c>
    </row>
    <row r="27" spans="1:34" x14ac:dyDescent="0.35">
      <c r="A27" t="s">
        <v>701</v>
      </c>
      <c r="B27" s="16"/>
      <c r="K27">
        <v>26</v>
      </c>
      <c r="L27" s="16">
        <v>12</v>
      </c>
      <c r="M27" s="115">
        <v>14</v>
      </c>
      <c r="N27" s="142" t="s">
        <v>263</v>
      </c>
      <c r="O27" s="54">
        <v>0.64390000000000003</v>
      </c>
      <c r="P27">
        <v>0.48149999999999998</v>
      </c>
      <c r="Q27" s="55">
        <v>0.31</v>
      </c>
      <c r="R27" s="54">
        <v>0.35060000000000002</v>
      </c>
      <c r="S27">
        <v>0.6129</v>
      </c>
      <c r="T27" s="55">
        <v>0.21490000000000001</v>
      </c>
      <c r="U27" s="54">
        <v>0.93020000000000003</v>
      </c>
      <c r="V27">
        <v>1.095</v>
      </c>
      <c r="W27" s="55">
        <v>1.018</v>
      </c>
      <c r="X27" s="54">
        <v>0.75609999999999999</v>
      </c>
      <c r="Y27">
        <v>1.202</v>
      </c>
      <c r="Z27" s="55">
        <v>0.90880000000000005</v>
      </c>
      <c r="AA27">
        <v>0.4375</v>
      </c>
      <c r="AB27">
        <v>1.6120000000000001</v>
      </c>
      <c r="AC27">
        <v>0.70540000000000003</v>
      </c>
      <c r="AD27">
        <v>0.53680000000000005</v>
      </c>
      <c r="AE27">
        <v>1.7350000000000001</v>
      </c>
      <c r="AF27">
        <v>0.93149999999999999</v>
      </c>
      <c r="AG27">
        <v>0.53680000000000005</v>
      </c>
      <c r="AH27">
        <v>4.7859999999999998E-4</v>
      </c>
    </row>
    <row r="28" spans="1:34" x14ac:dyDescent="0.35">
      <c r="A28" t="s">
        <v>442</v>
      </c>
      <c r="B28" s="16" t="s">
        <v>443</v>
      </c>
      <c r="C28" t="s">
        <v>444</v>
      </c>
      <c r="D28" t="s">
        <v>445</v>
      </c>
      <c r="E28" t="s">
        <v>445</v>
      </c>
      <c r="F28" t="s">
        <v>446</v>
      </c>
      <c r="G28" t="s">
        <v>447</v>
      </c>
      <c r="H28" t="s">
        <v>448</v>
      </c>
      <c r="I28" t="s">
        <v>448</v>
      </c>
      <c r="K28">
        <v>27</v>
      </c>
      <c r="L28" s="16">
        <v>9</v>
      </c>
      <c r="M28" s="16">
        <v>13</v>
      </c>
      <c r="N28" s="142" t="s">
        <v>222</v>
      </c>
      <c r="O28" s="54">
        <v>4.4110000000000003E-2</v>
      </c>
      <c r="P28">
        <v>0.30659999999999998</v>
      </c>
      <c r="Q28" s="55">
        <v>1.353E-2</v>
      </c>
      <c r="R28" s="54">
        <v>0.92810000000000004</v>
      </c>
      <c r="S28">
        <v>0.20610000000000001</v>
      </c>
      <c r="T28" s="55">
        <v>0.1913</v>
      </c>
      <c r="U28" s="54">
        <v>0.92810000000000004</v>
      </c>
      <c r="V28">
        <v>0.20860000000000001</v>
      </c>
      <c r="W28" s="55">
        <v>0.19359999999999999</v>
      </c>
      <c r="X28" s="54">
        <v>0.92810000000000004</v>
      </c>
      <c r="Y28">
        <v>0.25890000000000002</v>
      </c>
      <c r="Z28" s="55">
        <v>0.24030000000000001</v>
      </c>
      <c r="AA28">
        <v>9.6460000000000004E-2</v>
      </c>
      <c r="AB28">
        <v>0.70189999999999997</v>
      </c>
      <c r="AC28">
        <v>6.7710000000000006E-2</v>
      </c>
      <c r="AD28">
        <v>0.45390000000000003</v>
      </c>
      <c r="AE28">
        <v>0.27410000000000001</v>
      </c>
      <c r="AF28">
        <v>0.1244</v>
      </c>
      <c r="AG28">
        <v>0.45390000000000003</v>
      </c>
      <c r="AH28">
        <v>1.912E-9</v>
      </c>
    </row>
    <row r="29" spans="1:34" x14ac:dyDescent="0.35">
      <c r="A29" t="s">
        <v>450</v>
      </c>
      <c r="B29" s="16" t="s">
        <v>451</v>
      </c>
      <c r="C29" t="s">
        <v>452</v>
      </c>
      <c r="D29" t="s">
        <v>453</v>
      </c>
      <c r="E29" t="s">
        <v>454</v>
      </c>
      <c r="F29" t="s">
        <v>455</v>
      </c>
      <c r="G29" t="s">
        <v>456</v>
      </c>
      <c r="H29" t="s">
        <v>457</v>
      </c>
      <c r="I29" t="s">
        <v>458</v>
      </c>
      <c r="K29">
        <v>28</v>
      </c>
      <c r="L29" s="16">
        <v>6</v>
      </c>
      <c r="M29" s="16">
        <v>10</v>
      </c>
      <c r="N29" s="142" t="s">
        <v>223</v>
      </c>
      <c r="O29" s="54">
        <v>0.55030000000000001</v>
      </c>
      <c r="P29">
        <v>0.27710000000000001</v>
      </c>
      <c r="Q29" s="55">
        <v>0.1525</v>
      </c>
      <c r="R29" s="54">
        <v>0.47349999999999998</v>
      </c>
      <c r="S29">
        <v>0.3463</v>
      </c>
      <c r="T29" s="55">
        <v>0.16400000000000001</v>
      </c>
      <c r="U29" s="54">
        <v>0.70689999999999997</v>
      </c>
      <c r="V29">
        <v>0.95850000000000002</v>
      </c>
      <c r="W29" s="55">
        <v>0.67759999999999998</v>
      </c>
      <c r="X29" s="54">
        <v>0.70689999999999997</v>
      </c>
      <c r="Y29">
        <v>0.95850000000000002</v>
      </c>
      <c r="Z29" s="55">
        <v>0.67759999999999998</v>
      </c>
      <c r="AA29">
        <v>7.5020000000000003E-2</v>
      </c>
      <c r="AB29">
        <v>1.105</v>
      </c>
      <c r="AC29">
        <v>8.2860000000000003E-2</v>
      </c>
      <c r="AD29">
        <v>0.70689999999999997</v>
      </c>
      <c r="AE29">
        <v>0.95850000000000002</v>
      </c>
      <c r="AF29">
        <v>0.67759999999999998</v>
      </c>
      <c r="AG29">
        <v>0.70689999999999997</v>
      </c>
      <c r="AH29">
        <v>7.9929999999999997E-4</v>
      </c>
    </row>
    <row r="30" spans="1:34" x14ac:dyDescent="0.35">
      <c r="A30" t="s">
        <v>702</v>
      </c>
      <c r="B30" s="16" t="s">
        <v>703</v>
      </c>
      <c r="C30" t="s">
        <v>704</v>
      </c>
      <c r="D30" t="s">
        <v>704</v>
      </c>
      <c r="E30" t="s">
        <v>704</v>
      </c>
      <c r="F30" t="s">
        <v>705</v>
      </c>
      <c r="G30" t="s">
        <v>704</v>
      </c>
      <c r="H30" t="s">
        <v>704</v>
      </c>
      <c r="I30" t="s">
        <v>704</v>
      </c>
      <c r="K30">
        <v>29</v>
      </c>
      <c r="L30" s="16">
        <v>18</v>
      </c>
      <c r="M30" s="16">
        <v>8</v>
      </c>
      <c r="N30" s="142" t="s">
        <v>128</v>
      </c>
      <c r="O30" s="54">
        <v>0.2535</v>
      </c>
      <c r="P30">
        <v>0.20200000000000001</v>
      </c>
      <c r="Q30" s="55">
        <v>5.1200000000000002E-2</v>
      </c>
      <c r="R30" s="54">
        <v>0.31180000000000002</v>
      </c>
      <c r="S30">
        <v>0.27250000000000002</v>
      </c>
      <c r="T30" s="55">
        <v>8.498E-2</v>
      </c>
      <c r="U30" s="54">
        <v>0.31180000000000002</v>
      </c>
      <c r="V30">
        <v>0.49370000000000003</v>
      </c>
      <c r="W30" s="55">
        <v>0.15390000000000001</v>
      </c>
      <c r="X30" s="54">
        <v>0.31180000000000002</v>
      </c>
      <c r="Y30">
        <v>0.46310000000000001</v>
      </c>
      <c r="Z30" s="55">
        <v>0.1444</v>
      </c>
      <c r="AA30">
        <v>0.8498</v>
      </c>
      <c r="AB30">
        <v>0.98480000000000001</v>
      </c>
      <c r="AC30">
        <v>0.83689999999999998</v>
      </c>
      <c r="AD30">
        <v>0.8498</v>
      </c>
      <c r="AE30">
        <v>1.0720000000000001</v>
      </c>
      <c r="AF30">
        <v>0.91139999999999999</v>
      </c>
      <c r="AG30">
        <v>0.8498</v>
      </c>
      <c r="AH30">
        <v>1.065E-2</v>
      </c>
    </row>
    <row r="31" spans="1:34" x14ac:dyDescent="0.35">
      <c r="A31">
        <v>1</v>
      </c>
      <c r="B31" s="16">
        <v>1</v>
      </c>
      <c r="C31">
        <v>7.9929999999999997E-4</v>
      </c>
      <c r="D31">
        <v>2.327</v>
      </c>
      <c r="E31">
        <v>2.327</v>
      </c>
      <c r="F31">
        <v>10</v>
      </c>
      <c r="G31">
        <v>1.8600000000000001E-3</v>
      </c>
      <c r="H31">
        <v>1.6449999999999999E-2</v>
      </c>
      <c r="I31">
        <v>1.0749999999999999E-2</v>
      </c>
      <c r="K31">
        <v>30</v>
      </c>
      <c r="L31" s="16">
        <v>10</v>
      </c>
      <c r="M31" s="16">
        <v>11</v>
      </c>
      <c r="N31" s="142" t="s">
        <v>335</v>
      </c>
      <c r="O31" s="54">
        <v>0.49199999999999999</v>
      </c>
      <c r="P31">
        <v>0.51690000000000003</v>
      </c>
      <c r="Q31" s="55">
        <v>0.25430000000000003</v>
      </c>
      <c r="R31" s="54">
        <v>0.61499999999999999</v>
      </c>
      <c r="S31">
        <v>0.70069999999999999</v>
      </c>
      <c r="T31" s="55">
        <v>0.43090000000000001</v>
      </c>
      <c r="U31" s="54">
        <v>0.39939999999999998</v>
      </c>
      <c r="V31">
        <v>1.552</v>
      </c>
      <c r="W31" s="55">
        <v>0.61990000000000001</v>
      </c>
      <c r="X31" s="54">
        <v>0.61499999999999999</v>
      </c>
      <c r="Y31">
        <v>1.038</v>
      </c>
      <c r="Z31" s="55">
        <v>0.63849999999999996</v>
      </c>
      <c r="AA31">
        <v>0.32650000000000001</v>
      </c>
      <c r="AB31">
        <v>1.181</v>
      </c>
      <c r="AC31">
        <v>0.3856</v>
      </c>
      <c r="AD31">
        <v>0.39939999999999998</v>
      </c>
      <c r="AE31">
        <v>1.552</v>
      </c>
      <c r="AF31">
        <v>0.61990000000000001</v>
      </c>
      <c r="AG31">
        <v>0.39939999999999998</v>
      </c>
      <c r="AH31">
        <v>5.8420000000000001E-6</v>
      </c>
    </row>
    <row r="32" spans="1:34" x14ac:dyDescent="0.35">
      <c r="A32">
        <v>2</v>
      </c>
      <c r="B32" s="16">
        <v>2</v>
      </c>
      <c r="C32" s="4">
        <v>9.3949999999999993E-5</v>
      </c>
      <c r="D32">
        <v>2.4830000000000001</v>
      </c>
      <c r="E32">
        <v>2.4830000000000001</v>
      </c>
      <c r="F32">
        <v>10</v>
      </c>
      <c r="G32">
        <v>2.3330000000000001E-4</v>
      </c>
      <c r="H32">
        <v>2.0639999999999999E-3</v>
      </c>
      <c r="I32">
        <v>1.348E-3</v>
      </c>
      <c r="K32">
        <v>31</v>
      </c>
      <c r="L32" s="16">
        <v>20</v>
      </c>
      <c r="M32" s="16">
        <v>16</v>
      </c>
      <c r="N32" s="142" t="s">
        <v>287</v>
      </c>
      <c r="O32" s="54">
        <v>0.12839999999999999</v>
      </c>
      <c r="P32">
        <v>0.54500000000000004</v>
      </c>
      <c r="Q32" s="55">
        <v>7.0000000000000007E-2</v>
      </c>
      <c r="R32" s="54">
        <v>0.30520000000000003</v>
      </c>
      <c r="S32">
        <v>0.51339999999999997</v>
      </c>
      <c r="T32" s="55">
        <v>0.15670000000000001</v>
      </c>
      <c r="U32" s="54">
        <v>0.51729999999999998</v>
      </c>
      <c r="V32">
        <v>0.95</v>
      </c>
      <c r="W32" s="55">
        <v>0.4914</v>
      </c>
      <c r="X32" s="54">
        <v>0.94220000000000004</v>
      </c>
      <c r="Y32">
        <v>0.9284</v>
      </c>
      <c r="Z32" s="55">
        <v>0.87480000000000002</v>
      </c>
      <c r="AA32">
        <v>0.51729999999999998</v>
      </c>
      <c r="AB32">
        <v>0.95</v>
      </c>
      <c r="AC32">
        <v>0.4914</v>
      </c>
      <c r="AD32">
        <v>0.39879999999999999</v>
      </c>
      <c r="AE32">
        <v>1.323</v>
      </c>
      <c r="AF32">
        <v>0.52749999999999997</v>
      </c>
      <c r="AG32">
        <v>0.51729999999999998</v>
      </c>
      <c r="AH32">
        <v>1.366E-8</v>
      </c>
    </row>
    <row r="33" spans="1:34" x14ac:dyDescent="0.35">
      <c r="A33">
        <v>3</v>
      </c>
      <c r="B33" s="16">
        <v>3</v>
      </c>
      <c r="C33" s="4">
        <v>3.4430000000000001E-5</v>
      </c>
      <c r="D33">
        <v>2.6659999999999999</v>
      </c>
      <c r="E33">
        <v>2.6659999999999999</v>
      </c>
      <c r="F33">
        <v>10</v>
      </c>
      <c r="G33" s="4">
        <v>9.1780000000000006E-5</v>
      </c>
      <c r="H33">
        <v>8.12E-4</v>
      </c>
      <c r="I33">
        <v>5.3039999999999999E-4</v>
      </c>
      <c r="K33">
        <v>32</v>
      </c>
      <c r="L33" s="16">
        <v>5</v>
      </c>
      <c r="M33" s="16">
        <v>10</v>
      </c>
      <c r="N33" s="142" t="s">
        <v>258</v>
      </c>
      <c r="O33" s="54">
        <v>0.61950000000000005</v>
      </c>
      <c r="P33">
        <v>0.26350000000000001</v>
      </c>
      <c r="Q33" s="55">
        <v>0.16320000000000001</v>
      </c>
      <c r="R33" s="54">
        <v>0.38590000000000002</v>
      </c>
      <c r="S33">
        <v>0.51390000000000002</v>
      </c>
      <c r="T33" s="55">
        <v>0.1983</v>
      </c>
      <c r="U33" s="54">
        <v>0.33650000000000002</v>
      </c>
      <c r="V33">
        <v>0.64690000000000003</v>
      </c>
      <c r="W33" s="55">
        <v>0.2177</v>
      </c>
      <c r="X33" s="54">
        <v>0.38590000000000002</v>
      </c>
      <c r="Y33">
        <v>0.59899999999999998</v>
      </c>
      <c r="Z33" s="55">
        <v>0.23119999999999999</v>
      </c>
      <c r="AA33">
        <v>2.366E-2</v>
      </c>
      <c r="AB33">
        <v>1.4359999999999999</v>
      </c>
      <c r="AC33">
        <v>3.3980000000000003E-2</v>
      </c>
      <c r="AD33">
        <v>0.1321</v>
      </c>
      <c r="AE33">
        <v>0.96960000000000002</v>
      </c>
      <c r="AF33">
        <v>0.12809999999999999</v>
      </c>
      <c r="AG33">
        <v>0.1321</v>
      </c>
      <c r="AH33">
        <v>3.3210000000000002E-7</v>
      </c>
    </row>
    <row r="34" spans="1:34" x14ac:dyDescent="0.35">
      <c r="A34">
        <v>4</v>
      </c>
      <c r="B34" s="16">
        <v>4</v>
      </c>
      <c r="C34">
        <v>6.2870000000000001E-3</v>
      </c>
      <c r="D34">
        <v>1.897</v>
      </c>
      <c r="E34">
        <v>1.897</v>
      </c>
      <c r="F34">
        <v>10</v>
      </c>
      <c r="G34">
        <v>1.193E-2</v>
      </c>
      <c r="H34">
        <v>0.1055</v>
      </c>
      <c r="I34">
        <v>6.8909999999999999E-2</v>
      </c>
      <c r="K34">
        <v>33</v>
      </c>
      <c r="L34" s="16">
        <v>8</v>
      </c>
      <c r="M34" s="16">
        <v>11</v>
      </c>
      <c r="N34" s="142" t="s">
        <v>317</v>
      </c>
      <c r="O34" s="54">
        <v>0.7046</v>
      </c>
      <c r="P34">
        <v>0.57489999999999997</v>
      </c>
      <c r="Q34" s="55">
        <v>0.40510000000000002</v>
      </c>
      <c r="R34" s="54">
        <v>0.53559999999999997</v>
      </c>
      <c r="S34">
        <v>0.5494</v>
      </c>
      <c r="T34" s="55">
        <v>0.29430000000000001</v>
      </c>
      <c r="U34" s="54">
        <v>0.7046</v>
      </c>
      <c r="V34">
        <v>0.54069999999999996</v>
      </c>
      <c r="W34" s="55">
        <v>0.38100000000000001</v>
      </c>
      <c r="X34" s="54">
        <v>0.7046</v>
      </c>
      <c r="Y34">
        <v>0.62250000000000005</v>
      </c>
      <c r="Z34" s="55">
        <v>0.43859999999999999</v>
      </c>
      <c r="AA34">
        <v>5.1769999999999997E-2</v>
      </c>
      <c r="AB34">
        <v>1.907</v>
      </c>
      <c r="AC34">
        <v>9.8720000000000002E-2</v>
      </c>
      <c r="AD34">
        <v>0.45400000000000001</v>
      </c>
      <c r="AE34">
        <v>0.73080000000000001</v>
      </c>
      <c r="AF34">
        <v>0.33169999999999999</v>
      </c>
      <c r="AG34">
        <v>0.45400000000000001</v>
      </c>
      <c r="AH34">
        <v>6.9689999999999995E-7</v>
      </c>
    </row>
    <row r="35" spans="1:34" x14ac:dyDescent="0.35">
      <c r="A35">
        <v>5</v>
      </c>
      <c r="B35" s="16">
        <v>5</v>
      </c>
      <c r="C35">
        <v>3.5749999999999997E-2</v>
      </c>
      <c r="D35">
        <v>2.7389999999999999</v>
      </c>
      <c r="E35">
        <v>2.7389999999999999</v>
      </c>
      <c r="F35">
        <v>10</v>
      </c>
      <c r="G35">
        <v>9.7939999999999999E-2</v>
      </c>
      <c r="H35">
        <v>0.86639999999999995</v>
      </c>
      <c r="I35">
        <v>0.56599999999999995</v>
      </c>
      <c r="K35">
        <v>34</v>
      </c>
      <c r="L35" s="16">
        <v>4</v>
      </c>
      <c r="M35" s="16">
        <v>10</v>
      </c>
      <c r="N35" s="142" t="s">
        <v>303</v>
      </c>
      <c r="O35" s="54">
        <v>0.21779999999999999</v>
      </c>
      <c r="P35">
        <v>0.19719999999999999</v>
      </c>
      <c r="Q35" s="55">
        <v>4.2959999999999998E-2</v>
      </c>
      <c r="R35" s="54">
        <v>0.44740000000000002</v>
      </c>
      <c r="S35">
        <v>0.3044</v>
      </c>
      <c r="T35" s="55">
        <v>0.13619999999999999</v>
      </c>
      <c r="U35" s="54">
        <v>0.44740000000000002</v>
      </c>
      <c r="V35">
        <v>0.46629999999999999</v>
      </c>
      <c r="W35" s="55">
        <v>0.20860000000000001</v>
      </c>
      <c r="X35" s="54">
        <v>0.44740000000000002</v>
      </c>
      <c r="Y35">
        <v>0.46629999999999999</v>
      </c>
      <c r="Z35" s="55">
        <v>0.20860000000000001</v>
      </c>
      <c r="AA35">
        <v>2.6589999999999999E-2</v>
      </c>
      <c r="AB35">
        <v>0.63160000000000005</v>
      </c>
      <c r="AC35">
        <v>1.6789999999999999E-2</v>
      </c>
      <c r="AD35">
        <v>0.44740000000000002</v>
      </c>
      <c r="AE35">
        <v>0.46629999999999999</v>
      </c>
      <c r="AF35">
        <v>0.20860000000000001</v>
      </c>
      <c r="AG35">
        <v>0.44740000000000002</v>
      </c>
      <c r="AH35">
        <v>5.5589999999999996E-6</v>
      </c>
    </row>
    <row r="36" spans="1:34" x14ac:dyDescent="0.35">
      <c r="A36">
        <v>6</v>
      </c>
      <c r="B36" s="16">
        <v>6</v>
      </c>
      <c r="C36" s="4">
        <v>9.3949999999999993E-5</v>
      </c>
      <c r="D36">
        <v>2.633</v>
      </c>
      <c r="E36">
        <v>2.633</v>
      </c>
      <c r="F36">
        <v>10</v>
      </c>
      <c r="G36">
        <v>2.474E-4</v>
      </c>
      <c r="H36">
        <v>2.189E-3</v>
      </c>
      <c r="I36">
        <v>1.4300000000000001E-3</v>
      </c>
      <c r="K36">
        <v>35</v>
      </c>
      <c r="L36" s="16">
        <v>11</v>
      </c>
      <c r="M36" s="16">
        <v>14</v>
      </c>
      <c r="N36" s="143" t="s">
        <v>344</v>
      </c>
      <c r="O36" s="54">
        <v>3.8670000000000003E-2</v>
      </c>
      <c r="P36">
        <v>0.1318</v>
      </c>
      <c r="Q36" s="55">
        <v>5.0980000000000001E-3</v>
      </c>
      <c r="R36" s="54">
        <v>0.96830000000000005</v>
      </c>
      <c r="S36">
        <v>0.34810000000000002</v>
      </c>
      <c r="T36" s="55">
        <v>0.33710000000000001</v>
      </c>
      <c r="U36" s="54">
        <v>0.96830000000000005</v>
      </c>
      <c r="V36">
        <v>0.36809999999999998</v>
      </c>
      <c r="W36" s="55">
        <v>0.35649999999999998</v>
      </c>
      <c r="X36" s="54">
        <v>0.96830000000000005</v>
      </c>
      <c r="Y36">
        <v>0.38040000000000002</v>
      </c>
      <c r="Z36" s="55">
        <v>0.36830000000000002</v>
      </c>
      <c r="AA36">
        <v>1.1900000000000001E-2</v>
      </c>
      <c r="AB36">
        <v>0.51649999999999996</v>
      </c>
      <c r="AC36">
        <v>6.1469999999999997E-3</v>
      </c>
      <c r="AD36">
        <v>0.56910000000000005</v>
      </c>
      <c r="AE36">
        <v>0.46060000000000001</v>
      </c>
      <c r="AF36">
        <v>0.2621</v>
      </c>
      <c r="AG36">
        <v>0.56910000000000005</v>
      </c>
      <c r="AH36">
        <v>2.5479999999999999E-11</v>
      </c>
    </row>
    <row r="37" spans="1:34" x14ac:dyDescent="0.35">
      <c r="A37">
        <v>7</v>
      </c>
      <c r="B37" s="16">
        <v>7</v>
      </c>
      <c r="C37">
        <v>4.5600000000000003E-4</v>
      </c>
      <c r="D37">
        <v>1.5309999999999999</v>
      </c>
      <c r="E37">
        <v>1.5309999999999999</v>
      </c>
      <c r="F37">
        <v>10</v>
      </c>
      <c r="G37">
        <v>6.9830000000000001E-4</v>
      </c>
      <c r="H37">
        <v>6.1780000000000003E-3</v>
      </c>
      <c r="I37">
        <v>4.0350000000000004E-3</v>
      </c>
      <c r="K37">
        <v>36</v>
      </c>
      <c r="L37" s="16">
        <v>11</v>
      </c>
      <c r="M37" s="16">
        <v>10</v>
      </c>
      <c r="N37" s="142" t="s">
        <v>473</v>
      </c>
      <c r="O37" s="54">
        <v>0.22819999999999999</v>
      </c>
      <c r="P37">
        <v>0.4844</v>
      </c>
      <c r="Q37" s="55">
        <v>0.1105</v>
      </c>
      <c r="R37" s="54">
        <v>0.22819999999999999</v>
      </c>
      <c r="S37">
        <v>0.49909999999999999</v>
      </c>
      <c r="T37" s="55">
        <v>0.1139</v>
      </c>
      <c r="U37" s="54">
        <v>0.22819999999999999</v>
      </c>
      <c r="V37">
        <v>0.5242</v>
      </c>
      <c r="W37" s="55">
        <v>0.1196</v>
      </c>
      <c r="X37" s="54">
        <v>0.68269999999999997</v>
      </c>
      <c r="Y37">
        <v>0.75139999999999996</v>
      </c>
      <c r="Z37" s="55">
        <v>0.51300000000000001</v>
      </c>
      <c r="AA37">
        <v>4.5600000000000003E-4</v>
      </c>
      <c r="AB37">
        <v>1.6890000000000001</v>
      </c>
      <c r="AC37">
        <v>7.7039999999999997E-4</v>
      </c>
      <c r="AD37">
        <v>2.8089999999999999E-3</v>
      </c>
      <c r="AE37">
        <v>0.85529999999999995</v>
      </c>
      <c r="AF37">
        <v>2.4020000000000001E-3</v>
      </c>
      <c r="AG37">
        <v>2.8089999999999999E-3</v>
      </c>
      <c r="AH37">
        <v>3.4989999999999998E-8</v>
      </c>
    </row>
    <row r="38" spans="1:34" x14ac:dyDescent="0.35">
      <c r="A38">
        <v>8</v>
      </c>
      <c r="B38" s="16">
        <v>8</v>
      </c>
      <c r="C38" s="4">
        <v>1.579E-5</v>
      </c>
      <c r="D38">
        <v>2.3159999999999998</v>
      </c>
      <c r="E38">
        <v>2.3159999999999998</v>
      </c>
      <c r="F38">
        <v>10</v>
      </c>
      <c r="G38" s="4">
        <v>3.6560000000000002E-5</v>
      </c>
      <c r="H38">
        <v>3.235E-4</v>
      </c>
      <c r="I38">
        <v>2.1130000000000001E-4</v>
      </c>
      <c r="K38">
        <v>37</v>
      </c>
      <c r="L38" s="16">
        <v>4</v>
      </c>
      <c r="M38" s="16">
        <v>10</v>
      </c>
      <c r="N38" s="142" t="s">
        <v>250</v>
      </c>
      <c r="O38" s="54">
        <v>0.36840000000000001</v>
      </c>
      <c r="P38">
        <v>0.69510000000000005</v>
      </c>
      <c r="Q38" s="55">
        <v>0.25609999999999999</v>
      </c>
      <c r="R38" s="54">
        <v>3.2969999999999999E-2</v>
      </c>
      <c r="S38">
        <v>1.248</v>
      </c>
      <c r="T38" s="55">
        <v>4.1140000000000003E-2</v>
      </c>
      <c r="U38" s="54">
        <v>3.2969999999999999E-2</v>
      </c>
      <c r="V38">
        <v>1.4470000000000001</v>
      </c>
      <c r="W38" s="55">
        <v>4.7710000000000002E-2</v>
      </c>
      <c r="X38" s="54">
        <v>3.2969999999999999E-2</v>
      </c>
      <c r="Y38">
        <v>1.4470000000000001</v>
      </c>
      <c r="Z38" s="55">
        <v>4.7710000000000002E-2</v>
      </c>
      <c r="AA38">
        <v>3.7189999999999999E-4</v>
      </c>
      <c r="AB38">
        <v>1.002</v>
      </c>
      <c r="AC38">
        <v>3.7270000000000001E-4</v>
      </c>
      <c r="AD38">
        <v>3.2969999999999999E-2</v>
      </c>
      <c r="AE38">
        <v>1.4470000000000001</v>
      </c>
      <c r="AF38">
        <v>4.7710000000000002E-2</v>
      </c>
      <c r="AG38">
        <v>3.2969999999999999E-2</v>
      </c>
      <c r="AH38">
        <v>7.3410000000000002E-9</v>
      </c>
    </row>
    <row r="39" spans="1:34" x14ac:dyDescent="0.35">
      <c r="A39">
        <v>9</v>
      </c>
      <c r="B39" s="16">
        <v>9</v>
      </c>
      <c r="C39" s="4">
        <v>9.8599999999999996E-7</v>
      </c>
      <c r="D39">
        <v>3.339</v>
      </c>
      <c r="E39">
        <v>3.339</v>
      </c>
      <c r="F39">
        <v>10</v>
      </c>
      <c r="G39" s="4">
        <v>3.292E-6</v>
      </c>
      <c r="H39" s="4">
        <v>2.9119999999999999E-5</v>
      </c>
      <c r="I39" s="4">
        <v>1.9020000000000001E-5</v>
      </c>
      <c r="K39">
        <v>38</v>
      </c>
      <c r="L39" s="16">
        <v>5</v>
      </c>
      <c r="M39" s="16">
        <v>10</v>
      </c>
      <c r="N39" s="143" t="s">
        <v>343</v>
      </c>
      <c r="O39" s="54">
        <v>0.1135</v>
      </c>
      <c r="P39">
        <v>0.27800000000000002</v>
      </c>
      <c r="Q39" s="55">
        <v>3.1550000000000002E-2</v>
      </c>
      <c r="R39" s="54">
        <v>0.47349999999999998</v>
      </c>
      <c r="S39">
        <v>0.38450000000000001</v>
      </c>
      <c r="T39" s="55">
        <v>0.182</v>
      </c>
      <c r="U39" s="54">
        <v>0.68269999999999997</v>
      </c>
      <c r="V39">
        <v>0.40570000000000001</v>
      </c>
      <c r="W39" s="55">
        <v>0.27700000000000002</v>
      </c>
      <c r="X39" s="54">
        <v>0.28949999999999998</v>
      </c>
      <c r="Y39">
        <v>0.49619999999999997</v>
      </c>
      <c r="Z39" s="55">
        <v>0.14360000000000001</v>
      </c>
      <c r="AA39">
        <v>2.7539999999999999E-2</v>
      </c>
      <c r="AB39">
        <v>1.65</v>
      </c>
      <c r="AC39">
        <v>4.5429999999999998E-2</v>
      </c>
      <c r="AD39">
        <v>0.24410000000000001</v>
      </c>
      <c r="AE39">
        <v>0.1968</v>
      </c>
      <c r="AF39">
        <v>4.8039999999999999E-2</v>
      </c>
      <c r="AG39">
        <v>0.24410000000000001</v>
      </c>
      <c r="AH39">
        <v>9.8599999999999996E-7</v>
      </c>
    </row>
    <row r="40" spans="1:34" x14ac:dyDescent="0.35">
      <c r="A40">
        <v>10</v>
      </c>
      <c r="B40" s="16" t="s">
        <v>464</v>
      </c>
      <c r="C40">
        <v>3.5749999999999997E-2</v>
      </c>
      <c r="D40">
        <v>1.679</v>
      </c>
      <c r="E40">
        <v>1.679</v>
      </c>
      <c r="F40">
        <v>10</v>
      </c>
      <c r="G40">
        <v>6.0010000000000001E-2</v>
      </c>
      <c r="H40" t="s">
        <v>452</v>
      </c>
      <c r="I40">
        <v>0.3468</v>
      </c>
      <c r="K40">
        <v>39</v>
      </c>
      <c r="L40" s="16">
        <v>4</v>
      </c>
      <c r="M40" s="16">
        <v>10</v>
      </c>
      <c r="N40" s="142" t="s">
        <v>919</v>
      </c>
      <c r="O40" s="54">
        <v>6.9819999999999993E-2</v>
      </c>
      <c r="P40">
        <v>0.2432</v>
      </c>
      <c r="Q40" s="55">
        <v>1.6979999999999999E-2</v>
      </c>
      <c r="R40" s="54">
        <v>0.49880000000000002</v>
      </c>
      <c r="S40">
        <v>0.23180000000000001</v>
      </c>
      <c r="T40" s="55">
        <v>0.11559999999999999</v>
      </c>
      <c r="U40" s="54">
        <v>0.44</v>
      </c>
      <c r="V40">
        <v>0.50690000000000002</v>
      </c>
      <c r="W40" s="55">
        <v>0.223</v>
      </c>
      <c r="X40" s="54">
        <v>0.77949999999999997</v>
      </c>
      <c r="Y40">
        <v>0.49</v>
      </c>
      <c r="Z40" s="55">
        <v>0.38200000000000001</v>
      </c>
      <c r="AA40">
        <v>0.2223</v>
      </c>
      <c r="AB40">
        <v>0.7258</v>
      </c>
      <c r="AC40">
        <v>0.1613</v>
      </c>
      <c r="AD40">
        <v>0.44</v>
      </c>
      <c r="AE40">
        <v>0.50690000000000002</v>
      </c>
      <c r="AF40">
        <v>0.223</v>
      </c>
      <c r="AG40">
        <v>0.44</v>
      </c>
      <c r="AH40">
        <v>4.0940000000000001E-9</v>
      </c>
    </row>
    <row r="41" spans="1:34" x14ac:dyDescent="0.35">
      <c r="A41">
        <v>11</v>
      </c>
      <c r="B41" s="16" t="s">
        <v>466</v>
      </c>
      <c r="C41">
        <v>6.0830000000000002E-2</v>
      </c>
      <c r="D41">
        <v>1.095</v>
      </c>
      <c r="E41">
        <v>1.095</v>
      </c>
      <c r="F41">
        <v>10</v>
      </c>
      <c r="G41">
        <v>6.6619999999999999E-2</v>
      </c>
      <c r="H41" t="s">
        <v>452</v>
      </c>
      <c r="I41">
        <v>0.37080000000000002</v>
      </c>
      <c r="K41">
        <v>40</v>
      </c>
      <c r="L41" s="16">
        <v>6</v>
      </c>
      <c r="M41" s="16">
        <v>30</v>
      </c>
      <c r="N41" s="143" t="s">
        <v>342</v>
      </c>
      <c r="O41" s="54">
        <v>0.10340000000000001</v>
      </c>
      <c r="P41">
        <v>0.1182</v>
      </c>
      <c r="Q41" s="55">
        <v>1.223E-2</v>
      </c>
      <c r="R41" s="54">
        <v>6.3380000000000006E-2</v>
      </c>
      <c r="S41">
        <v>0.58499999999999996</v>
      </c>
      <c r="T41" s="55">
        <v>3.7069999999999999E-2</v>
      </c>
      <c r="U41" s="54">
        <v>8.9499999999999996E-2</v>
      </c>
      <c r="V41">
        <v>0.61360000000000003</v>
      </c>
      <c r="W41" s="55">
        <v>5.4919999999999997E-2</v>
      </c>
      <c r="X41" s="54">
        <v>6.3380000000000006E-2</v>
      </c>
      <c r="Y41">
        <v>0.59660000000000002</v>
      </c>
      <c r="Z41" s="55">
        <v>3.7810000000000003E-2</v>
      </c>
      <c r="AA41">
        <v>4.6409999999999998E-5</v>
      </c>
      <c r="AB41">
        <v>0.80310000000000004</v>
      </c>
      <c r="AC41">
        <v>3.7270000000000001E-5</v>
      </c>
      <c r="AD41">
        <v>2.2230000000000001E-4</v>
      </c>
      <c r="AE41">
        <v>0.97250000000000003</v>
      </c>
      <c r="AF41">
        <v>2.162E-4</v>
      </c>
      <c r="AG41">
        <v>2.2230000000000001E-4</v>
      </c>
      <c r="AH41">
        <v>6.8980000000000004E-10</v>
      </c>
    </row>
    <row r="42" spans="1:34" x14ac:dyDescent="0.35">
      <c r="A42">
        <v>12</v>
      </c>
      <c r="B42" s="16" t="s">
        <v>467</v>
      </c>
      <c r="C42">
        <v>3.5749999999999997E-2</v>
      </c>
      <c r="D42">
        <v>2.7389999999999999</v>
      </c>
      <c r="E42">
        <v>2.7389999999999999</v>
      </c>
      <c r="F42">
        <v>10</v>
      </c>
      <c r="G42">
        <v>9.7939999999999999E-2</v>
      </c>
      <c r="H42" t="s">
        <v>452</v>
      </c>
      <c r="I42">
        <v>0.5</v>
      </c>
      <c r="K42">
        <v>41</v>
      </c>
      <c r="L42" s="16">
        <v>10</v>
      </c>
      <c r="M42" s="115">
        <v>12</v>
      </c>
      <c r="N42" s="142" t="s">
        <v>474</v>
      </c>
      <c r="O42" s="54">
        <v>0.26500000000000001</v>
      </c>
      <c r="P42">
        <v>0.20430000000000001</v>
      </c>
      <c r="Q42" s="55">
        <v>5.4129999999999998E-2</v>
      </c>
      <c r="R42" s="54">
        <v>9.2050000000000007E-2</v>
      </c>
      <c r="S42">
        <v>0.26119999999999999</v>
      </c>
      <c r="T42" s="55">
        <v>2.4039999999999999E-2</v>
      </c>
      <c r="U42" s="54">
        <v>0.1431</v>
      </c>
      <c r="V42">
        <v>0.39579999999999999</v>
      </c>
      <c r="W42" s="55">
        <v>5.6649999999999999E-2</v>
      </c>
      <c r="X42" s="54">
        <v>9.6460000000000004E-2</v>
      </c>
      <c r="Y42">
        <v>0.49199999999999999</v>
      </c>
      <c r="Z42" s="55">
        <v>4.7460000000000002E-2</v>
      </c>
      <c r="AA42">
        <v>7.4400000000000004E-3</v>
      </c>
      <c r="AB42">
        <v>0.73540000000000005</v>
      </c>
      <c r="AC42">
        <v>5.4710000000000002E-3</v>
      </c>
      <c r="AD42">
        <v>5.8789999999999997E-3</v>
      </c>
      <c r="AE42">
        <v>1.2490000000000001</v>
      </c>
      <c r="AF42">
        <v>7.345E-3</v>
      </c>
      <c r="AG42">
        <v>7.4400000000000004E-3</v>
      </c>
      <c r="AH42">
        <v>4.5050000000000002E-11</v>
      </c>
    </row>
    <row r="43" spans="1:34" x14ac:dyDescent="0.35">
      <c r="A43">
        <v>13</v>
      </c>
      <c r="B43" s="16" t="s">
        <v>469</v>
      </c>
      <c r="C43">
        <v>3.5749999999999997E-2</v>
      </c>
      <c r="D43">
        <v>2.7389999999999999</v>
      </c>
      <c r="E43">
        <v>2.7389999999999999</v>
      </c>
      <c r="F43">
        <v>10</v>
      </c>
      <c r="G43">
        <v>9.7939999999999999E-2</v>
      </c>
      <c r="H43" t="s">
        <v>452</v>
      </c>
      <c r="I43">
        <v>0.5</v>
      </c>
      <c r="K43">
        <v>42</v>
      </c>
      <c r="L43" s="16">
        <v>28</v>
      </c>
      <c r="M43" s="16">
        <v>15</v>
      </c>
      <c r="N43" s="142" t="s">
        <v>1058</v>
      </c>
      <c r="O43" s="54">
        <v>8.7400000000000005E-2</v>
      </c>
      <c r="P43">
        <v>0.58409999999999995</v>
      </c>
      <c r="Q43" s="55">
        <v>5.1049999999999998E-2</v>
      </c>
      <c r="R43" s="54">
        <v>0.35780000000000001</v>
      </c>
      <c r="S43">
        <v>0.65669999999999995</v>
      </c>
      <c r="T43" s="55">
        <v>0.23499999999999999</v>
      </c>
      <c r="U43" s="54">
        <v>0.43109999999999998</v>
      </c>
      <c r="V43">
        <v>1.2470000000000001</v>
      </c>
      <c r="W43" s="55">
        <v>0.53779999999999994</v>
      </c>
      <c r="X43" s="54">
        <v>0.43109999999999998</v>
      </c>
      <c r="Y43">
        <v>1.2470000000000001</v>
      </c>
      <c r="Z43" s="55">
        <v>0.53779999999999994</v>
      </c>
      <c r="AA43">
        <v>0.12039999999999999</v>
      </c>
      <c r="AB43">
        <v>2.5760000000000001</v>
      </c>
      <c r="AC43">
        <v>0.31009999999999999</v>
      </c>
      <c r="AD43">
        <v>0.43109999999999998</v>
      </c>
      <c r="AE43">
        <v>1.2470000000000001</v>
      </c>
      <c r="AF43">
        <v>0.53779999999999994</v>
      </c>
      <c r="AG43">
        <v>0.43109999999999998</v>
      </c>
      <c r="AH43">
        <v>7.7009999999999996E-10</v>
      </c>
    </row>
    <row r="44" spans="1:34" x14ac:dyDescent="0.35">
      <c r="A44" t="s">
        <v>701</v>
      </c>
      <c r="B44" s="16"/>
      <c r="K44">
        <v>43</v>
      </c>
      <c r="L44" s="16">
        <v>16</v>
      </c>
      <c r="M44" s="16">
        <v>21</v>
      </c>
      <c r="N44" s="142" t="s">
        <v>1106</v>
      </c>
      <c r="O44" s="54">
        <v>0.4425</v>
      </c>
      <c r="P44">
        <v>1.0469999999999999</v>
      </c>
      <c r="Q44" s="55">
        <v>0.4632</v>
      </c>
      <c r="R44" s="54">
        <v>0.12859999999999999</v>
      </c>
      <c r="S44">
        <v>1.7869999999999999</v>
      </c>
      <c r="T44" s="55">
        <v>0.2298</v>
      </c>
      <c r="U44" s="54">
        <v>0.12859999999999999</v>
      </c>
      <c r="V44">
        <v>1.9419999999999999</v>
      </c>
      <c r="W44" s="55">
        <v>0.24979999999999999</v>
      </c>
      <c r="X44" s="54">
        <v>0.12859999999999999</v>
      </c>
      <c r="Y44">
        <v>1.8180000000000001</v>
      </c>
      <c r="Z44" s="55">
        <v>0.23380000000000001</v>
      </c>
      <c r="AA44">
        <v>6.8830000000000003E-5</v>
      </c>
      <c r="AB44">
        <v>2.012</v>
      </c>
      <c r="AC44">
        <v>1.3850000000000001E-4</v>
      </c>
      <c r="AD44">
        <v>2.0339999999999998E-3</v>
      </c>
      <c r="AE44">
        <v>2.4860000000000002</v>
      </c>
      <c r="AF44">
        <v>5.058E-3</v>
      </c>
      <c r="AG44">
        <v>2.0339999999999998E-3</v>
      </c>
      <c r="AH44">
        <v>3.3610000000000001E-18</v>
      </c>
    </row>
    <row r="45" spans="1:34" x14ac:dyDescent="0.35">
      <c r="A45" t="s">
        <v>700</v>
      </c>
      <c r="B45" s="16"/>
      <c r="K45">
        <v>44</v>
      </c>
      <c r="L45" s="16">
        <v>9</v>
      </c>
      <c r="M45" s="16">
        <v>13</v>
      </c>
      <c r="N45" s="142" t="s">
        <v>480</v>
      </c>
      <c r="O45" s="54">
        <v>6.3200000000000006E-2</v>
      </c>
      <c r="P45">
        <v>0.43480000000000002</v>
      </c>
      <c r="Q45" s="55">
        <v>2.7480000000000001E-2</v>
      </c>
      <c r="R45" s="54">
        <v>0.61399999999999999</v>
      </c>
      <c r="S45">
        <v>0.91439999999999999</v>
      </c>
      <c r="T45" s="55">
        <v>0.56140000000000001</v>
      </c>
      <c r="U45" s="54">
        <v>0.61399999999999999</v>
      </c>
      <c r="V45">
        <v>0.92400000000000004</v>
      </c>
      <c r="W45" s="55">
        <v>0.56730000000000003</v>
      </c>
      <c r="X45" s="54">
        <v>0.92810000000000004</v>
      </c>
      <c r="Y45">
        <v>0.99160000000000004</v>
      </c>
      <c r="Z45" s="55">
        <v>0.92030000000000001</v>
      </c>
      <c r="AA45">
        <v>5.3039999999999997E-2</v>
      </c>
      <c r="AB45">
        <v>1.2849999999999999</v>
      </c>
      <c r="AC45">
        <v>6.8129999999999996E-2</v>
      </c>
      <c r="AD45">
        <v>0.27660000000000001</v>
      </c>
      <c r="AE45">
        <v>1.2849999999999999</v>
      </c>
      <c r="AF45">
        <v>0.35539999999999999</v>
      </c>
      <c r="AG45">
        <v>0.27660000000000001</v>
      </c>
      <c r="AH45">
        <v>5.0389999999999998E-12</v>
      </c>
    </row>
    <row r="46" spans="1:34" x14ac:dyDescent="0.35">
      <c r="A46" t="s">
        <v>470</v>
      </c>
      <c r="B46" s="16"/>
      <c r="K46">
        <v>45</v>
      </c>
      <c r="L46" s="16">
        <v>8</v>
      </c>
      <c r="M46" s="16">
        <v>19</v>
      </c>
      <c r="N46" s="169" t="s">
        <v>482</v>
      </c>
      <c r="O46" s="54">
        <v>0.88119999999999998</v>
      </c>
      <c r="P46">
        <v>0.2011</v>
      </c>
      <c r="Q46" s="55">
        <v>0.1772</v>
      </c>
      <c r="R46" s="54">
        <v>0.1283</v>
      </c>
      <c r="S46">
        <v>0.5998</v>
      </c>
      <c r="T46" s="55">
        <v>7.6960000000000001E-2</v>
      </c>
      <c r="U46" s="54">
        <v>0.1283</v>
      </c>
      <c r="V46">
        <v>0.77070000000000005</v>
      </c>
      <c r="W46" s="55">
        <v>9.8890000000000006E-2</v>
      </c>
      <c r="X46" s="54">
        <v>0.1283</v>
      </c>
      <c r="Y46">
        <v>0.61419999999999997</v>
      </c>
      <c r="Z46" s="55">
        <v>7.8810000000000005E-2</v>
      </c>
      <c r="AA46">
        <v>2.2290000000000001E-3</v>
      </c>
      <c r="AB46">
        <v>1.268</v>
      </c>
      <c r="AC46">
        <v>2.8249999999999998E-3</v>
      </c>
      <c r="AD46">
        <v>3.807E-2</v>
      </c>
      <c r="AE46">
        <v>0.92259999999999998</v>
      </c>
      <c r="AF46">
        <v>3.5119999999999998E-2</v>
      </c>
      <c r="AG46">
        <v>3.807E-2</v>
      </c>
      <c r="AH46">
        <v>6.2610000000000004E-10</v>
      </c>
    </row>
    <row r="47" spans="1:34" x14ac:dyDescent="0.35">
      <c r="A47" t="s">
        <v>471</v>
      </c>
      <c r="B47" s="16"/>
      <c r="K47">
        <v>46</v>
      </c>
      <c r="L47" s="16">
        <v>12</v>
      </c>
      <c r="M47" s="16">
        <v>8</v>
      </c>
      <c r="N47" s="142" t="s">
        <v>980</v>
      </c>
      <c r="O47" s="54">
        <v>0.53380000000000005</v>
      </c>
      <c r="P47">
        <v>0.66930000000000001</v>
      </c>
      <c r="Q47" s="55">
        <v>0.35730000000000001</v>
      </c>
      <c r="R47" s="54">
        <v>0.64</v>
      </c>
      <c r="S47">
        <v>1.048</v>
      </c>
      <c r="T47" s="55">
        <v>0.67079999999999995</v>
      </c>
      <c r="U47" s="54">
        <v>0.68759999999999999</v>
      </c>
      <c r="V47">
        <v>2.1</v>
      </c>
      <c r="W47" s="55">
        <v>1.444</v>
      </c>
      <c r="X47" s="54">
        <v>0.68759999999999999</v>
      </c>
      <c r="Y47">
        <v>2.1</v>
      </c>
      <c r="Z47" s="55">
        <v>1.444</v>
      </c>
      <c r="AA47">
        <v>0.64</v>
      </c>
      <c r="AB47">
        <v>1.5249999999999999</v>
      </c>
      <c r="AC47">
        <v>0.97609999999999997</v>
      </c>
      <c r="AD47">
        <v>0.68759999999999999</v>
      </c>
      <c r="AE47">
        <v>2.1</v>
      </c>
      <c r="AF47">
        <v>1.444</v>
      </c>
      <c r="AG47">
        <v>0.68759999999999999</v>
      </c>
      <c r="AH47">
        <v>3.885E-8</v>
      </c>
    </row>
    <row r="48" spans="1:34" x14ac:dyDescent="0.35">
      <c r="A48" t="s">
        <v>929</v>
      </c>
      <c r="B48" s="16"/>
      <c r="J48">
        <v>3</v>
      </c>
      <c r="K48">
        <v>47</v>
      </c>
      <c r="L48" s="16">
        <v>9</v>
      </c>
      <c r="M48" s="16">
        <v>10</v>
      </c>
      <c r="N48" s="143" t="s">
        <v>697</v>
      </c>
      <c r="O48" s="54">
        <v>0.47349999999999998</v>
      </c>
      <c r="P48">
        <v>0.32169999999999999</v>
      </c>
      <c r="Q48" s="55">
        <v>0.15229999999999999</v>
      </c>
      <c r="R48" s="54">
        <v>0.47349999999999998</v>
      </c>
      <c r="S48">
        <v>0.66579999999999995</v>
      </c>
      <c r="T48" s="55">
        <v>0.31519999999999998</v>
      </c>
      <c r="U48" s="54">
        <v>0.68269999999999997</v>
      </c>
      <c r="V48">
        <v>0.79139999999999999</v>
      </c>
      <c r="W48" s="55">
        <v>0.5403</v>
      </c>
      <c r="X48" s="54">
        <v>0.68269999999999997</v>
      </c>
      <c r="Y48">
        <v>0.86070000000000002</v>
      </c>
      <c r="Z48" s="55">
        <v>0.58760000000000001</v>
      </c>
      <c r="AA48">
        <v>1.072E-2</v>
      </c>
      <c r="AB48">
        <v>0.68910000000000005</v>
      </c>
      <c r="AC48">
        <v>7.3879999999999996E-3</v>
      </c>
      <c r="AD48">
        <v>6.2870000000000001E-3</v>
      </c>
      <c r="AE48">
        <v>1.796</v>
      </c>
      <c r="AF48">
        <v>1.129E-2</v>
      </c>
      <c r="AG48">
        <v>1.072E-2</v>
      </c>
      <c r="AH48">
        <v>4.5410000000000001E-10</v>
      </c>
    </row>
    <row r="49" spans="1:34" x14ac:dyDescent="0.35">
      <c r="A49" t="s">
        <v>700</v>
      </c>
      <c r="B49" s="16"/>
      <c r="K49">
        <v>48</v>
      </c>
      <c r="L49" s="16">
        <v>8</v>
      </c>
      <c r="M49" s="16">
        <v>10</v>
      </c>
      <c r="N49" s="142" t="s">
        <v>475</v>
      </c>
      <c r="O49" s="54">
        <v>0.33379999999999999</v>
      </c>
      <c r="P49">
        <v>1.0660000000000001</v>
      </c>
      <c r="Q49" s="55">
        <v>0.35599999999999998</v>
      </c>
      <c r="R49" s="54">
        <v>0.78129999999999999</v>
      </c>
      <c r="S49">
        <v>0.6855</v>
      </c>
      <c r="T49" s="55">
        <v>0.53559999999999997</v>
      </c>
      <c r="U49" s="54">
        <v>0.88429999999999997</v>
      </c>
      <c r="V49">
        <v>0.69430000000000003</v>
      </c>
      <c r="W49" s="55">
        <v>0.61399999999999999</v>
      </c>
      <c r="X49" s="54">
        <v>0.34520000000000001</v>
      </c>
      <c r="Y49">
        <v>1.1859999999999999</v>
      </c>
      <c r="Z49" s="55">
        <v>0.40920000000000001</v>
      </c>
      <c r="AA49">
        <v>1.3939999999999999E-2</v>
      </c>
      <c r="AB49">
        <v>1.667</v>
      </c>
      <c r="AC49">
        <v>2.3230000000000001E-2</v>
      </c>
      <c r="AD49">
        <v>3.2489999999999998E-2</v>
      </c>
      <c r="AE49">
        <v>1.115</v>
      </c>
      <c r="AF49">
        <v>3.6240000000000001E-2</v>
      </c>
      <c r="AG49">
        <v>3.2489999999999998E-2</v>
      </c>
      <c r="AH49">
        <v>1.2249999999999999E-6</v>
      </c>
    </row>
    <row r="50" spans="1:34" x14ac:dyDescent="0.35">
      <c r="A50" t="s">
        <v>438</v>
      </c>
      <c r="B50" s="16"/>
      <c r="K50">
        <v>49</v>
      </c>
      <c r="L50" s="16">
        <v>14</v>
      </c>
      <c r="M50" s="16">
        <v>15</v>
      </c>
      <c r="N50" s="142" t="s">
        <v>129</v>
      </c>
      <c r="O50" s="54">
        <v>0.66100000000000003</v>
      </c>
      <c r="P50">
        <v>0.77990000000000004</v>
      </c>
      <c r="Q50" s="55">
        <v>0.51549999999999996</v>
      </c>
      <c r="R50" s="54">
        <v>0.35780000000000001</v>
      </c>
      <c r="S50">
        <v>0.97540000000000004</v>
      </c>
      <c r="T50" s="55">
        <v>0.34899999999999998</v>
      </c>
      <c r="U50" s="54">
        <v>0.64339999999999997</v>
      </c>
      <c r="V50">
        <v>1.31</v>
      </c>
      <c r="W50" s="55">
        <v>0.84289999999999998</v>
      </c>
      <c r="X50" s="54">
        <v>0.64339999999999997</v>
      </c>
      <c r="Y50">
        <v>1.31</v>
      </c>
      <c r="Z50" s="55">
        <v>0.84289999999999998</v>
      </c>
      <c r="AA50">
        <v>4.8469999999999999E-2</v>
      </c>
      <c r="AB50">
        <v>1.9259999999999999</v>
      </c>
      <c r="AC50">
        <v>9.3380000000000005E-2</v>
      </c>
      <c r="AD50">
        <v>0.64339999999999997</v>
      </c>
      <c r="AE50">
        <v>1.31</v>
      </c>
      <c r="AF50">
        <v>0.84289999999999998</v>
      </c>
      <c r="AG50">
        <v>0.64339999999999997</v>
      </c>
      <c r="AH50">
        <v>1.6170000000000001E-11</v>
      </c>
    </row>
    <row r="51" spans="1:34" x14ac:dyDescent="0.35">
      <c r="A51" t="s">
        <v>439</v>
      </c>
      <c r="B51" s="16"/>
      <c r="K51">
        <v>50</v>
      </c>
      <c r="L51" s="16">
        <v>5</v>
      </c>
      <c r="M51" s="16">
        <v>10</v>
      </c>
      <c r="N51" s="142" t="s">
        <v>338</v>
      </c>
      <c r="O51" s="54">
        <v>1.219E-5</v>
      </c>
      <c r="P51">
        <v>0.23100000000000001</v>
      </c>
      <c r="Q51" s="55">
        <v>2.8159999999999998E-6</v>
      </c>
      <c r="R51" s="54">
        <v>3.5849999999999997E-5</v>
      </c>
      <c r="S51">
        <v>0.65480000000000005</v>
      </c>
      <c r="T51" s="55">
        <v>2.3470000000000001E-5</v>
      </c>
      <c r="U51" s="54">
        <v>3.5849999999999997E-5</v>
      </c>
      <c r="V51">
        <v>0.66700000000000004</v>
      </c>
      <c r="W51" s="55">
        <v>2.391E-5</v>
      </c>
      <c r="X51" s="54">
        <v>3.5849999999999997E-5</v>
      </c>
      <c r="Y51">
        <v>0.69010000000000005</v>
      </c>
      <c r="Z51" s="55">
        <v>2.474E-5</v>
      </c>
      <c r="AA51">
        <v>1.219E-5</v>
      </c>
      <c r="AB51">
        <v>0.57240000000000002</v>
      </c>
      <c r="AC51">
        <v>6.9770000000000003E-6</v>
      </c>
      <c r="AD51">
        <v>2.2359999999999999E-5</v>
      </c>
      <c r="AE51">
        <v>1.0429999999999999</v>
      </c>
      <c r="AF51">
        <v>2.3329999999999999E-5</v>
      </c>
      <c r="AG51">
        <v>2.2359999999999999E-5</v>
      </c>
      <c r="AH51">
        <v>1.0250000000000001E-9</v>
      </c>
    </row>
    <row r="52" spans="1:34" x14ac:dyDescent="0.35">
      <c r="A52" t="s">
        <v>441</v>
      </c>
      <c r="B52" s="16"/>
      <c r="K52">
        <v>51</v>
      </c>
      <c r="L52" s="16">
        <v>14</v>
      </c>
      <c r="M52" s="16">
        <v>16</v>
      </c>
      <c r="N52" s="142" t="s">
        <v>157</v>
      </c>
      <c r="O52" s="54">
        <v>0.51729999999999998</v>
      </c>
      <c r="P52">
        <v>0.751</v>
      </c>
      <c r="Q52" s="55">
        <v>0.38850000000000001</v>
      </c>
      <c r="R52" s="54">
        <v>0.62860000000000005</v>
      </c>
      <c r="S52">
        <v>0.71360000000000001</v>
      </c>
      <c r="T52" s="55">
        <v>0.4486</v>
      </c>
      <c r="U52" s="54">
        <v>0.67549999999999999</v>
      </c>
      <c r="V52">
        <v>0.77739999999999998</v>
      </c>
      <c r="W52" s="55">
        <v>0.52510000000000001</v>
      </c>
      <c r="X52" s="54">
        <v>0.99150000000000005</v>
      </c>
      <c r="Y52">
        <v>0.78320000000000001</v>
      </c>
      <c r="Z52" s="55">
        <v>0.77659999999999996</v>
      </c>
      <c r="AA52">
        <v>1.2319999999999999E-2</v>
      </c>
      <c r="AB52">
        <v>1.4510000000000001</v>
      </c>
      <c r="AC52">
        <v>1.788E-2</v>
      </c>
      <c r="AD52">
        <v>0.22739999999999999</v>
      </c>
      <c r="AE52">
        <v>0.84219999999999995</v>
      </c>
      <c r="AF52">
        <v>0.1915</v>
      </c>
      <c r="AG52">
        <v>0.22739999999999999</v>
      </c>
      <c r="AH52">
        <v>2.8799999999999998E-12</v>
      </c>
    </row>
    <row r="53" spans="1:34" x14ac:dyDescent="0.35">
      <c r="A53" t="s">
        <v>701</v>
      </c>
      <c r="B53" s="16"/>
      <c r="K53">
        <v>52</v>
      </c>
      <c r="L53" s="16">
        <v>12</v>
      </c>
      <c r="M53" s="16">
        <v>13</v>
      </c>
      <c r="N53" s="142" t="s">
        <v>331</v>
      </c>
      <c r="O53" s="54">
        <v>0.32900000000000001</v>
      </c>
      <c r="P53">
        <v>0.28000000000000003</v>
      </c>
      <c r="Q53" s="55">
        <v>9.2119999999999994E-2</v>
      </c>
      <c r="R53" s="54">
        <v>0.4209</v>
      </c>
      <c r="S53">
        <v>0.3775</v>
      </c>
      <c r="T53" s="55">
        <v>0.15890000000000001</v>
      </c>
      <c r="U53" s="54">
        <v>0.75460000000000005</v>
      </c>
      <c r="V53">
        <v>1.1439999999999999</v>
      </c>
      <c r="W53" s="55">
        <v>0.86319999999999997</v>
      </c>
      <c r="X53" s="54">
        <v>0.75460000000000005</v>
      </c>
      <c r="Y53">
        <v>1.1439999999999999</v>
      </c>
      <c r="Z53" s="55">
        <v>0.86319999999999997</v>
      </c>
      <c r="AA53">
        <v>0.45390000000000003</v>
      </c>
      <c r="AB53">
        <v>1.032</v>
      </c>
      <c r="AC53">
        <v>0.46839999999999998</v>
      </c>
      <c r="AD53">
        <v>0.75460000000000005</v>
      </c>
      <c r="AE53">
        <v>1.1439999999999999</v>
      </c>
      <c r="AF53">
        <v>0.86319999999999997</v>
      </c>
      <c r="AG53">
        <v>0.75460000000000005</v>
      </c>
      <c r="AH53">
        <v>9.4879999999999997E-4</v>
      </c>
    </row>
    <row r="54" spans="1:34" x14ac:dyDescent="0.35">
      <c r="A54" t="s">
        <v>442</v>
      </c>
      <c r="B54" s="16" t="s">
        <v>443</v>
      </c>
      <c r="C54" t="s">
        <v>444</v>
      </c>
      <c r="D54" t="s">
        <v>445</v>
      </c>
      <c r="E54" t="s">
        <v>445</v>
      </c>
      <c r="F54" t="s">
        <v>446</v>
      </c>
      <c r="G54" t="s">
        <v>447</v>
      </c>
      <c r="H54" t="s">
        <v>448</v>
      </c>
      <c r="I54" t="s">
        <v>448</v>
      </c>
      <c r="K54">
        <v>53</v>
      </c>
      <c r="L54" s="16">
        <v>8</v>
      </c>
      <c r="M54" s="16">
        <v>13</v>
      </c>
      <c r="N54" s="142" t="s">
        <v>332</v>
      </c>
      <c r="O54" s="54">
        <v>0.4209</v>
      </c>
      <c r="P54">
        <v>0.23169999999999999</v>
      </c>
      <c r="Q54" s="55">
        <v>9.7540000000000002E-2</v>
      </c>
      <c r="R54" s="54">
        <v>0.4209</v>
      </c>
      <c r="S54">
        <v>0.35449999999999998</v>
      </c>
      <c r="T54" s="55">
        <v>0.1492</v>
      </c>
      <c r="U54" s="54">
        <v>0.92810000000000004</v>
      </c>
      <c r="V54">
        <v>0.8488</v>
      </c>
      <c r="W54" s="55">
        <v>0.78769999999999996</v>
      </c>
      <c r="X54" s="54">
        <v>0.92810000000000004</v>
      </c>
      <c r="Y54">
        <v>0.8488</v>
      </c>
      <c r="Z54" s="55">
        <v>0.78769999999999996</v>
      </c>
      <c r="AA54">
        <v>0.45390000000000003</v>
      </c>
      <c r="AB54">
        <v>1.3440000000000001</v>
      </c>
      <c r="AC54">
        <v>0.60980000000000001</v>
      </c>
      <c r="AD54">
        <v>0.92810000000000004</v>
      </c>
      <c r="AE54">
        <v>0.8488</v>
      </c>
      <c r="AF54">
        <v>0.78769999999999996</v>
      </c>
      <c r="AG54">
        <v>0.92810000000000004</v>
      </c>
      <c r="AH54">
        <v>2.7400000000000001E-9</v>
      </c>
    </row>
    <row r="55" spans="1:34" x14ac:dyDescent="0.35">
      <c r="A55" t="s">
        <v>450</v>
      </c>
      <c r="B55" s="16" t="s">
        <v>451</v>
      </c>
      <c r="C55" t="s">
        <v>452</v>
      </c>
      <c r="D55" t="s">
        <v>453</v>
      </c>
      <c r="E55" t="s">
        <v>454</v>
      </c>
      <c r="F55" t="s">
        <v>455</v>
      </c>
      <c r="G55" t="s">
        <v>456</v>
      </c>
      <c r="H55" t="s">
        <v>457</v>
      </c>
      <c r="I55" t="s">
        <v>458</v>
      </c>
      <c r="K55">
        <v>54</v>
      </c>
      <c r="L55" s="16">
        <v>18</v>
      </c>
      <c r="M55" s="16">
        <v>17</v>
      </c>
      <c r="N55" s="142" t="s">
        <v>175</v>
      </c>
      <c r="O55" s="54">
        <v>0.1663</v>
      </c>
      <c r="P55">
        <v>0.36349999999999999</v>
      </c>
      <c r="Q55" s="55">
        <v>6.0449999999999997E-2</v>
      </c>
      <c r="R55" s="54">
        <v>0.3029</v>
      </c>
      <c r="S55">
        <v>0.54549999999999998</v>
      </c>
      <c r="T55" s="55">
        <v>0.16520000000000001</v>
      </c>
      <c r="U55" s="54">
        <v>0.98899999999999999</v>
      </c>
      <c r="V55">
        <v>1.256</v>
      </c>
      <c r="W55" s="55">
        <v>1.242</v>
      </c>
      <c r="X55" s="54">
        <v>0.98899999999999999</v>
      </c>
      <c r="Y55">
        <v>1.256</v>
      </c>
      <c r="Z55" s="55">
        <v>1.242</v>
      </c>
      <c r="AA55">
        <v>0.67149999999999999</v>
      </c>
      <c r="AB55">
        <v>0.626</v>
      </c>
      <c r="AC55">
        <v>0.4204</v>
      </c>
      <c r="AD55">
        <v>0.98899999999999999</v>
      </c>
      <c r="AE55">
        <v>1.256</v>
      </c>
      <c r="AF55">
        <v>1.242</v>
      </c>
      <c r="AG55">
        <v>0.98899999999999999</v>
      </c>
      <c r="AH55">
        <v>1.019E-12</v>
      </c>
    </row>
    <row r="56" spans="1:34" x14ac:dyDescent="0.35">
      <c r="A56" t="s">
        <v>702</v>
      </c>
      <c r="B56" s="16" t="s">
        <v>703</v>
      </c>
      <c r="C56" t="s">
        <v>704</v>
      </c>
      <c r="D56" t="s">
        <v>704</v>
      </c>
      <c r="E56" t="s">
        <v>704</v>
      </c>
      <c r="F56" t="s">
        <v>705</v>
      </c>
      <c r="G56" t="s">
        <v>704</v>
      </c>
      <c r="H56" t="s">
        <v>704</v>
      </c>
      <c r="I56" t="s">
        <v>704</v>
      </c>
      <c r="K56">
        <v>55</v>
      </c>
      <c r="L56" s="16">
        <v>7</v>
      </c>
      <c r="M56" s="16">
        <v>10</v>
      </c>
      <c r="N56" s="142" t="s">
        <v>476</v>
      </c>
      <c r="O56" s="54">
        <v>0.20019999999999999</v>
      </c>
      <c r="P56">
        <v>0.45140000000000002</v>
      </c>
      <c r="Q56" s="55">
        <v>9.0380000000000002E-2</v>
      </c>
      <c r="R56" s="54">
        <v>0.66400000000000003</v>
      </c>
      <c r="S56">
        <v>0.52769999999999995</v>
      </c>
      <c r="T56" s="55">
        <v>0.35039999999999999</v>
      </c>
      <c r="U56" s="54">
        <v>0.68769999999999998</v>
      </c>
      <c r="V56">
        <v>1.0620000000000001</v>
      </c>
      <c r="W56" s="55">
        <v>0.73040000000000005</v>
      </c>
      <c r="X56" s="54">
        <v>0.68769999999999998</v>
      </c>
      <c r="Y56">
        <v>1.0620000000000001</v>
      </c>
      <c r="Z56" s="55">
        <v>0.73040000000000005</v>
      </c>
      <c r="AA56">
        <v>0.44</v>
      </c>
      <c r="AB56">
        <v>0.89639999999999997</v>
      </c>
      <c r="AC56">
        <v>0.39439999999999997</v>
      </c>
      <c r="AD56">
        <v>0.68769999999999998</v>
      </c>
      <c r="AE56">
        <v>1.0620000000000001</v>
      </c>
      <c r="AF56">
        <v>0.73040000000000005</v>
      </c>
      <c r="AG56">
        <v>0.68769999999999998</v>
      </c>
      <c r="AH56">
        <v>1.0529999999999999E-3</v>
      </c>
    </row>
    <row r="57" spans="1:34" x14ac:dyDescent="0.35">
      <c r="A57">
        <v>1</v>
      </c>
      <c r="B57" s="16">
        <v>1</v>
      </c>
      <c r="C57">
        <v>0.1012</v>
      </c>
      <c r="D57">
        <v>0.56330000000000002</v>
      </c>
      <c r="E57">
        <v>0.50339999999999996</v>
      </c>
      <c r="F57">
        <v>10</v>
      </c>
      <c r="G57">
        <v>5.0950000000000002E-2</v>
      </c>
      <c r="H57">
        <v>0.52080000000000004</v>
      </c>
      <c r="I57">
        <v>0.20150000000000001</v>
      </c>
      <c r="K57">
        <v>56</v>
      </c>
      <c r="L57" s="16">
        <v>21</v>
      </c>
      <c r="M57" s="16">
        <v>16</v>
      </c>
      <c r="N57" s="142" t="s">
        <v>477</v>
      </c>
      <c r="O57" s="54">
        <v>0.62860000000000005</v>
      </c>
      <c r="P57">
        <v>0.92210000000000003</v>
      </c>
      <c r="Q57" s="55">
        <v>0.57969999999999999</v>
      </c>
      <c r="R57" s="54">
        <v>0.30520000000000003</v>
      </c>
      <c r="S57">
        <v>1.121</v>
      </c>
      <c r="T57" s="55">
        <v>0.3422</v>
      </c>
      <c r="U57" s="54">
        <v>0.41099999999999998</v>
      </c>
      <c r="V57">
        <v>1.4550000000000001</v>
      </c>
      <c r="W57" s="55">
        <v>0.5978</v>
      </c>
      <c r="X57" s="54">
        <v>0.41099999999999998</v>
      </c>
      <c r="Y57">
        <v>1.4550000000000001</v>
      </c>
      <c r="Z57" s="55">
        <v>0.5978</v>
      </c>
      <c r="AA57">
        <v>0.22739999999999999</v>
      </c>
      <c r="AB57">
        <v>1.95</v>
      </c>
      <c r="AC57">
        <v>0.44340000000000002</v>
      </c>
      <c r="AD57">
        <v>0.41099999999999998</v>
      </c>
      <c r="AE57">
        <v>1.4550000000000001</v>
      </c>
      <c r="AF57">
        <v>0.5978</v>
      </c>
      <c r="AG57">
        <v>0.41099999999999998</v>
      </c>
      <c r="AH57">
        <v>4.418E-12</v>
      </c>
    </row>
    <row r="58" spans="1:34" x14ac:dyDescent="0.35">
      <c r="A58">
        <v>2</v>
      </c>
      <c r="B58" s="16">
        <v>2</v>
      </c>
      <c r="C58">
        <v>4.7059999999999998E-2</v>
      </c>
      <c r="D58">
        <v>1.03</v>
      </c>
      <c r="E58">
        <v>0.95879999999999999</v>
      </c>
      <c r="F58">
        <v>10</v>
      </c>
      <c r="G58">
        <v>4.512E-2</v>
      </c>
      <c r="H58">
        <v>0.4612</v>
      </c>
      <c r="I58">
        <v>0.1784</v>
      </c>
      <c r="K58">
        <v>57</v>
      </c>
      <c r="L58" s="16">
        <v>6</v>
      </c>
      <c r="M58" s="16">
        <v>10</v>
      </c>
      <c r="N58" s="142" t="s">
        <v>254</v>
      </c>
      <c r="O58" s="54">
        <v>0.1321</v>
      </c>
      <c r="P58">
        <v>0.33069999999999999</v>
      </c>
      <c r="Q58" s="55">
        <v>4.3679999999999997E-2</v>
      </c>
      <c r="R58" s="54">
        <v>0.49880000000000002</v>
      </c>
      <c r="S58">
        <v>0.59719999999999995</v>
      </c>
      <c r="T58" s="55">
        <v>0.2979</v>
      </c>
      <c r="U58" s="54">
        <v>0.49880000000000002</v>
      </c>
      <c r="V58">
        <v>0.60589999999999999</v>
      </c>
      <c r="W58" s="55">
        <v>0.30220000000000002</v>
      </c>
      <c r="X58" s="54">
        <v>0.21779999999999999</v>
      </c>
      <c r="Y58">
        <v>0.66110000000000002</v>
      </c>
      <c r="Z58" s="55">
        <v>0.14399999999999999</v>
      </c>
      <c r="AA58">
        <v>0.1847</v>
      </c>
      <c r="AB58">
        <v>0.39319999999999999</v>
      </c>
      <c r="AC58">
        <v>7.2650000000000006E-2</v>
      </c>
      <c r="AD58">
        <v>0.18099999999999999</v>
      </c>
      <c r="AE58">
        <v>1.1299999999999999</v>
      </c>
      <c r="AF58">
        <v>0.2046</v>
      </c>
      <c r="AG58">
        <v>0.1847</v>
      </c>
      <c r="AH58">
        <v>1.9560000000000001E-8</v>
      </c>
    </row>
    <row r="59" spans="1:34" x14ac:dyDescent="0.35">
      <c r="A59">
        <v>3</v>
      </c>
      <c r="B59" s="16">
        <v>3</v>
      </c>
      <c r="C59">
        <v>1.31E-3</v>
      </c>
      <c r="D59">
        <v>1.423</v>
      </c>
      <c r="E59">
        <v>1.349</v>
      </c>
      <c r="F59">
        <v>10</v>
      </c>
      <c r="G59">
        <v>1.7669999999999999E-3</v>
      </c>
      <c r="H59">
        <v>1.806E-2</v>
      </c>
      <c r="I59">
        <v>6.9870000000000002E-3</v>
      </c>
      <c r="K59">
        <v>58</v>
      </c>
      <c r="L59" s="16">
        <v>9</v>
      </c>
      <c r="M59" s="16">
        <v>11</v>
      </c>
      <c r="N59" s="142" t="s">
        <v>865</v>
      </c>
      <c r="O59" s="54">
        <v>6.7659999999999998E-2</v>
      </c>
      <c r="P59">
        <v>0.80369999999999997</v>
      </c>
      <c r="Q59" s="55">
        <v>5.4379999999999998E-2</v>
      </c>
      <c r="R59" s="54">
        <v>0.49199999999999999</v>
      </c>
      <c r="S59">
        <v>1.429</v>
      </c>
      <c r="T59" s="55">
        <v>0.70289999999999997</v>
      </c>
      <c r="U59" s="54">
        <v>0.70620000000000005</v>
      </c>
      <c r="V59">
        <v>1.988</v>
      </c>
      <c r="W59" s="55">
        <v>1.4039999999999999</v>
      </c>
      <c r="X59" s="54">
        <v>0.70620000000000005</v>
      </c>
      <c r="Y59">
        <v>1.988</v>
      </c>
      <c r="Z59" s="55">
        <v>1.4039999999999999</v>
      </c>
      <c r="AA59">
        <v>0.49199999999999999</v>
      </c>
      <c r="AB59">
        <v>1.581</v>
      </c>
      <c r="AC59">
        <v>0.77769999999999995</v>
      </c>
      <c r="AD59">
        <v>0.70620000000000005</v>
      </c>
      <c r="AE59">
        <v>1.988</v>
      </c>
      <c r="AF59">
        <v>1.4039999999999999</v>
      </c>
      <c r="AG59">
        <v>0.70620000000000005</v>
      </c>
      <c r="AH59">
        <v>3.2110000000000002E-14</v>
      </c>
    </row>
    <row r="60" spans="1:34" x14ac:dyDescent="0.35">
      <c r="A60">
        <v>4</v>
      </c>
      <c r="B60" s="16">
        <v>4</v>
      </c>
      <c r="C60" s="4">
        <v>2.795E-9</v>
      </c>
      <c r="D60">
        <v>1.669</v>
      </c>
      <c r="E60">
        <v>1.655</v>
      </c>
      <c r="F60">
        <v>10</v>
      </c>
      <c r="G60" s="4">
        <v>4.6250000000000001E-9</v>
      </c>
      <c r="H60" s="4">
        <v>4.7269999999999999E-8</v>
      </c>
      <c r="I60" s="4">
        <v>1.829E-8</v>
      </c>
      <c r="K60" s="10">
        <v>59</v>
      </c>
      <c r="L60" s="16">
        <v>32</v>
      </c>
      <c r="M60" s="16">
        <v>18</v>
      </c>
      <c r="N60" s="142" t="s">
        <v>33</v>
      </c>
      <c r="O60" s="54">
        <v>5.815E-2</v>
      </c>
      <c r="P60">
        <v>0.7954</v>
      </c>
      <c r="Q60" s="55">
        <v>4.6249999999999999E-2</v>
      </c>
      <c r="R60" s="54">
        <v>0.1201</v>
      </c>
      <c r="S60">
        <v>1.155</v>
      </c>
      <c r="T60" s="55">
        <v>0.13869999999999999</v>
      </c>
      <c r="U60" s="54">
        <v>0.50700000000000001</v>
      </c>
      <c r="V60">
        <v>1.4159999999999999</v>
      </c>
      <c r="W60" s="55">
        <v>0.71760000000000002</v>
      </c>
      <c r="X60" s="54">
        <v>0.50700000000000001</v>
      </c>
      <c r="Y60">
        <v>1.512</v>
      </c>
      <c r="Z60" s="55">
        <v>0.76639999999999997</v>
      </c>
      <c r="AA60">
        <v>3.8510000000000003E-2</v>
      </c>
      <c r="AB60">
        <v>2.0110000000000001</v>
      </c>
      <c r="AC60">
        <v>7.7450000000000005E-2</v>
      </c>
      <c r="AD60">
        <v>5.5500000000000001E-2</v>
      </c>
      <c r="AE60">
        <v>1.82</v>
      </c>
      <c r="AF60">
        <v>0.10100000000000001</v>
      </c>
      <c r="AG60">
        <v>5.5500000000000001E-2</v>
      </c>
      <c r="AH60">
        <v>7.1130000000000001E-13</v>
      </c>
    </row>
    <row r="61" spans="1:34" x14ac:dyDescent="0.35">
      <c r="A61">
        <v>5</v>
      </c>
      <c r="B61" s="16">
        <v>5</v>
      </c>
      <c r="C61" s="4">
        <v>2.5009999999999999E-6</v>
      </c>
      <c r="D61">
        <v>1.0169999999999999</v>
      </c>
      <c r="E61">
        <v>0.96240000000000003</v>
      </c>
      <c r="F61">
        <v>10</v>
      </c>
      <c r="G61" s="4">
        <v>2.407E-6</v>
      </c>
      <c r="H61" s="4">
        <v>2.4600000000000002E-5</v>
      </c>
      <c r="I61" s="4">
        <v>9.516E-6</v>
      </c>
      <c r="K61" s="10">
        <v>60</v>
      </c>
      <c r="L61" s="16">
        <v>5</v>
      </c>
      <c r="M61" s="16">
        <v>10</v>
      </c>
      <c r="N61" s="142" t="s">
        <v>260</v>
      </c>
      <c r="O61" s="54">
        <v>0.15479999999999999</v>
      </c>
      <c r="P61">
        <v>0.52929999999999999</v>
      </c>
      <c r="Q61" s="55">
        <v>8.1930000000000003E-2</v>
      </c>
      <c r="R61" s="54">
        <v>0.20019999999999999</v>
      </c>
      <c r="S61">
        <v>0.65490000000000004</v>
      </c>
      <c r="T61" s="55">
        <v>0.13109999999999999</v>
      </c>
      <c r="U61" s="54">
        <v>0.20019999999999999</v>
      </c>
      <c r="V61">
        <v>0.7238</v>
      </c>
      <c r="W61" s="55">
        <v>0.1449</v>
      </c>
      <c r="X61" s="54">
        <v>0.49880000000000002</v>
      </c>
      <c r="Y61">
        <v>0.98839999999999995</v>
      </c>
      <c r="Z61" s="55">
        <v>0.49309999999999998</v>
      </c>
      <c r="AA61">
        <v>6.9819999999999993E-2</v>
      </c>
      <c r="AB61">
        <v>0.82840000000000003</v>
      </c>
      <c r="AC61">
        <v>5.7829999999999999E-2</v>
      </c>
      <c r="AD61">
        <v>5.8909999999999997E-2</v>
      </c>
      <c r="AE61">
        <v>1.29</v>
      </c>
      <c r="AF61">
        <v>7.6009999999999994E-2</v>
      </c>
      <c r="AG61">
        <v>6.9819999999999993E-2</v>
      </c>
      <c r="AH61">
        <v>3.8170000000000001E-3</v>
      </c>
    </row>
    <row r="62" spans="1:34" x14ac:dyDescent="0.35">
      <c r="A62">
        <v>6</v>
      </c>
      <c r="B62" s="16" t="s">
        <v>464</v>
      </c>
      <c r="C62">
        <v>0.68269999999999997</v>
      </c>
      <c r="D62">
        <v>0.30940000000000001</v>
      </c>
      <c r="E62">
        <v>0.2271</v>
      </c>
      <c r="F62">
        <v>10</v>
      </c>
      <c r="G62">
        <v>0.15509999999999999</v>
      </c>
      <c r="H62" t="s">
        <v>452</v>
      </c>
      <c r="I62">
        <v>0.61309999999999998</v>
      </c>
      <c r="L62" s="8">
        <f>SUM(L2:L61)</f>
        <v>663</v>
      </c>
      <c r="M62" s="8">
        <f>SUM(M2:M61)</f>
        <v>726</v>
      </c>
    </row>
    <row r="63" spans="1:34" x14ac:dyDescent="0.35">
      <c r="A63">
        <v>7</v>
      </c>
      <c r="B63" s="16" t="s">
        <v>466</v>
      </c>
      <c r="C63">
        <v>0.1242</v>
      </c>
      <c r="D63">
        <v>0.26619999999999999</v>
      </c>
      <c r="E63">
        <v>0.2472</v>
      </c>
      <c r="F63">
        <v>10</v>
      </c>
      <c r="G63">
        <v>3.0700000000000002E-2</v>
      </c>
      <c r="H63" t="s">
        <v>452</v>
      </c>
      <c r="I63">
        <v>0.23880000000000001</v>
      </c>
    </row>
    <row r="64" spans="1:34" x14ac:dyDescent="0.35">
      <c r="A64">
        <v>8</v>
      </c>
      <c r="B64" s="16" t="s">
        <v>467</v>
      </c>
      <c r="C64">
        <v>0.68269999999999997</v>
      </c>
      <c r="D64">
        <v>0.30940000000000001</v>
      </c>
      <c r="E64">
        <v>0.2271</v>
      </c>
      <c r="F64">
        <v>10</v>
      </c>
      <c r="G64">
        <v>0.15509999999999999</v>
      </c>
      <c r="H64" t="s">
        <v>452</v>
      </c>
      <c r="I64">
        <v>0.61309999999999998</v>
      </c>
    </row>
    <row r="65" spans="1:10" x14ac:dyDescent="0.35">
      <c r="A65">
        <v>9</v>
      </c>
      <c r="B65" s="16" t="s">
        <v>469</v>
      </c>
      <c r="C65">
        <v>0.24410000000000001</v>
      </c>
      <c r="D65">
        <v>0.44409999999999999</v>
      </c>
      <c r="E65">
        <v>0.37569999999999998</v>
      </c>
      <c r="F65">
        <v>10</v>
      </c>
      <c r="G65">
        <v>9.1700000000000004E-2</v>
      </c>
      <c r="H65" t="s">
        <v>452</v>
      </c>
      <c r="I65">
        <v>0.48380000000000001</v>
      </c>
    </row>
    <row r="66" spans="1:10" x14ac:dyDescent="0.35">
      <c r="A66" t="s">
        <v>701</v>
      </c>
      <c r="B66" s="16"/>
    </row>
    <row r="67" spans="1:10" x14ac:dyDescent="0.35">
      <c r="A67" t="s">
        <v>700</v>
      </c>
      <c r="B67" s="16"/>
    </row>
    <row r="68" spans="1:10" x14ac:dyDescent="0.35">
      <c r="A68" t="s">
        <v>470</v>
      </c>
      <c r="B68" s="16"/>
    </row>
    <row r="69" spans="1:10" x14ac:dyDescent="0.35">
      <c r="A69" t="s">
        <v>471</v>
      </c>
      <c r="B69" s="16"/>
    </row>
    <row r="70" spans="1:10" x14ac:dyDescent="0.35">
      <c r="A70" t="s">
        <v>601</v>
      </c>
      <c r="B70" s="16"/>
      <c r="J70">
        <v>4</v>
      </c>
    </row>
    <row r="71" spans="1:10" x14ac:dyDescent="0.35">
      <c r="A71" t="s">
        <v>700</v>
      </c>
      <c r="B71" s="16"/>
    </row>
    <row r="72" spans="1:10" x14ac:dyDescent="0.35">
      <c r="A72" t="s">
        <v>438</v>
      </c>
      <c r="B72" s="16"/>
    </row>
    <row r="73" spans="1:10" x14ac:dyDescent="0.35">
      <c r="A73" t="s">
        <v>439</v>
      </c>
      <c r="B73" s="16"/>
    </row>
    <row r="74" spans="1:10" x14ac:dyDescent="0.35">
      <c r="A74" t="s">
        <v>441</v>
      </c>
      <c r="B74" s="16"/>
    </row>
    <row r="75" spans="1:10" x14ac:dyDescent="0.35">
      <c r="A75" t="s">
        <v>701</v>
      </c>
      <c r="B75" s="16"/>
    </row>
    <row r="76" spans="1:10" x14ac:dyDescent="0.35">
      <c r="A76" t="s">
        <v>442</v>
      </c>
      <c r="B76" s="16" t="s">
        <v>443</v>
      </c>
      <c r="C76" t="s">
        <v>444</v>
      </c>
      <c r="D76" t="s">
        <v>445</v>
      </c>
      <c r="E76" t="s">
        <v>445</v>
      </c>
      <c r="F76" t="s">
        <v>446</v>
      </c>
      <c r="G76" t="s">
        <v>447</v>
      </c>
      <c r="H76" t="s">
        <v>448</v>
      </c>
      <c r="I76" t="s">
        <v>448</v>
      </c>
    </row>
    <row r="77" spans="1:10" x14ac:dyDescent="0.35">
      <c r="A77" t="s">
        <v>450</v>
      </c>
      <c r="B77" s="16" t="s">
        <v>451</v>
      </c>
      <c r="C77" t="s">
        <v>452</v>
      </c>
      <c r="D77" t="s">
        <v>453</v>
      </c>
      <c r="E77" t="s">
        <v>454</v>
      </c>
      <c r="F77" t="s">
        <v>455</v>
      </c>
      <c r="G77" t="s">
        <v>456</v>
      </c>
      <c r="H77" t="s">
        <v>457</v>
      </c>
      <c r="I77" t="s">
        <v>458</v>
      </c>
    </row>
    <row r="78" spans="1:10" x14ac:dyDescent="0.35">
      <c r="A78" t="s">
        <v>702</v>
      </c>
      <c r="B78" s="16" t="s">
        <v>703</v>
      </c>
      <c r="C78" t="s">
        <v>704</v>
      </c>
      <c r="D78" t="s">
        <v>704</v>
      </c>
      <c r="E78" t="s">
        <v>704</v>
      </c>
      <c r="F78" t="s">
        <v>705</v>
      </c>
      <c r="G78" t="s">
        <v>704</v>
      </c>
      <c r="H78" t="s">
        <v>704</v>
      </c>
      <c r="I78" t="s">
        <v>704</v>
      </c>
    </row>
    <row r="79" spans="1:10" x14ac:dyDescent="0.35">
      <c r="A79">
        <v>1</v>
      </c>
      <c r="B79" s="16">
        <v>1</v>
      </c>
      <c r="C79">
        <v>1.2310000000000001E-3</v>
      </c>
      <c r="D79">
        <v>1.4830000000000001</v>
      </c>
      <c r="E79">
        <v>1.34</v>
      </c>
      <c r="F79">
        <v>11</v>
      </c>
      <c r="G79">
        <v>1.6490000000000001E-3</v>
      </c>
      <c r="H79">
        <v>2.9229999999999998E-3</v>
      </c>
      <c r="I79">
        <v>2.225E-3</v>
      </c>
    </row>
    <row r="80" spans="1:10" x14ac:dyDescent="0.35">
      <c r="A80">
        <v>2</v>
      </c>
      <c r="B80" s="16">
        <v>2</v>
      </c>
      <c r="C80">
        <v>8.609E-2</v>
      </c>
      <c r="D80">
        <v>0.72719999999999996</v>
      </c>
      <c r="E80">
        <v>0.73680000000000001</v>
      </c>
      <c r="F80">
        <v>11</v>
      </c>
      <c r="G80">
        <v>6.343E-2</v>
      </c>
      <c r="H80">
        <v>0.1124</v>
      </c>
      <c r="I80">
        <v>8.5599999999999996E-2</v>
      </c>
    </row>
    <row r="81" spans="1:10" x14ac:dyDescent="0.35">
      <c r="A81">
        <v>3</v>
      </c>
      <c r="B81" s="16">
        <v>3</v>
      </c>
      <c r="C81">
        <v>4.6709999999999998E-3</v>
      </c>
      <c r="D81">
        <v>1.1499999999999999</v>
      </c>
      <c r="E81">
        <v>0.95099999999999996</v>
      </c>
      <c r="F81">
        <v>11</v>
      </c>
      <c r="G81">
        <v>4.4419999999999998E-3</v>
      </c>
      <c r="H81">
        <v>7.8740000000000008E-3</v>
      </c>
      <c r="I81">
        <v>5.9940000000000002E-3</v>
      </c>
    </row>
    <row r="82" spans="1:10" x14ac:dyDescent="0.35">
      <c r="A82">
        <v>4</v>
      </c>
      <c r="B82" s="16">
        <v>4</v>
      </c>
      <c r="C82">
        <v>2.0479999999999999E-3</v>
      </c>
      <c r="D82">
        <v>0.50760000000000005</v>
      </c>
      <c r="E82">
        <v>0.78610000000000002</v>
      </c>
      <c r="F82">
        <v>11</v>
      </c>
      <c r="G82">
        <v>1.6100000000000001E-3</v>
      </c>
      <c r="H82">
        <v>2.8540000000000002E-3</v>
      </c>
      <c r="I82">
        <v>2.173E-3</v>
      </c>
    </row>
    <row r="83" spans="1:10" x14ac:dyDescent="0.35">
      <c r="A83">
        <v>5</v>
      </c>
      <c r="B83" s="16">
        <v>5</v>
      </c>
      <c r="C83">
        <v>0.2306</v>
      </c>
      <c r="D83">
        <v>0.35920000000000002</v>
      </c>
      <c r="E83">
        <v>0.4153</v>
      </c>
      <c r="F83">
        <v>11</v>
      </c>
      <c r="G83">
        <v>9.5780000000000004E-2</v>
      </c>
      <c r="H83">
        <v>0.16980000000000001</v>
      </c>
      <c r="I83">
        <v>0.12920000000000001</v>
      </c>
    </row>
    <row r="84" spans="1:10" x14ac:dyDescent="0.35">
      <c r="A84">
        <v>6</v>
      </c>
      <c r="B84" s="16">
        <v>6</v>
      </c>
      <c r="C84">
        <v>0.69240000000000002</v>
      </c>
      <c r="D84">
        <v>1.0309999999999999</v>
      </c>
      <c r="E84">
        <v>0.57299999999999995</v>
      </c>
      <c r="F84">
        <v>11</v>
      </c>
      <c r="G84">
        <v>0.39679999999999999</v>
      </c>
      <c r="H84">
        <v>0.70330000000000004</v>
      </c>
      <c r="I84">
        <v>0.53539999999999999</v>
      </c>
    </row>
    <row r="85" spans="1:10" x14ac:dyDescent="0.35">
      <c r="A85">
        <v>7</v>
      </c>
      <c r="B85" s="16">
        <v>7</v>
      </c>
      <c r="C85">
        <v>3.0150000000000001E-4</v>
      </c>
      <c r="D85">
        <v>1.341</v>
      </c>
      <c r="E85">
        <v>1.5169999999999999</v>
      </c>
      <c r="F85">
        <v>11</v>
      </c>
      <c r="G85">
        <v>4.574E-4</v>
      </c>
      <c r="H85">
        <v>8.1070000000000003E-4</v>
      </c>
      <c r="I85">
        <v>6.1720000000000004E-4</v>
      </c>
    </row>
    <row r="86" spans="1:10" x14ac:dyDescent="0.35">
      <c r="A86">
        <v>8</v>
      </c>
      <c r="B86" s="16" t="s">
        <v>464</v>
      </c>
      <c r="C86">
        <v>0.60089999999999999</v>
      </c>
      <c r="D86">
        <v>0.50839999999999996</v>
      </c>
      <c r="E86">
        <v>0.29449999999999998</v>
      </c>
      <c r="F86">
        <v>11</v>
      </c>
      <c r="G86">
        <v>0.17699999999999999</v>
      </c>
      <c r="H86" t="s">
        <v>452</v>
      </c>
      <c r="I86">
        <v>0.23880000000000001</v>
      </c>
    </row>
    <row r="87" spans="1:10" x14ac:dyDescent="0.35">
      <c r="A87">
        <v>9</v>
      </c>
      <c r="B87" s="16" t="s">
        <v>466</v>
      </c>
      <c r="C87">
        <v>0.42449999999999999</v>
      </c>
      <c r="D87">
        <v>0.36209999999999998</v>
      </c>
      <c r="E87">
        <v>0.29420000000000002</v>
      </c>
      <c r="F87">
        <v>11</v>
      </c>
      <c r="G87">
        <v>0.1249</v>
      </c>
      <c r="H87" t="s">
        <v>452</v>
      </c>
      <c r="I87">
        <v>0.1812</v>
      </c>
    </row>
    <row r="88" spans="1:10" x14ac:dyDescent="0.35">
      <c r="A88">
        <v>10</v>
      </c>
      <c r="B88" s="16" t="s">
        <v>467</v>
      </c>
      <c r="C88">
        <v>0.69240000000000002</v>
      </c>
      <c r="D88">
        <v>1.0309999999999999</v>
      </c>
      <c r="E88">
        <v>0.57299999999999995</v>
      </c>
      <c r="F88">
        <v>11</v>
      </c>
      <c r="G88">
        <v>0.39679999999999999</v>
      </c>
      <c r="H88" t="s">
        <v>452</v>
      </c>
      <c r="I88">
        <v>0.5</v>
      </c>
    </row>
    <row r="89" spans="1:10" x14ac:dyDescent="0.35">
      <c r="A89">
        <v>11</v>
      </c>
      <c r="B89" s="16" t="s">
        <v>469</v>
      </c>
      <c r="C89">
        <v>0.69240000000000002</v>
      </c>
      <c r="D89">
        <v>1.0309999999999999</v>
      </c>
      <c r="E89">
        <v>0.57299999999999995</v>
      </c>
      <c r="F89">
        <v>11</v>
      </c>
      <c r="G89">
        <v>0.39679999999999999</v>
      </c>
      <c r="H89" t="s">
        <v>452</v>
      </c>
      <c r="I89">
        <v>0.5</v>
      </c>
    </row>
    <row r="90" spans="1:10" x14ac:dyDescent="0.35">
      <c r="A90" t="s">
        <v>701</v>
      </c>
      <c r="B90" s="16"/>
    </row>
    <row r="91" spans="1:10" x14ac:dyDescent="0.35">
      <c r="A91" t="s">
        <v>700</v>
      </c>
      <c r="B91" s="16"/>
    </row>
    <row r="92" spans="1:10" x14ac:dyDescent="0.35">
      <c r="A92" t="s">
        <v>470</v>
      </c>
      <c r="B92" s="16"/>
    </row>
    <row r="93" spans="1:10" x14ac:dyDescent="0.35">
      <c r="A93" t="s">
        <v>471</v>
      </c>
      <c r="B93" s="16"/>
    </row>
    <row r="94" spans="1:10" x14ac:dyDescent="0.35">
      <c r="A94" t="s">
        <v>930</v>
      </c>
      <c r="B94" s="16"/>
      <c r="J94">
        <v>5</v>
      </c>
    </row>
    <row r="95" spans="1:10" x14ac:dyDescent="0.35">
      <c r="A95" t="s">
        <v>700</v>
      </c>
      <c r="B95" s="16"/>
    </row>
    <row r="96" spans="1:10" x14ac:dyDescent="0.35">
      <c r="A96" t="s">
        <v>438</v>
      </c>
      <c r="B96" s="16"/>
    </row>
    <row r="97" spans="1:9" x14ac:dyDescent="0.35">
      <c r="A97" t="s">
        <v>439</v>
      </c>
      <c r="B97" s="16"/>
    </row>
    <row r="98" spans="1:9" x14ac:dyDescent="0.35">
      <c r="A98" t="s">
        <v>441</v>
      </c>
      <c r="B98" s="16"/>
    </row>
    <row r="99" spans="1:9" x14ac:dyDescent="0.35">
      <c r="A99" t="s">
        <v>701</v>
      </c>
      <c r="B99" s="16"/>
    </row>
    <row r="100" spans="1:9" x14ac:dyDescent="0.35">
      <c r="A100" t="s">
        <v>442</v>
      </c>
      <c r="B100" s="16" t="s">
        <v>443</v>
      </c>
      <c r="C100" t="s">
        <v>444</v>
      </c>
      <c r="D100" t="s">
        <v>445</v>
      </c>
      <c r="E100" t="s">
        <v>445</v>
      </c>
      <c r="F100" t="s">
        <v>446</v>
      </c>
      <c r="G100" t="s">
        <v>447</v>
      </c>
      <c r="H100" t="s">
        <v>448</v>
      </c>
      <c r="I100" t="s">
        <v>448</v>
      </c>
    </row>
    <row r="101" spans="1:9" x14ac:dyDescent="0.35">
      <c r="A101" t="s">
        <v>450</v>
      </c>
      <c r="B101" s="16" t="s">
        <v>451</v>
      </c>
      <c r="C101" t="s">
        <v>452</v>
      </c>
      <c r="D101" t="s">
        <v>453</v>
      </c>
      <c r="E101" t="s">
        <v>454</v>
      </c>
      <c r="F101" t="s">
        <v>455</v>
      </c>
      <c r="G101" t="s">
        <v>456</v>
      </c>
      <c r="H101" t="s">
        <v>457</v>
      </c>
      <c r="I101" t="s">
        <v>458</v>
      </c>
    </row>
    <row r="102" spans="1:9" x14ac:dyDescent="0.35">
      <c r="A102" t="s">
        <v>702</v>
      </c>
      <c r="B102" s="16" t="s">
        <v>703</v>
      </c>
      <c r="C102" t="s">
        <v>704</v>
      </c>
      <c r="D102" t="s">
        <v>704</v>
      </c>
      <c r="E102" t="s">
        <v>704</v>
      </c>
      <c r="F102" t="s">
        <v>705</v>
      </c>
      <c r="G102" t="s">
        <v>704</v>
      </c>
      <c r="H102" t="s">
        <v>704</v>
      </c>
      <c r="I102" t="s">
        <v>704</v>
      </c>
    </row>
    <row r="103" spans="1:9" x14ac:dyDescent="0.35">
      <c r="A103">
        <v>1</v>
      </c>
      <c r="B103" s="16" t="s">
        <v>491</v>
      </c>
      <c r="C103" s="4">
        <v>4.2790000000000002E-5</v>
      </c>
      <c r="D103">
        <v>1.4850000000000001</v>
      </c>
      <c r="E103">
        <v>1.3140000000000001</v>
      </c>
      <c r="F103">
        <v>12</v>
      </c>
      <c r="G103" s="4">
        <v>5.6209999999999999E-5</v>
      </c>
      <c r="H103" s="4">
        <v>8.7219999999999995E-5</v>
      </c>
      <c r="I103" s="4">
        <v>6.8269999999999995E-5</v>
      </c>
    </row>
    <row r="104" spans="1:9" x14ac:dyDescent="0.35">
      <c r="A104">
        <v>2</v>
      </c>
      <c r="B104" s="16" t="s">
        <v>492</v>
      </c>
      <c r="C104">
        <v>0.29830000000000001</v>
      </c>
      <c r="D104">
        <v>0.98839999999999995</v>
      </c>
      <c r="E104">
        <v>0.87470000000000003</v>
      </c>
      <c r="F104">
        <v>12</v>
      </c>
      <c r="G104">
        <v>0.26090000000000002</v>
      </c>
      <c r="H104">
        <v>0.40479999999999999</v>
      </c>
      <c r="I104">
        <v>0.31690000000000002</v>
      </c>
    </row>
    <row r="105" spans="1:9" x14ac:dyDescent="0.35">
      <c r="A105">
        <v>3</v>
      </c>
      <c r="B105" s="16" t="s">
        <v>493</v>
      </c>
      <c r="C105">
        <v>3.601E-2</v>
      </c>
      <c r="D105">
        <v>0.77259999999999995</v>
      </c>
      <c r="E105">
        <v>0.88300000000000001</v>
      </c>
      <c r="F105">
        <v>12</v>
      </c>
      <c r="G105">
        <v>3.1800000000000002E-2</v>
      </c>
      <c r="H105">
        <v>4.9340000000000002E-2</v>
      </c>
      <c r="I105">
        <v>3.8620000000000002E-2</v>
      </c>
    </row>
    <row r="106" spans="1:9" x14ac:dyDescent="0.35">
      <c r="A106">
        <v>4</v>
      </c>
      <c r="B106" s="16" t="s">
        <v>494</v>
      </c>
      <c r="C106">
        <v>0.311</v>
      </c>
      <c r="D106">
        <v>0.99529999999999996</v>
      </c>
      <c r="E106">
        <v>1.0029999999999999</v>
      </c>
      <c r="F106">
        <v>12</v>
      </c>
      <c r="G106">
        <v>0.312</v>
      </c>
      <c r="H106">
        <v>0.48409999999999997</v>
      </c>
      <c r="I106">
        <v>0.37890000000000001</v>
      </c>
    </row>
    <row r="107" spans="1:9" x14ac:dyDescent="0.35">
      <c r="A107">
        <v>5</v>
      </c>
      <c r="B107" s="16" t="s">
        <v>495</v>
      </c>
      <c r="C107" s="4">
        <v>2.909E-6</v>
      </c>
      <c r="D107">
        <v>0.95899999999999996</v>
      </c>
      <c r="E107">
        <v>1.022</v>
      </c>
      <c r="F107">
        <v>12</v>
      </c>
      <c r="G107" s="4">
        <v>2.9730000000000002E-6</v>
      </c>
      <c r="H107" s="4">
        <v>4.6140000000000002E-6</v>
      </c>
      <c r="I107" s="4">
        <v>3.6109999999999998E-6</v>
      </c>
    </row>
    <row r="108" spans="1:9" x14ac:dyDescent="0.35">
      <c r="A108">
        <v>6</v>
      </c>
      <c r="B108" s="16" t="s">
        <v>496</v>
      </c>
      <c r="C108" s="4">
        <v>1.4190000000000001E-6</v>
      </c>
      <c r="D108">
        <v>1.4650000000000001</v>
      </c>
      <c r="E108">
        <v>1.1890000000000001</v>
      </c>
      <c r="F108">
        <v>12</v>
      </c>
      <c r="G108" s="4">
        <v>1.6869999999999999E-6</v>
      </c>
      <c r="H108" s="4">
        <v>2.6170000000000001E-6</v>
      </c>
      <c r="I108" s="4">
        <v>2.0490000000000002E-6</v>
      </c>
    </row>
    <row r="109" spans="1:9" x14ac:dyDescent="0.35">
      <c r="A109">
        <v>7</v>
      </c>
      <c r="B109" s="16" t="s">
        <v>497</v>
      </c>
      <c r="C109" s="4">
        <v>9.3109999999999995E-5</v>
      </c>
      <c r="D109">
        <v>0.75329999999999997</v>
      </c>
      <c r="E109">
        <v>1.048</v>
      </c>
      <c r="F109">
        <v>12</v>
      </c>
      <c r="G109" s="4">
        <v>9.7590000000000006E-5</v>
      </c>
      <c r="H109">
        <v>1.5139999999999999E-4</v>
      </c>
      <c r="I109">
        <v>1.1849999999999999E-4</v>
      </c>
    </row>
    <row r="110" spans="1:9" x14ac:dyDescent="0.35">
      <c r="A110">
        <v>8</v>
      </c>
      <c r="B110" s="16" t="s">
        <v>498</v>
      </c>
      <c r="C110">
        <v>1.238E-2</v>
      </c>
      <c r="D110">
        <v>0.84019999999999995</v>
      </c>
      <c r="E110">
        <v>0.76949999999999996</v>
      </c>
      <c r="F110">
        <v>12</v>
      </c>
      <c r="G110">
        <v>9.5289999999999993E-3</v>
      </c>
      <c r="H110">
        <v>1.4789999999999999E-2</v>
      </c>
      <c r="I110">
        <v>1.157E-2</v>
      </c>
    </row>
    <row r="111" spans="1:9" x14ac:dyDescent="0.35">
      <c r="A111">
        <v>9</v>
      </c>
      <c r="B111" s="16" t="s">
        <v>499</v>
      </c>
      <c r="C111">
        <v>2.7850000000000001E-3</v>
      </c>
      <c r="D111">
        <v>1.0269999999999999</v>
      </c>
      <c r="E111">
        <v>1.238</v>
      </c>
      <c r="F111">
        <v>12</v>
      </c>
      <c r="G111">
        <v>3.447E-3</v>
      </c>
      <c r="H111">
        <v>5.3489999999999996E-3</v>
      </c>
      <c r="I111">
        <v>4.1869999999999997E-3</v>
      </c>
    </row>
    <row r="112" spans="1:9" x14ac:dyDescent="0.35">
      <c r="A112">
        <v>10</v>
      </c>
      <c r="B112" s="16" t="s">
        <v>500</v>
      </c>
      <c r="C112">
        <v>6.0360000000000003E-4</v>
      </c>
      <c r="D112">
        <v>1.127</v>
      </c>
      <c r="E112">
        <v>1.0980000000000001</v>
      </c>
      <c r="F112">
        <v>12</v>
      </c>
      <c r="G112">
        <v>6.625E-4</v>
      </c>
      <c r="H112">
        <v>1.0280000000000001E-3</v>
      </c>
      <c r="I112">
        <v>8.0460000000000004E-4</v>
      </c>
    </row>
    <row r="113" spans="1:10" x14ac:dyDescent="0.35">
      <c r="A113">
        <v>11</v>
      </c>
      <c r="B113" s="16" t="s">
        <v>501</v>
      </c>
      <c r="C113">
        <v>2.1010000000000001E-2</v>
      </c>
      <c r="D113">
        <v>1.0860000000000001</v>
      </c>
      <c r="E113">
        <v>1.1759999999999999</v>
      </c>
      <c r="F113">
        <v>12</v>
      </c>
      <c r="G113">
        <v>2.4709999999999999E-2</v>
      </c>
      <c r="H113">
        <v>3.8350000000000002E-2</v>
      </c>
      <c r="I113">
        <v>3.0009999999999998E-2</v>
      </c>
    </row>
    <row r="114" spans="1:10" x14ac:dyDescent="0.35">
      <c r="A114">
        <v>12</v>
      </c>
      <c r="B114" s="16" t="s">
        <v>502</v>
      </c>
      <c r="C114">
        <v>1.217E-3</v>
      </c>
      <c r="D114">
        <v>1.014</v>
      </c>
      <c r="E114">
        <v>1.0680000000000001</v>
      </c>
      <c r="F114">
        <v>12</v>
      </c>
      <c r="G114">
        <v>1.2999999999999999E-3</v>
      </c>
      <c r="H114">
        <v>2.0179999999999998E-3</v>
      </c>
      <c r="I114">
        <v>1.5790000000000001E-3</v>
      </c>
    </row>
    <row r="115" spans="1:10" x14ac:dyDescent="0.35">
      <c r="A115">
        <v>13</v>
      </c>
      <c r="B115" s="16" t="s">
        <v>464</v>
      </c>
      <c r="C115">
        <v>0.41320000000000001</v>
      </c>
      <c r="D115">
        <v>0.48630000000000001</v>
      </c>
      <c r="E115">
        <v>0.433</v>
      </c>
      <c r="F115">
        <v>12</v>
      </c>
      <c r="G115">
        <v>0.1789</v>
      </c>
      <c r="H115" t="s">
        <v>452</v>
      </c>
      <c r="I115">
        <v>0.21729999999999999</v>
      </c>
    </row>
    <row r="116" spans="1:10" x14ac:dyDescent="0.35">
      <c r="A116">
        <v>14</v>
      </c>
      <c r="B116" s="16" t="s">
        <v>466</v>
      </c>
      <c r="C116">
        <v>0.41320000000000001</v>
      </c>
      <c r="D116">
        <v>0.2424</v>
      </c>
      <c r="E116">
        <v>0.2437</v>
      </c>
      <c r="F116">
        <v>12</v>
      </c>
      <c r="G116">
        <v>0.1007</v>
      </c>
      <c r="H116" t="s">
        <v>452</v>
      </c>
      <c r="I116">
        <v>0.13519999999999999</v>
      </c>
    </row>
    <row r="117" spans="1:10" x14ac:dyDescent="0.35">
      <c r="A117">
        <v>15</v>
      </c>
      <c r="B117" s="16" t="s">
        <v>467</v>
      </c>
      <c r="C117">
        <v>0.6784</v>
      </c>
      <c r="D117">
        <v>0.65680000000000005</v>
      </c>
      <c r="E117">
        <v>0.60970000000000002</v>
      </c>
      <c r="F117">
        <v>12</v>
      </c>
      <c r="G117">
        <v>0.41360000000000002</v>
      </c>
      <c r="H117" t="s">
        <v>452</v>
      </c>
      <c r="I117">
        <v>0.41930000000000001</v>
      </c>
    </row>
    <row r="118" spans="1:10" x14ac:dyDescent="0.35">
      <c r="A118">
        <v>16</v>
      </c>
      <c r="B118" s="16" t="s">
        <v>469</v>
      </c>
      <c r="C118">
        <v>0.6784</v>
      </c>
      <c r="D118">
        <v>0.71679999999999999</v>
      </c>
      <c r="E118">
        <v>0.66090000000000004</v>
      </c>
      <c r="F118">
        <v>12</v>
      </c>
      <c r="G118">
        <v>0.44840000000000002</v>
      </c>
      <c r="H118" t="s">
        <v>452</v>
      </c>
      <c r="I118">
        <v>0.439</v>
      </c>
    </row>
    <row r="119" spans="1:10" x14ac:dyDescent="0.35">
      <c r="A119" t="s">
        <v>701</v>
      </c>
      <c r="B119" s="16"/>
    </row>
    <row r="120" spans="1:10" x14ac:dyDescent="0.35">
      <c r="A120" t="s">
        <v>700</v>
      </c>
      <c r="B120" s="16"/>
    </row>
    <row r="121" spans="1:10" x14ac:dyDescent="0.35">
      <c r="A121" t="s">
        <v>470</v>
      </c>
      <c r="B121" s="16"/>
    </row>
    <row r="122" spans="1:10" x14ac:dyDescent="0.35">
      <c r="A122" t="s">
        <v>471</v>
      </c>
      <c r="B122" s="16"/>
    </row>
    <row r="123" spans="1:10" x14ac:dyDescent="0.35">
      <c r="A123" t="s">
        <v>660</v>
      </c>
      <c r="B123" s="16"/>
      <c r="J123">
        <v>6</v>
      </c>
    </row>
    <row r="124" spans="1:10" x14ac:dyDescent="0.35">
      <c r="A124" t="s">
        <v>700</v>
      </c>
      <c r="B124" s="16"/>
    </row>
    <row r="125" spans="1:10" x14ac:dyDescent="0.35">
      <c r="A125" t="s">
        <v>438</v>
      </c>
      <c r="B125" s="16"/>
    </row>
    <row r="126" spans="1:10" x14ac:dyDescent="0.35">
      <c r="A126" t="s">
        <v>439</v>
      </c>
      <c r="B126" s="16"/>
    </row>
    <row r="127" spans="1:10" x14ac:dyDescent="0.35">
      <c r="A127" t="s">
        <v>441</v>
      </c>
      <c r="B127" s="16"/>
    </row>
    <row r="128" spans="1:10" x14ac:dyDescent="0.35">
      <c r="A128" t="s">
        <v>701</v>
      </c>
      <c r="B128" s="16"/>
    </row>
    <row r="129" spans="1:9" x14ac:dyDescent="0.35">
      <c r="A129" t="s">
        <v>442</v>
      </c>
      <c r="B129" s="16" t="s">
        <v>443</v>
      </c>
      <c r="C129" t="s">
        <v>444</v>
      </c>
      <c r="D129" t="s">
        <v>445</v>
      </c>
      <c r="E129" t="s">
        <v>445</v>
      </c>
      <c r="F129" t="s">
        <v>446</v>
      </c>
      <c r="G129" t="s">
        <v>447</v>
      </c>
      <c r="H129" t="s">
        <v>448</v>
      </c>
      <c r="I129" t="s">
        <v>448</v>
      </c>
    </row>
    <row r="130" spans="1:9" x14ac:dyDescent="0.35">
      <c r="A130" t="s">
        <v>450</v>
      </c>
      <c r="B130" s="16" t="s">
        <v>451</v>
      </c>
      <c r="C130" t="s">
        <v>452</v>
      </c>
      <c r="D130" t="s">
        <v>453</v>
      </c>
      <c r="E130" t="s">
        <v>454</v>
      </c>
      <c r="F130" t="s">
        <v>455</v>
      </c>
      <c r="G130" t="s">
        <v>456</v>
      </c>
      <c r="H130" t="s">
        <v>457</v>
      </c>
      <c r="I130" t="s">
        <v>458</v>
      </c>
    </row>
    <row r="131" spans="1:9" x14ac:dyDescent="0.35">
      <c r="A131" t="s">
        <v>702</v>
      </c>
      <c r="B131" s="16" t="s">
        <v>703</v>
      </c>
      <c r="C131" t="s">
        <v>704</v>
      </c>
      <c r="D131" t="s">
        <v>704</v>
      </c>
      <c r="E131" t="s">
        <v>704</v>
      </c>
      <c r="F131" t="s">
        <v>705</v>
      </c>
      <c r="G131" t="s">
        <v>704</v>
      </c>
      <c r="H131" t="s">
        <v>704</v>
      </c>
      <c r="I131" t="s">
        <v>704</v>
      </c>
    </row>
    <row r="132" spans="1:9" x14ac:dyDescent="0.35">
      <c r="A132">
        <v>1</v>
      </c>
      <c r="B132" s="16" t="s">
        <v>515</v>
      </c>
      <c r="C132" s="4">
        <v>1.8920000000000001E-6</v>
      </c>
      <c r="D132">
        <v>1.218</v>
      </c>
      <c r="E132">
        <v>1.9810000000000001</v>
      </c>
      <c r="F132">
        <v>10</v>
      </c>
      <c r="G132" s="4">
        <v>3.7479999999999999E-6</v>
      </c>
      <c r="H132" s="4">
        <v>2.9009999999999998E-5</v>
      </c>
      <c r="I132" s="4">
        <v>9.2590000000000006E-6</v>
      </c>
    </row>
    <row r="133" spans="1:9" x14ac:dyDescent="0.35">
      <c r="A133">
        <v>2</v>
      </c>
      <c r="B133" s="16" t="s">
        <v>516</v>
      </c>
      <c r="C133">
        <v>2.7710000000000001E-4</v>
      </c>
      <c r="D133">
        <v>1.29</v>
      </c>
      <c r="E133">
        <v>1.821</v>
      </c>
      <c r="F133">
        <v>10</v>
      </c>
      <c r="G133">
        <v>5.0449999999999996E-4</v>
      </c>
      <c r="H133">
        <v>3.9050000000000001E-3</v>
      </c>
      <c r="I133">
        <v>1.2459999999999999E-3</v>
      </c>
    </row>
    <row r="134" spans="1:9" x14ac:dyDescent="0.35">
      <c r="A134">
        <v>3</v>
      </c>
      <c r="B134" s="16" t="s">
        <v>517</v>
      </c>
      <c r="C134" s="4">
        <v>5.596E-5</v>
      </c>
      <c r="D134">
        <v>1.73</v>
      </c>
      <c r="E134">
        <v>1.3959999999999999</v>
      </c>
      <c r="F134">
        <v>10</v>
      </c>
      <c r="G134" s="4">
        <v>7.8109999999999996E-5</v>
      </c>
      <c r="H134">
        <v>6.0459999999999995E-4</v>
      </c>
      <c r="I134">
        <v>1.93E-4</v>
      </c>
    </row>
    <row r="135" spans="1:9" x14ac:dyDescent="0.35">
      <c r="A135">
        <v>4</v>
      </c>
      <c r="B135" s="16" t="s">
        <v>518</v>
      </c>
      <c r="C135" s="4">
        <v>1.8920000000000001E-6</v>
      </c>
      <c r="D135">
        <v>1.375</v>
      </c>
      <c r="E135">
        <v>1.9690000000000001</v>
      </c>
      <c r="F135">
        <v>10</v>
      </c>
      <c r="G135" s="4">
        <v>3.726E-6</v>
      </c>
      <c r="H135" s="4">
        <v>2.8839999999999998E-5</v>
      </c>
      <c r="I135" s="4">
        <v>9.2050000000000008E-6</v>
      </c>
    </row>
    <row r="136" spans="1:9" x14ac:dyDescent="0.35">
      <c r="A136">
        <v>5</v>
      </c>
      <c r="B136" s="16" t="s">
        <v>584</v>
      </c>
      <c r="C136">
        <v>1.7080000000000001E-2</v>
      </c>
      <c r="D136">
        <v>1.2110000000000001</v>
      </c>
      <c r="E136">
        <v>1.254</v>
      </c>
      <c r="F136">
        <v>10</v>
      </c>
      <c r="G136">
        <v>2.1409999999999998E-2</v>
      </c>
      <c r="H136">
        <v>0.16569999999999999</v>
      </c>
      <c r="I136">
        <v>5.2900000000000003E-2</v>
      </c>
    </row>
    <row r="137" spans="1:9" x14ac:dyDescent="0.35">
      <c r="A137">
        <v>6</v>
      </c>
      <c r="B137" s="16" t="s">
        <v>585</v>
      </c>
      <c r="C137">
        <v>2.8089999999999999E-3</v>
      </c>
      <c r="D137">
        <v>0.88870000000000005</v>
      </c>
      <c r="E137">
        <v>0.97289999999999999</v>
      </c>
      <c r="F137">
        <v>10</v>
      </c>
      <c r="G137">
        <v>2.7330000000000002E-3</v>
      </c>
      <c r="H137">
        <v>2.1149999999999999E-2</v>
      </c>
      <c r="I137">
        <v>6.7510000000000001E-3</v>
      </c>
    </row>
    <row r="138" spans="1:9" x14ac:dyDescent="0.35">
      <c r="A138">
        <v>7</v>
      </c>
      <c r="B138" s="16" t="s">
        <v>579</v>
      </c>
      <c r="C138">
        <v>7.5020000000000003E-2</v>
      </c>
      <c r="D138">
        <v>0.6109</v>
      </c>
      <c r="E138">
        <v>1.2430000000000001</v>
      </c>
      <c r="F138">
        <v>10</v>
      </c>
      <c r="G138">
        <v>9.3229999999999993E-2</v>
      </c>
      <c r="H138">
        <v>0.72160000000000002</v>
      </c>
      <c r="I138">
        <v>0.2303</v>
      </c>
    </row>
    <row r="139" spans="1:9" x14ac:dyDescent="0.35">
      <c r="A139">
        <v>8</v>
      </c>
      <c r="B139" s="16" t="s">
        <v>580</v>
      </c>
      <c r="C139">
        <v>6.2870000000000001E-3</v>
      </c>
      <c r="D139">
        <v>1.399</v>
      </c>
      <c r="E139">
        <v>1.7849999999999999</v>
      </c>
      <c r="F139">
        <v>10</v>
      </c>
      <c r="G139">
        <v>1.1220000000000001E-2</v>
      </c>
      <c r="H139">
        <v>8.6879999999999999E-2</v>
      </c>
      <c r="I139">
        <v>2.7730000000000001E-2</v>
      </c>
    </row>
    <row r="140" spans="1:9" x14ac:dyDescent="0.35">
      <c r="A140">
        <v>9</v>
      </c>
      <c r="B140" s="16" t="s">
        <v>586</v>
      </c>
      <c r="C140" s="4">
        <v>2.795E-9</v>
      </c>
      <c r="D140">
        <v>1.0860000000000001</v>
      </c>
      <c r="E140">
        <v>1.8149999999999999</v>
      </c>
      <c r="F140">
        <v>10</v>
      </c>
      <c r="G140" s="4">
        <v>5.0730000000000002E-9</v>
      </c>
      <c r="H140" s="4">
        <v>3.927E-8</v>
      </c>
      <c r="I140" s="4">
        <v>1.253E-8</v>
      </c>
    </row>
    <row r="141" spans="1:9" x14ac:dyDescent="0.35">
      <c r="A141">
        <v>10</v>
      </c>
      <c r="B141" s="16" t="s">
        <v>500</v>
      </c>
      <c r="C141" s="4">
        <v>1.2930000000000001E-10</v>
      </c>
      <c r="D141">
        <v>1.36</v>
      </c>
      <c r="E141">
        <v>2.2370000000000001</v>
      </c>
      <c r="F141">
        <v>10</v>
      </c>
      <c r="G141" s="4">
        <v>2.8919999999999999E-10</v>
      </c>
      <c r="H141" s="4">
        <v>2.2389999999999998E-9</v>
      </c>
      <c r="I141" s="4">
        <v>7.1449999999999996E-10</v>
      </c>
    </row>
    <row r="142" spans="1:9" x14ac:dyDescent="0.35">
      <c r="A142">
        <v>11</v>
      </c>
      <c r="B142" s="16" t="s">
        <v>464</v>
      </c>
      <c r="C142">
        <v>0.47349999999999998</v>
      </c>
      <c r="D142">
        <v>0.38300000000000001</v>
      </c>
      <c r="E142">
        <v>0.58209999999999995</v>
      </c>
      <c r="F142">
        <v>10</v>
      </c>
      <c r="G142">
        <v>0.27560000000000001</v>
      </c>
      <c r="H142" t="s">
        <v>452</v>
      </c>
      <c r="I142">
        <v>0.68079999999999996</v>
      </c>
    </row>
    <row r="143" spans="1:9" x14ac:dyDescent="0.35">
      <c r="A143">
        <v>12</v>
      </c>
      <c r="B143" s="16" t="s">
        <v>466</v>
      </c>
      <c r="C143">
        <v>0.1135</v>
      </c>
      <c r="D143">
        <v>0.27100000000000002</v>
      </c>
      <c r="E143">
        <v>0.2742</v>
      </c>
      <c r="F143">
        <v>10</v>
      </c>
      <c r="G143">
        <v>3.1119999999999998E-2</v>
      </c>
      <c r="H143" t="s">
        <v>452</v>
      </c>
      <c r="I143">
        <v>0.19409999999999999</v>
      </c>
    </row>
    <row r="144" spans="1:9" x14ac:dyDescent="0.35">
      <c r="A144">
        <v>13</v>
      </c>
      <c r="B144" s="16" t="s">
        <v>467</v>
      </c>
      <c r="C144">
        <v>0.47349999999999998</v>
      </c>
      <c r="D144">
        <v>0.4209</v>
      </c>
      <c r="E144">
        <v>0.75439999999999996</v>
      </c>
      <c r="F144">
        <v>10</v>
      </c>
      <c r="G144">
        <v>0.35720000000000002</v>
      </c>
      <c r="H144" t="s">
        <v>452</v>
      </c>
      <c r="I144">
        <v>0.73939999999999995</v>
      </c>
    </row>
    <row r="145" spans="1:10" x14ac:dyDescent="0.35">
      <c r="A145">
        <v>14</v>
      </c>
      <c r="B145" s="16" t="s">
        <v>469</v>
      </c>
      <c r="C145">
        <v>0.55030000000000001</v>
      </c>
      <c r="D145">
        <v>0.50719999999999998</v>
      </c>
      <c r="E145">
        <v>0.83750000000000002</v>
      </c>
      <c r="F145">
        <v>10</v>
      </c>
      <c r="G145">
        <v>0.46089999999999998</v>
      </c>
      <c r="H145" t="s">
        <v>452</v>
      </c>
      <c r="I145">
        <v>0.78549999999999998</v>
      </c>
    </row>
    <row r="146" spans="1:10" x14ac:dyDescent="0.35">
      <c r="A146" t="s">
        <v>701</v>
      </c>
      <c r="B146" s="16"/>
    </row>
    <row r="147" spans="1:10" x14ac:dyDescent="0.35">
      <c r="A147" t="s">
        <v>700</v>
      </c>
      <c r="B147" s="16"/>
    </row>
    <row r="148" spans="1:10" x14ac:dyDescent="0.35">
      <c r="A148" t="s">
        <v>470</v>
      </c>
      <c r="B148" s="16"/>
    </row>
    <row r="149" spans="1:10" x14ac:dyDescent="0.35">
      <c r="A149" t="s">
        <v>471</v>
      </c>
      <c r="B149" s="16"/>
    </row>
    <row r="150" spans="1:10" x14ac:dyDescent="0.35">
      <c r="A150" t="s">
        <v>699</v>
      </c>
      <c r="B150" s="16"/>
      <c r="J150">
        <v>7</v>
      </c>
    </row>
    <row r="151" spans="1:10" x14ac:dyDescent="0.35">
      <c r="A151" t="s">
        <v>700</v>
      </c>
      <c r="B151" s="16"/>
    </row>
    <row r="152" spans="1:10" x14ac:dyDescent="0.35">
      <c r="A152" t="s">
        <v>438</v>
      </c>
      <c r="B152" s="16"/>
    </row>
    <row r="153" spans="1:10" x14ac:dyDescent="0.35">
      <c r="A153" t="s">
        <v>439</v>
      </c>
      <c r="B153" s="16"/>
    </row>
    <row r="154" spans="1:10" x14ac:dyDescent="0.35">
      <c r="A154" t="s">
        <v>441</v>
      </c>
      <c r="B154" s="16"/>
    </row>
    <row r="155" spans="1:10" x14ac:dyDescent="0.35">
      <c r="A155" t="s">
        <v>701</v>
      </c>
      <c r="B155" s="16"/>
    </row>
    <row r="156" spans="1:10" x14ac:dyDescent="0.35">
      <c r="A156" t="s">
        <v>442</v>
      </c>
      <c r="B156" s="16" t="s">
        <v>443</v>
      </c>
      <c r="C156" t="s">
        <v>444</v>
      </c>
      <c r="D156" t="s">
        <v>445</v>
      </c>
      <c r="E156" t="s">
        <v>445</v>
      </c>
      <c r="F156" t="s">
        <v>446</v>
      </c>
      <c r="G156" t="s">
        <v>447</v>
      </c>
      <c r="H156" t="s">
        <v>448</v>
      </c>
      <c r="I156" t="s">
        <v>448</v>
      </c>
    </row>
    <row r="157" spans="1:10" x14ac:dyDescent="0.35">
      <c r="A157" t="s">
        <v>450</v>
      </c>
      <c r="B157" s="16" t="s">
        <v>451</v>
      </c>
      <c r="C157" t="s">
        <v>452</v>
      </c>
      <c r="D157" t="s">
        <v>453</v>
      </c>
      <c r="E157" t="s">
        <v>454</v>
      </c>
      <c r="F157" t="s">
        <v>455</v>
      </c>
      <c r="G157" t="s">
        <v>456</v>
      </c>
      <c r="H157" t="s">
        <v>457</v>
      </c>
      <c r="I157" t="s">
        <v>458</v>
      </c>
    </row>
    <row r="158" spans="1:10" x14ac:dyDescent="0.35">
      <c r="A158" t="s">
        <v>702</v>
      </c>
      <c r="B158" s="16" t="s">
        <v>703</v>
      </c>
      <c r="C158" t="s">
        <v>704</v>
      </c>
      <c r="D158" t="s">
        <v>704</v>
      </c>
      <c r="E158" t="s">
        <v>704</v>
      </c>
      <c r="F158" t="s">
        <v>705</v>
      </c>
      <c r="G158" t="s">
        <v>704</v>
      </c>
      <c r="H158" t="s">
        <v>704</v>
      </c>
      <c r="I158" t="s">
        <v>704</v>
      </c>
    </row>
    <row r="159" spans="1:10" x14ac:dyDescent="0.35">
      <c r="A159">
        <v>1</v>
      </c>
      <c r="B159" s="16" t="s">
        <v>706</v>
      </c>
      <c r="C159" s="4">
        <v>9.8740000000000007E-5</v>
      </c>
      <c r="D159">
        <v>1.6719999999999999</v>
      </c>
      <c r="E159">
        <v>3.1459999999999999</v>
      </c>
      <c r="F159">
        <v>10</v>
      </c>
      <c r="G159">
        <v>3.1070000000000002E-4</v>
      </c>
      <c r="H159">
        <v>4.8349999999999999E-3</v>
      </c>
      <c r="I159">
        <v>1.1460000000000001E-3</v>
      </c>
    </row>
    <row r="160" spans="1:10" x14ac:dyDescent="0.35">
      <c r="A160">
        <v>2</v>
      </c>
      <c r="B160" s="16" t="s">
        <v>707</v>
      </c>
      <c r="C160">
        <v>1.31E-3</v>
      </c>
      <c r="D160">
        <v>1.528</v>
      </c>
      <c r="E160">
        <v>2.5369999999999999</v>
      </c>
      <c r="F160">
        <v>10</v>
      </c>
      <c r="G160">
        <v>3.323E-3</v>
      </c>
      <c r="H160">
        <v>5.1720000000000002E-2</v>
      </c>
      <c r="I160">
        <v>1.226E-2</v>
      </c>
    </row>
    <row r="161" spans="1:9" x14ac:dyDescent="0.35">
      <c r="A161">
        <v>3</v>
      </c>
      <c r="B161" s="16" t="s">
        <v>708</v>
      </c>
      <c r="C161" s="4">
        <v>4.5410000000000001E-10</v>
      </c>
      <c r="D161">
        <v>1.6990000000000001</v>
      </c>
      <c r="E161">
        <v>2.4529999999999998</v>
      </c>
      <c r="F161">
        <v>10</v>
      </c>
      <c r="G161" s="4">
        <v>1.1140000000000001E-9</v>
      </c>
      <c r="H161" s="4">
        <v>1.7339999999999998E-8</v>
      </c>
      <c r="I161" s="4">
        <v>4.1100000000000001E-9</v>
      </c>
    </row>
    <row r="162" spans="1:9" x14ac:dyDescent="0.35">
      <c r="A162">
        <v>4</v>
      </c>
      <c r="B162" s="16" t="s">
        <v>709</v>
      </c>
      <c r="C162" s="4">
        <v>4.489E-7</v>
      </c>
      <c r="D162">
        <v>1.3360000000000001</v>
      </c>
      <c r="E162">
        <v>2.109</v>
      </c>
      <c r="F162">
        <v>10</v>
      </c>
      <c r="G162" s="4">
        <v>9.4689999999999999E-7</v>
      </c>
      <c r="H162" s="4">
        <v>1.4739999999999999E-5</v>
      </c>
      <c r="I162" s="4">
        <v>3.4929999999999998E-6</v>
      </c>
    </row>
    <row r="163" spans="1:9" x14ac:dyDescent="0.35">
      <c r="A163">
        <v>5</v>
      </c>
      <c r="B163" s="16" t="s">
        <v>710</v>
      </c>
      <c r="C163" s="4">
        <v>5.596E-5</v>
      </c>
      <c r="D163">
        <v>1.4910000000000001</v>
      </c>
      <c r="E163">
        <v>2.1070000000000002</v>
      </c>
      <c r="F163">
        <v>10</v>
      </c>
      <c r="G163">
        <v>1.1790000000000001E-4</v>
      </c>
      <c r="H163">
        <v>1.835E-3</v>
      </c>
      <c r="I163">
        <v>4.351E-4</v>
      </c>
    </row>
    <row r="164" spans="1:9" x14ac:dyDescent="0.35">
      <c r="A164">
        <v>6</v>
      </c>
      <c r="B164" s="16" t="s">
        <v>711</v>
      </c>
      <c r="C164" s="4">
        <v>4.489E-7</v>
      </c>
      <c r="D164">
        <v>2.2090000000000001</v>
      </c>
      <c r="E164">
        <v>2.6779999999999999</v>
      </c>
      <c r="F164">
        <v>10</v>
      </c>
      <c r="G164" s="4">
        <v>1.2020000000000001E-6</v>
      </c>
      <c r="H164" s="4">
        <v>1.8709999999999999E-5</v>
      </c>
      <c r="I164" s="4">
        <v>4.4360000000000004E-6</v>
      </c>
    </row>
    <row r="165" spans="1:9" x14ac:dyDescent="0.35">
      <c r="A165">
        <v>7</v>
      </c>
      <c r="B165" s="16" t="s">
        <v>712</v>
      </c>
      <c r="C165" s="4">
        <v>1.361E-6</v>
      </c>
      <c r="D165">
        <v>2.2200000000000002</v>
      </c>
      <c r="E165">
        <v>2.605</v>
      </c>
      <c r="F165">
        <v>10</v>
      </c>
      <c r="G165" s="4">
        <v>3.5470000000000001E-6</v>
      </c>
      <c r="H165" s="4">
        <v>5.5210000000000002E-5</v>
      </c>
      <c r="I165" s="4">
        <v>1.309E-5</v>
      </c>
    </row>
    <row r="166" spans="1:9" x14ac:dyDescent="0.35">
      <c r="A166">
        <v>8</v>
      </c>
      <c r="B166" s="16" t="s">
        <v>713</v>
      </c>
      <c r="C166" s="4">
        <v>4.489E-7</v>
      </c>
      <c r="D166">
        <v>1.6180000000000001</v>
      </c>
      <c r="E166">
        <v>1.292</v>
      </c>
      <c r="F166">
        <v>10</v>
      </c>
      <c r="G166" s="4">
        <v>5.8019999999999997E-7</v>
      </c>
      <c r="H166" s="4">
        <v>9.0299999999999999E-6</v>
      </c>
      <c r="I166" s="4">
        <v>2.1409999999999999E-6</v>
      </c>
    </row>
    <row r="167" spans="1:9" x14ac:dyDescent="0.35">
      <c r="A167">
        <v>9</v>
      </c>
      <c r="B167" s="16" t="s">
        <v>714</v>
      </c>
      <c r="C167" s="4">
        <v>5.2079999999999999E-6</v>
      </c>
      <c r="D167">
        <v>1.204</v>
      </c>
      <c r="E167">
        <v>1.6379999999999999</v>
      </c>
      <c r="F167">
        <v>10</v>
      </c>
      <c r="G167" s="4">
        <v>8.5329999999999994E-6</v>
      </c>
      <c r="H167">
        <v>1.328E-4</v>
      </c>
      <c r="I167" s="4">
        <v>3.1479999999999997E-5</v>
      </c>
    </row>
    <row r="168" spans="1:9" x14ac:dyDescent="0.35">
      <c r="A168">
        <v>10</v>
      </c>
      <c r="B168" s="16" t="s">
        <v>715</v>
      </c>
      <c r="C168" s="4">
        <v>9.8740000000000007E-5</v>
      </c>
      <c r="D168">
        <v>1.706</v>
      </c>
      <c r="E168">
        <v>2.4900000000000002</v>
      </c>
      <c r="F168">
        <v>10</v>
      </c>
      <c r="G168">
        <v>2.4580000000000001E-4</v>
      </c>
      <c r="H168">
        <v>3.826E-3</v>
      </c>
      <c r="I168">
        <v>9.0689999999999998E-4</v>
      </c>
    </row>
    <row r="169" spans="1:9" x14ac:dyDescent="0.35">
      <c r="A169">
        <v>11</v>
      </c>
      <c r="B169" s="16" t="s">
        <v>716</v>
      </c>
      <c r="C169" s="4">
        <v>1.579E-5</v>
      </c>
      <c r="D169">
        <v>1.4430000000000001</v>
      </c>
      <c r="E169">
        <v>1.153</v>
      </c>
      <c r="F169">
        <v>10</v>
      </c>
      <c r="G169" s="4">
        <v>1.8199999999999999E-5</v>
      </c>
      <c r="H169">
        <v>2.832E-4</v>
      </c>
      <c r="I169" s="4">
        <v>6.7130000000000003E-5</v>
      </c>
    </row>
    <row r="170" spans="1:9" x14ac:dyDescent="0.35">
      <c r="A170">
        <v>12</v>
      </c>
      <c r="B170" s="16" t="s">
        <v>717</v>
      </c>
      <c r="C170">
        <v>4.7059999999999998E-2</v>
      </c>
      <c r="D170">
        <v>1.4430000000000001</v>
      </c>
      <c r="E170">
        <v>1.28</v>
      </c>
      <c r="F170">
        <v>10</v>
      </c>
      <c r="G170">
        <v>6.0220000000000003E-2</v>
      </c>
      <c r="H170">
        <v>0.93730000000000002</v>
      </c>
      <c r="I170">
        <v>0.22220000000000001</v>
      </c>
    </row>
    <row r="171" spans="1:9" x14ac:dyDescent="0.35">
      <c r="A171">
        <v>13</v>
      </c>
      <c r="B171" s="16" t="s">
        <v>464</v>
      </c>
      <c r="C171">
        <v>0.19170000000000001</v>
      </c>
      <c r="D171">
        <v>0.96250000000000002</v>
      </c>
      <c r="E171">
        <v>1.079</v>
      </c>
      <c r="F171">
        <v>10</v>
      </c>
      <c r="G171">
        <v>0.20680000000000001</v>
      </c>
      <c r="H171" t="s">
        <v>452</v>
      </c>
      <c r="I171">
        <v>0.76300000000000001</v>
      </c>
    </row>
    <row r="172" spans="1:9" x14ac:dyDescent="0.35">
      <c r="A172">
        <v>14</v>
      </c>
      <c r="B172" s="16" t="s">
        <v>466</v>
      </c>
      <c r="C172">
        <v>0.28949999999999998</v>
      </c>
      <c r="D172">
        <v>0.46579999999999999</v>
      </c>
      <c r="E172">
        <v>0.44409999999999999</v>
      </c>
      <c r="F172">
        <v>10</v>
      </c>
      <c r="G172">
        <v>0.12859999999999999</v>
      </c>
      <c r="H172" t="s">
        <v>452</v>
      </c>
      <c r="I172">
        <v>0.66679999999999995</v>
      </c>
    </row>
    <row r="173" spans="1:9" x14ac:dyDescent="0.35">
      <c r="A173">
        <v>15</v>
      </c>
      <c r="B173" s="16" t="s">
        <v>467</v>
      </c>
      <c r="C173">
        <v>0.19170000000000001</v>
      </c>
      <c r="D173">
        <v>1.018</v>
      </c>
      <c r="E173">
        <v>1.177</v>
      </c>
      <c r="F173">
        <v>10</v>
      </c>
      <c r="G173">
        <v>0.22570000000000001</v>
      </c>
      <c r="H173" t="s">
        <v>452</v>
      </c>
      <c r="I173">
        <v>0.78029999999999999</v>
      </c>
    </row>
    <row r="174" spans="1:9" x14ac:dyDescent="0.35">
      <c r="A174">
        <v>16</v>
      </c>
      <c r="B174" s="16" t="s">
        <v>469</v>
      </c>
      <c r="C174">
        <v>0.39439999999999997</v>
      </c>
      <c r="D174">
        <v>1.117</v>
      </c>
      <c r="E174">
        <v>1.135</v>
      </c>
      <c r="F174">
        <v>10</v>
      </c>
      <c r="G174">
        <v>0.44769999999999999</v>
      </c>
      <c r="H174" t="s">
        <v>452</v>
      </c>
      <c r="I174">
        <v>0.87480000000000002</v>
      </c>
    </row>
    <row r="175" spans="1:9" x14ac:dyDescent="0.35">
      <c r="A175" t="s">
        <v>701</v>
      </c>
      <c r="B175" s="16"/>
    </row>
    <row r="176" spans="1:9" x14ac:dyDescent="0.35">
      <c r="A176" t="s">
        <v>700</v>
      </c>
      <c r="B176" s="16"/>
    </row>
    <row r="177" spans="1:10" x14ac:dyDescent="0.35">
      <c r="A177" t="s">
        <v>470</v>
      </c>
      <c r="B177" s="16"/>
    </row>
    <row r="178" spans="1:10" x14ac:dyDescent="0.35">
      <c r="A178" t="s">
        <v>471</v>
      </c>
      <c r="B178" s="16"/>
    </row>
    <row r="179" spans="1:10" x14ac:dyDescent="0.35">
      <c r="A179" t="s">
        <v>931</v>
      </c>
      <c r="B179" s="16"/>
      <c r="J179">
        <v>8</v>
      </c>
    </row>
    <row r="180" spans="1:10" x14ac:dyDescent="0.35">
      <c r="A180" t="s">
        <v>700</v>
      </c>
      <c r="B180" s="16"/>
    </row>
    <row r="181" spans="1:10" x14ac:dyDescent="0.35">
      <c r="A181" t="s">
        <v>438</v>
      </c>
      <c r="B181" s="16"/>
    </row>
    <row r="182" spans="1:10" x14ac:dyDescent="0.35">
      <c r="A182" t="s">
        <v>439</v>
      </c>
      <c r="B182" s="16"/>
    </row>
    <row r="183" spans="1:10" x14ac:dyDescent="0.35">
      <c r="A183" t="s">
        <v>441</v>
      </c>
      <c r="B183" s="16"/>
    </row>
    <row r="184" spans="1:10" x14ac:dyDescent="0.35">
      <c r="A184" t="s">
        <v>701</v>
      </c>
      <c r="B184" s="16"/>
    </row>
    <row r="185" spans="1:10" x14ac:dyDescent="0.35">
      <c r="A185" t="s">
        <v>442</v>
      </c>
      <c r="B185" s="16" t="s">
        <v>443</v>
      </c>
      <c r="C185" t="s">
        <v>444</v>
      </c>
      <c r="D185" t="s">
        <v>445</v>
      </c>
      <c r="E185" t="s">
        <v>445</v>
      </c>
      <c r="F185" t="s">
        <v>446</v>
      </c>
      <c r="G185" t="s">
        <v>447</v>
      </c>
      <c r="H185" t="s">
        <v>448</v>
      </c>
      <c r="I185" t="s">
        <v>448</v>
      </c>
    </row>
    <row r="186" spans="1:10" x14ac:dyDescent="0.35">
      <c r="A186" t="s">
        <v>450</v>
      </c>
      <c r="B186" s="16" t="s">
        <v>451</v>
      </c>
      <c r="C186" t="s">
        <v>452</v>
      </c>
      <c r="D186" t="s">
        <v>453</v>
      </c>
      <c r="E186" t="s">
        <v>454</v>
      </c>
      <c r="F186" t="s">
        <v>455</v>
      </c>
      <c r="G186" t="s">
        <v>456</v>
      </c>
      <c r="H186" t="s">
        <v>457</v>
      </c>
      <c r="I186" t="s">
        <v>458</v>
      </c>
    </row>
    <row r="187" spans="1:10" x14ac:dyDescent="0.35">
      <c r="A187" t="s">
        <v>702</v>
      </c>
      <c r="B187" s="16" t="s">
        <v>703</v>
      </c>
      <c r="C187" t="s">
        <v>704</v>
      </c>
      <c r="D187" t="s">
        <v>704</v>
      </c>
      <c r="E187" t="s">
        <v>704</v>
      </c>
      <c r="F187" t="s">
        <v>705</v>
      </c>
      <c r="G187" t="s">
        <v>704</v>
      </c>
      <c r="H187" t="s">
        <v>704</v>
      </c>
      <c r="I187" t="s">
        <v>704</v>
      </c>
    </row>
    <row r="188" spans="1:10" x14ac:dyDescent="0.35">
      <c r="A188">
        <v>1</v>
      </c>
      <c r="B188" s="16">
        <v>1</v>
      </c>
      <c r="C188">
        <v>0.72030000000000005</v>
      </c>
      <c r="D188">
        <v>2.597</v>
      </c>
      <c r="E188">
        <v>2.3050000000000002</v>
      </c>
      <c r="F188">
        <v>10</v>
      </c>
      <c r="G188">
        <v>1.66</v>
      </c>
      <c r="H188">
        <v>0.33289999999999997</v>
      </c>
      <c r="I188">
        <v>0.3014</v>
      </c>
    </row>
    <row r="189" spans="1:10" x14ac:dyDescent="0.35">
      <c r="A189">
        <v>2</v>
      </c>
      <c r="B189" s="16">
        <v>2</v>
      </c>
      <c r="C189" s="4">
        <v>1.6019999999999999E-5</v>
      </c>
      <c r="D189">
        <v>1.9039999999999999</v>
      </c>
      <c r="E189">
        <v>1.655</v>
      </c>
      <c r="F189">
        <v>10</v>
      </c>
      <c r="G189" s="4">
        <v>2.6509999999999999E-5</v>
      </c>
      <c r="H189" s="4">
        <v>5.3149999999999999E-6</v>
      </c>
      <c r="I189" s="4">
        <v>4.8119999999999998E-6</v>
      </c>
    </row>
    <row r="190" spans="1:10" x14ac:dyDescent="0.35">
      <c r="A190">
        <v>3</v>
      </c>
      <c r="B190" s="16">
        <v>3</v>
      </c>
      <c r="C190" s="4">
        <v>1.2729999999999999E-6</v>
      </c>
      <c r="D190">
        <v>2.3439999999999999</v>
      </c>
      <c r="E190">
        <v>3.49</v>
      </c>
      <c r="F190">
        <v>10</v>
      </c>
      <c r="G190" s="4">
        <v>4.4429999999999996E-6</v>
      </c>
      <c r="H190" s="4">
        <v>8.907E-7</v>
      </c>
      <c r="I190" s="4">
        <v>8.0650000000000003E-7</v>
      </c>
    </row>
    <row r="191" spans="1:10" x14ac:dyDescent="0.35">
      <c r="A191">
        <v>4</v>
      </c>
      <c r="B191" s="16">
        <v>4</v>
      </c>
      <c r="C191" s="4">
        <v>5.5589999999999996E-6</v>
      </c>
      <c r="D191">
        <v>2.9609999999999999</v>
      </c>
      <c r="E191">
        <v>2.7189999999999999</v>
      </c>
      <c r="F191">
        <v>10</v>
      </c>
      <c r="G191" s="4">
        <v>1.5109999999999999E-5</v>
      </c>
      <c r="H191" s="4">
        <v>3.0299999999999998E-6</v>
      </c>
      <c r="I191" s="4">
        <v>2.7439999999999999E-6</v>
      </c>
    </row>
    <row r="192" spans="1:10" x14ac:dyDescent="0.35">
      <c r="A192">
        <v>5</v>
      </c>
      <c r="B192" s="16">
        <v>5</v>
      </c>
      <c r="C192">
        <v>0.49880000000000002</v>
      </c>
      <c r="D192">
        <v>2.3410000000000002</v>
      </c>
      <c r="E192">
        <v>1.39</v>
      </c>
      <c r="F192">
        <v>10</v>
      </c>
      <c r="G192">
        <v>0.69359999999999999</v>
      </c>
      <c r="H192">
        <v>0.1391</v>
      </c>
      <c r="I192">
        <v>0.12590000000000001</v>
      </c>
    </row>
    <row r="193" spans="1:9" x14ac:dyDescent="0.35">
      <c r="A193">
        <v>6</v>
      </c>
      <c r="B193" s="16">
        <v>6</v>
      </c>
      <c r="C193">
        <v>1.651E-2</v>
      </c>
      <c r="D193">
        <v>1.39</v>
      </c>
      <c r="E193">
        <v>1.355</v>
      </c>
      <c r="F193">
        <v>10</v>
      </c>
      <c r="G193">
        <v>2.2370000000000001E-2</v>
      </c>
      <c r="H193">
        <v>4.4840000000000001E-3</v>
      </c>
      <c r="I193">
        <v>4.0600000000000002E-3</v>
      </c>
    </row>
    <row r="194" spans="1:9" x14ac:dyDescent="0.35">
      <c r="A194">
        <v>7</v>
      </c>
      <c r="B194" s="16">
        <v>7</v>
      </c>
      <c r="C194" s="4">
        <v>2.181E-7</v>
      </c>
      <c r="D194">
        <v>2.09</v>
      </c>
      <c r="E194">
        <v>3.3450000000000002</v>
      </c>
      <c r="F194">
        <v>10</v>
      </c>
      <c r="G194" s="4">
        <v>7.2939999999999995E-7</v>
      </c>
      <c r="H194" s="4">
        <v>1.462E-7</v>
      </c>
      <c r="I194" s="4">
        <v>1.3239999999999999E-7</v>
      </c>
    </row>
    <row r="195" spans="1:9" x14ac:dyDescent="0.35">
      <c r="A195">
        <v>8</v>
      </c>
      <c r="B195" s="16">
        <v>8</v>
      </c>
      <c r="C195">
        <v>0.49880000000000002</v>
      </c>
      <c r="D195">
        <v>3.8250000000000002</v>
      </c>
      <c r="E195">
        <v>1.7370000000000001</v>
      </c>
      <c r="F195">
        <v>10</v>
      </c>
      <c r="G195">
        <v>0.86650000000000005</v>
      </c>
      <c r="H195">
        <v>0.17369999999999999</v>
      </c>
      <c r="I195">
        <v>0.1573</v>
      </c>
    </row>
    <row r="196" spans="1:9" x14ac:dyDescent="0.35">
      <c r="A196">
        <v>9</v>
      </c>
      <c r="B196" s="16">
        <v>9</v>
      </c>
      <c r="C196">
        <v>0.1321</v>
      </c>
      <c r="D196">
        <v>4.6230000000000002</v>
      </c>
      <c r="E196">
        <v>1.7190000000000001</v>
      </c>
      <c r="F196">
        <v>10</v>
      </c>
      <c r="G196">
        <v>0.22700000000000001</v>
      </c>
      <c r="H196">
        <v>4.5519999999999998E-2</v>
      </c>
      <c r="I196">
        <v>4.122E-2</v>
      </c>
    </row>
    <row r="197" spans="1:9" x14ac:dyDescent="0.35">
      <c r="A197">
        <v>10</v>
      </c>
      <c r="B197" s="16">
        <v>10</v>
      </c>
      <c r="C197" s="4">
        <v>1.2729999999999999E-6</v>
      </c>
      <c r="D197">
        <v>3.08</v>
      </c>
      <c r="E197">
        <v>3.0710000000000002</v>
      </c>
      <c r="F197">
        <v>10</v>
      </c>
      <c r="G197" s="4">
        <v>3.9090000000000002E-6</v>
      </c>
      <c r="H197" s="4">
        <v>7.8370000000000001E-7</v>
      </c>
      <c r="I197" s="4">
        <v>7.0959999999999995E-7</v>
      </c>
    </row>
    <row r="198" spans="1:9" x14ac:dyDescent="0.35">
      <c r="A198">
        <v>11</v>
      </c>
      <c r="B198" s="16">
        <v>11</v>
      </c>
      <c r="C198">
        <v>2.366E-2</v>
      </c>
      <c r="D198">
        <v>4.1130000000000004</v>
      </c>
      <c r="E198">
        <v>1.82</v>
      </c>
      <c r="F198">
        <v>10</v>
      </c>
      <c r="G198">
        <v>4.3060000000000001E-2</v>
      </c>
      <c r="H198">
        <v>8.6339999999999993E-3</v>
      </c>
      <c r="I198">
        <v>7.8169999999999993E-3</v>
      </c>
    </row>
    <row r="199" spans="1:9" x14ac:dyDescent="0.35">
      <c r="A199">
        <v>12</v>
      </c>
      <c r="B199" s="16">
        <v>12</v>
      </c>
      <c r="C199">
        <v>9.1699999999999993E-3</v>
      </c>
      <c r="D199">
        <v>2.7970000000000002</v>
      </c>
      <c r="E199">
        <v>2.3039999999999998</v>
      </c>
      <c r="F199">
        <v>10</v>
      </c>
      <c r="G199">
        <v>2.1129999999999999E-2</v>
      </c>
      <c r="H199">
        <v>4.2360000000000002E-3</v>
      </c>
      <c r="I199">
        <v>3.836E-3</v>
      </c>
    </row>
    <row r="200" spans="1:9" x14ac:dyDescent="0.35">
      <c r="A200">
        <v>13</v>
      </c>
      <c r="B200" s="16">
        <v>13</v>
      </c>
      <c r="C200">
        <v>7.1469999999999997E-3</v>
      </c>
      <c r="D200">
        <v>2.758</v>
      </c>
      <c r="E200">
        <v>2.0630000000000002</v>
      </c>
      <c r="F200">
        <v>10</v>
      </c>
      <c r="G200">
        <v>1.474E-2</v>
      </c>
      <c r="H200">
        <v>2.9559999999999999E-3</v>
      </c>
      <c r="I200">
        <v>2.6770000000000001E-3</v>
      </c>
    </row>
    <row r="201" spans="1:9" x14ac:dyDescent="0.35">
      <c r="A201">
        <v>14</v>
      </c>
      <c r="B201" s="16">
        <v>14</v>
      </c>
      <c r="C201">
        <v>1.328E-4</v>
      </c>
      <c r="D201">
        <v>3.8149999999999999</v>
      </c>
      <c r="E201">
        <v>3.2789999999999999</v>
      </c>
      <c r="F201">
        <v>10</v>
      </c>
      <c r="G201">
        <v>4.3550000000000001E-4</v>
      </c>
      <c r="H201" s="4">
        <v>8.7319999999999997E-5</v>
      </c>
      <c r="I201" s="4">
        <v>7.9060000000000005E-5</v>
      </c>
    </row>
    <row r="202" spans="1:9" x14ac:dyDescent="0.35">
      <c r="A202">
        <v>15</v>
      </c>
      <c r="B202" s="16">
        <v>15</v>
      </c>
      <c r="C202">
        <v>0.1249</v>
      </c>
      <c r="D202">
        <v>3.843</v>
      </c>
      <c r="E202">
        <v>2.66</v>
      </c>
      <c r="F202">
        <v>10</v>
      </c>
      <c r="G202">
        <v>0.33239999999999997</v>
      </c>
      <c r="H202">
        <v>6.6640000000000005E-2</v>
      </c>
      <c r="I202">
        <v>6.0339999999999998E-2</v>
      </c>
    </row>
    <row r="203" spans="1:9" x14ac:dyDescent="0.35">
      <c r="A203">
        <v>16</v>
      </c>
      <c r="B203" s="16">
        <v>16</v>
      </c>
      <c r="C203">
        <v>3.0529999999999999E-4</v>
      </c>
      <c r="D203">
        <v>2.79</v>
      </c>
      <c r="E203">
        <v>2.0569999999999999</v>
      </c>
      <c r="F203">
        <v>10</v>
      </c>
      <c r="G203">
        <v>6.2810000000000003E-4</v>
      </c>
      <c r="H203">
        <v>1.259E-4</v>
      </c>
      <c r="I203">
        <v>1.1400000000000001E-4</v>
      </c>
    </row>
    <row r="204" spans="1:9" x14ac:dyDescent="0.35">
      <c r="A204">
        <v>17</v>
      </c>
      <c r="B204" s="16">
        <v>17</v>
      </c>
      <c r="C204">
        <v>2.9190000000000001E-2</v>
      </c>
      <c r="D204">
        <v>2.4710000000000001</v>
      </c>
      <c r="E204">
        <v>1.7450000000000001</v>
      </c>
      <c r="F204">
        <v>10</v>
      </c>
      <c r="G204">
        <v>5.092E-2</v>
      </c>
      <c r="H204">
        <v>1.021E-2</v>
      </c>
      <c r="I204">
        <v>9.2429999999999995E-3</v>
      </c>
    </row>
    <row r="205" spans="1:9" x14ac:dyDescent="0.35">
      <c r="A205">
        <v>18</v>
      </c>
      <c r="B205" s="16">
        <v>18</v>
      </c>
      <c r="C205" s="4">
        <v>1.4279999999999999E-6</v>
      </c>
      <c r="D205">
        <v>2.7269999999999999</v>
      </c>
      <c r="E205">
        <v>3.1549999999999998</v>
      </c>
      <c r="F205">
        <v>10</v>
      </c>
      <c r="G205" s="4">
        <v>4.5050000000000001E-6</v>
      </c>
      <c r="H205" s="4">
        <v>9.0319999999999999E-7</v>
      </c>
      <c r="I205" s="4">
        <v>8.1780000000000003E-7</v>
      </c>
    </row>
    <row r="206" spans="1:9" x14ac:dyDescent="0.35">
      <c r="A206">
        <v>19</v>
      </c>
      <c r="B206" s="16">
        <v>19</v>
      </c>
      <c r="C206">
        <v>0.49880000000000002</v>
      </c>
      <c r="D206">
        <v>2.032</v>
      </c>
      <c r="E206">
        <v>1.91</v>
      </c>
      <c r="F206">
        <v>10</v>
      </c>
      <c r="G206">
        <v>0.9526</v>
      </c>
      <c r="H206">
        <v>0.191</v>
      </c>
      <c r="I206">
        <v>0.1729</v>
      </c>
    </row>
    <row r="207" spans="1:9" x14ac:dyDescent="0.35">
      <c r="A207">
        <v>20</v>
      </c>
      <c r="B207" s="16">
        <v>20</v>
      </c>
      <c r="C207">
        <v>4.675E-2</v>
      </c>
      <c r="D207">
        <v>2.2080000000000002</v>
      </c>
      <c r="E207">
        <v>2.1829999999999998</v>
      </c>
      <c r="F207">
        <v>10</v>
      </c>
      <c r="G207">
        <v>0.1021</v>
      </c>
      <c r="H207">
        <v>2.0459999999999999E-2</v>
      </c>
      <c r="I207">
        <v>1.8530000000000001E-2</v>
      </c>
    </row>
    <row r="208" spans="1:9" x14ac:dyDescent="0.35">
      <c r="A208">
        <v>21</v>
      </c>
      <c r="B208" s="16" t="s">
        <v>464</v>
      </c>
      <c r="C208">
        <v>0.38590000000000002</v>
      </c>
      <c r="D208">
        <v>1.4019999999999999</v>
      </c>
      <c r="E208">
        <v>1.349</v>
      </c>
      <c r="F208">
        <v>10</v>
      </c>
      <c r="G208">
        <v>0.52080000000000004</v>
      </c>
      <c r="H208" t="s">
        <v>452</v>
      </c>
      <c r="I208">
        <v>9.4539999999999999E-2</v>
      </c>
    </row>
    <row r="209" spans="1:10" x14ac:dyDescent="0.35">
      <c r="A209">
        <v>22</v>
      </c>
      <c r="B209" s="16" t="s">
        <v>466</v>
      </c>
      <c r="C209">
        <v>0.23280000000000001</v>
      </c>
      <c r="D209">
        <v>1.117</v>
      </c>
      <c r="E209">
        <v>1.23</v>
      </c>
      <c r="F209">
        <v>10</v>
      </c>
      <c r="G209">
        <v>0.28639999999999999</v>
      </c>
      <c r="H209" t="s">
        <v>452</v>
      </c>
      <c r="I209">
        <v>5.4300000000000001E-2</v>
      </c>
    </row>
    <row r="210" spans="1:10" x14ac:dyDescent="0.35">
      <c r="A210">
        <v>23</v>
      </c>
      <c r="B210" s="16" t="s">
        <v>467</v>
      </c>
      <c r="C210">
        <v>0.72030000000000005</v>
      </c>
      <c r="D210">
        <v>2.597</v>
      </c>
      <c r="E210">
        <v>2.3050000000000002</v>
      </c>
      <c r="F210">
        <v>10</v>
      </c>
      <c r="G210">
        <v>1.66</v>
      </c>
      <c r="H210" t="s">
        <v>452</v>
      </c>
      <c r="I210">
        <v>0.5</v>
      </c>
    </row>
    <row r="211" spans="1:10" x14ac:dyDescent="0.35">
      <c r="A211">
        <v>24</v>
      </c>
      <c r="B211" s="16" t="s">
        <v>469</v>
      </c>
      <c r="C211">
        <v>0.72030000000000005</v>
      </c>
      <c r="D211">
        <v>2.597</v>
      </c>
      <c r="E211">
        <v>2.3050000000000002</v>
      </c>
      <c r="F211">
        <v>10</v>
      </c>
      <c r="G211">
        <v>1.66</v>
      </c>
      <c r="H211" t="s">
        <v>452</v>
      </c>
      <c r="I211">
        <v>0.5</v>
      </c>
    </row>
    <row r="212" spans="1:10" x14ac:dyDescent="0.35">
      <c r="A212" t="s">
        <v>701</v>
      </c>
      <c r="B212" s="16"/>
    </row>
    <row r="213" spans="1:10" x14ac:dyDescent="0.35">
      <c r="A213" t="s">
        <v>700</v>
      </c>
      <c r="B213" s="16"/>
    </row>
    <row r="214" spans="1:10" x14ac:dyDescent="0.35">
      <c r="A214" t="s">
        <v>470</v>
      </c>
      <c r="B214" s="16"/>
    </row>
    <row r="215" spans="1:10" x14ac:dyDescent="0.35">
      <c r="A215" t="s">
        <v>471</v>
      </c>
      <c r="B215" s="16"/>
    </row>
    <row r="216" spans="1:10" x14ac:dyDescent="0.35">
      <c r="A216" t="s">
        <v>932</v>
      </c>
      <c r="B216" s="16"/>
      <c r="J216">
        <v>9</v>
      </c>
    </row>
    <row r="217" spans="1:10" x14ac:dyDescent="0.35">
      <c r="A217" t="s">
        <v>700</v>
      </c>
      <c r="B217" s="16"/>
    </row>
    <row r="218" spans="1:10" x14ac:dyDescent="0.35">
      <c r="A218" t="s">
        <v>438</v>
      </c>
      <c r="B218" s="16"/>
    </row>
    <row r="219" spans="1:10" x14ac:dyDescent="0.35">
      <c r="A219" t="s">
        <v>439</v>
      </c>
      <c r="B219" s="16"/>
    </row>
    <row r="220" spans="1:10" x14ac:dyDescent="0.35">
      <c r="A220" t="s">
        <v>441</v>
      </c>
      <c r="B220" s="16"/>
    </row>
    <row r="221" spans="1:10" x14ac:dyDescent="0.35">
      <c r="A221" t="s">
        <v>701</v>
      </c>
      <c r="B221" s="16"/>
    </row>
    <row r="222" spans="1:10" x14ac:dyDescent="0.35">
      <c r="A222" t="s">
        <v>442</v>
      </c>
      <c r="B222" s="16" t="s">
        <v>443</v>
      </c>
      <c r="C222" t="s">
        <v>444</v>
      </c>
      <c r="D222" t="s">
        <v>445</v>
      </c>
      <c r="E222" t="s">
        <v>445</v>
      </c>
      <c r="F222" t="s">
        <v>446</v>
      </c>
      <c r="G222" t="s">
        <v>447</v>
      </c>
      <c r="H222" t="s">
        <v>448</v>
      </c>
      <c r="I222" t="s">
        <v>448</v>
      </c>
    </row>
    <row r="223" spans="1:10" x14ac:dyDescent="0.35">
      <c r="A223" t="s">
        <v>450</v>
      </c>
      <c r="B223" s="16" t="s">
        <v>451</v>
      </c>
      <c r="C223" t="s">
        <v>452</v>
      </c>
      <c r="D223" t="s">
        <v>453</v>
      </c>
      <c r="E223" t="s">
        <v>454</v>
      </c>
      <c r="F223" t="s">
        <v>455</v>
      </c>
      <c r="G223" t="s">
        <v>456</v>
      </c>
      <c r="H223" t="s">
        <v>457</v>
      </c>
      <c r="I223" t="s">
        <v>458</v>
      </c>
    </row>
    <row r="224" spans="1:10" x14ac:dyDescent="0.35">
      <c r="A224" t="s">
        <v>702</v>
      </c>
      <c r="B224" s="16" t="s">
        <v>703</v>
      </c>
      <c r="C224" t="s">
        <v>704</v>
      </c>
      <c r="D224" t="s">
        <v>704</v>
      </c>
      <c r="E224" t="s">
        <v>704</v>
      </c>
      <c r="F224" t="s">
        <v>705</v>
      </c>
      <c r="G224" t="s">
        <v>704</v>
      </c>
      <c r="H224" t="s">
        <v>704</v>
      </c>
      <c r="I224" t="s">
        <v>704</v>
      </c>
    </row>
    <row r="225" spans="1:9" x14ac:dyDescent="0.35">
      <c r="A225">
        <v>1</v>
      </c>
      <c r="B225" s="16" t="s">
        <v>603</v>
      </c>
      <c r="C225">
        <v>7.2039999999999995E-4</v>
      </c>
      <c r="D225">
        <v>2.625</v>
      </c>
      <c r="E225">
        <v>2.625</v>
      </c>
      <c r="F225">
        <v>14</v>
      </c>
      <c r="G225">
        <v>1.8910000000000001E-3</v>
      </c>
      <c r="H225">
        <v>1.199E-4</v>
      </c>
      <c r="I225">
        <v>1.1730000000000001E-4</v>
      </c>
    </row>
    <row r="226" spans="1:9" x14ac:dyDescent="0.35">
      <c r="A226">
        <v>2</v>
      </c>
      <c r="B226" s="16" t="s">
        <v>606</v>
      </c>
      <c r="C226">
        <v>1.345E-2</v>
      </c>
      <c r="D226">
        <v>2.6379999999999999</v>
      </c>
      <c r="E226">
        <v>2.6379999999999999</v>
      </c>
      <c r="F226">
        <v>14</v>
      </c>
      <c r="G226">
        <v>3.5490000000000001E-2</v>
      </c>
      <c r="H226">
        <v>2.2499999999999998E-3</v>
      </c>
      <c r="I226">
        <v>2.2009999999999998E-3</v>
      </c>
    </row>
    <row r="227" spans="1:9" x14ac:dyDescent="0.35">
      <c r="A227">
        <v>3</v>
      </c>
      <c r="B227" s="16" t="s">
        <v>614</v>
      </c>
      <c r="C227">
        <v>9.8429999999999993E-3</v>
      </c>
      <c r="D227">
        <v>2.895</v>
      </c>
      <c r="E227">
        <v>2.895</v>
      </c>
      <c r="F227">
        <v>14</v>
      </c>
      <c r="G227">
        <v>2.8490000000000001E-2</v>
      </c>
      <c r="H227">
        <v>1.8060000000000001E-3</v>
      </c>
      <c r="I227">
        <v>1.7669999999999999E-3</v>
      </c>
    </row>
    <row r="228" spans="1:9" x14ac:dyDescent="0.35">
      <c r="A228">
        <v>4</v>
      </c>
      <c r="B228" s="16" t="s">
        <v>639</v>
      </c>
      <c r="C228" s="4">
        <v>7.3750000000000003E-7</v>
      </c>
      <c r="D228">
        <v>3.956</v>
      </c>
      <c r="E228">
        <v>3.956</v>
      </c>
      <c r="F228">
        <v>14</v>
      </c>
      <c r="G228" s="4">
        <v>2.9179999999999998E-6</v>
      </c>
      <c r="H228" s="4">
        <v>1.85E-7</v>
      </c>
      <c r="I228" s="4">
        <v>1.8090000000000001E-7</v>
      </c>
    </row>
    <row r="229" spans="1:9" x14ac:dyDescent="0.35">
      <c r="A229">
        <v>5</v>
      </c>
      <c r="B229" s="16" t="s">
        <v>640</v>
      </c>
      <c r="C229">
        <v>9.0929999999999997E-2</v>
      </c>
      <c r="D229">
        <v>2.2149999999999999</v>
      </c>
      <c r="E229">
        <v>2.2149999999999999</v>
      </c>
      <c r="F229">
        <v>14</v>
      </c>
      <c r="G229">
        <v>0.2014</v>
      </c>
      <c r="H229">
        <v>1.277E-2</v>
      </c>
      <c r="I229">
        <v>1.2489999999999999E-2</v>
      </c>
    </row>
    <row r="230" spans="1:9" x14ac:dyDescent="0.35">
      <c r="A230">
        <v>6</v>
      </c>
      <c r="B230" s="16" t="s">
        <v>622</v>
      </c>
      <c r="C230">
        <v>0.32079999999999997</v>
      </c>
      <c r="D230">
        <v>2.1850000000000001</v>
      </c>
      <c r="E230">
        <v>2.1850000000000001</v>
      </c>
      <c r="F230">
        <v>14</v>
      </c>
      <c r="G230">
        <v>0.70079999999999998</v>
      </c>
      <c r="H230">
        <v>4.4429999999999997E-2</v>
      </c>
      <c r="I230">
        <v>4.3450000000000003E-2</v>
      </c>
    </row>
    <row r="231" spans="1:9" x14ac:dyDescent="0.35">
      <c r="A231">
        <v>7</v>
      </c>
      <c r="B231" s="16" t="s">
        <v>641</v>
      </c>
      <c r="C231">
        <v>0.56910000000000005</v>
      </c>
      <c r="D231">
        <v>2.2709999999999999</v>
      </c>
      <c r="E231">
        <v>2.2709999999999999</v>
      </c>
      <c r="F231">
        <v>14</v>
      </c>
      <c r="G231">
        <v>1.292</v>
      </c>
      <c r="H231">
        <v>8.1939999999999999E-2</v>
      </c>
      <c r="I231">
        <v>8.0140000000000003E-2</v>
      </c>
    </row>
    <row r="232" spans="1:9" x14ac:dyDescent="0.35">
      <c r="A232">
        <v>8</v>
      </c>
      <c r="B232" s="16" t="s">
        <v>642</v>
      </c>
      <c r="C232">
        <v>0.2225</v>
      </c>
      <c r="D232">
        <v>2.1869999999999998</v>
      </c>
      <c r="E232">
        <v>2.1869999999999998</v>
      </c>
      <c r="F232">
        <v>14</v>
      </c>
      <c r="G232">
        <v>0.48680000000000001</v>
      </c>
      <c r="H232">
        <v>3.0859999999999999E-2</v>
      </c>
      <c r="I232">
        <v>3.0179999999999998E-2</v>
      </c>
    </row>
    <row r="233" spans="1:9" x14ac:dyDescent="0.35">
      <c r="A233">
        <v>9</v>
      </c>
      <c r="B233" s="16" t="s">
        <v>605</v>
      </c>
      <c r="C233">
        <v>0.56910000000000005</v>
      </c>
      <c r="D233">
        <v>2.2549999999999999</v>
      </c>
      <c r="E233">
        <v>2.2549999999999999</v>
      </c>
      <c r="F233">
        <v>14</v>
      </c>
      <c r="G233">
        <v>1.2829999999999999</v>
      </c>
      <c r="H233">
        <v>8.1369999999999998E-2</v>
      </c>
      <c r="I233">
        <v>7.9579999999999998E-2</v>
      </c>
    </row>
    <row r="234" spans="1:9" x14ac:dyDescent="0.35">
      <c r="A234">
        <v>10</v>
      </c>
      <c r="B234" s="16" t="s">
        <v>608</v>
      </c>
      <c r="C234">
        <v>0.24260000000000001</v>
      </c>
      <c r="D234">
        <v>2.3889999999999998</v>
      </c>
      <c r="E234">
        <v>2.3889999999999998</v>
      </c>
      <c r="F234">
        <v>14</v>
      </c>
      <c r="G234">
        <v>0.5796</v>
      </c>
      <c r="H234">
        <v>3.6749999999999998E-2</v>
      </c>
      <c r="I234">
        <v>3.594E-2</v>
      </c>
    </row>
    <row r="235" spans="1:9" x14ac:dyDescent="0.35">
      <c r="A235">
        <v>11</v>
      </c>
      <c r="B235" s="16" t="s">
        <v>611</v>
      </c>
      <c r="C235" s="4">
        <v>6.3779999999999995E-7</v>
      </c>
      <c r="D235">
        <v>1.8</v>
      </c>
      <c r="E235">
        <v>1.8</v>
      </c>
      <c r="F235">
        <v>14</v>
      </c>
      <c r="G235" s="4">
        <v>1.1480000000000001E-6</v>
      </c>
      <c r="H235" s="4">
        <v>7.2769999999999996E-8</v>
      </c>
      <c r="I235" s="4">
        <v>7.1159999999999997E-8</v>
      </c>
    </row>
    <row r="236" spans="1:9" x14ac:dyDescent="0.35">
      <c r="A236">
        <v>12</v>
      </c>
      <c r="B236" s="16" t="s">
        <v>643</v>
      </c>
      <c r="C236">
        <v>3.3910000000000003E-2</v>
      </c>
      <c r="D236">
        <v>2.4660000000000002</v>
      </c>
      <c r="E236">
        <v>2.4660000000000002</v>
      </c>
      <c r="F236">
        <v>14</v>
      </c>
      <c r="G236">
        <v>8.3599999999999994E-2</v>
      </c>
      <c r="H236">
        <v>5.3E-3</v>
      </c>
      <c r="I236">
        <v>5.1830000000000001E-3</v>
      </c>
    </row>
    <row r="237" spans="1:9" x14ac:dyDescent="0.35">
      <c r="A237">
        <v>13</v>
      </c>
      <c r="B237" s="16" t="s">
        <v>620</v>
      </c>
      <c r="C237">
        <v>9.8429999999999993E-3</v>
      </c>
      <c r="D237">
        <v>2.468</v>
      </c>
      <c r="E237">
        <v>2.468</v>
      </c>
      <c r="F237">
        <v>14</v>
      </c>
      <c r="G237">
        <v>2.4289999999999999E-2</v>
      </c>
      <c r="H237">
        <v>1.5399999999999999E-3</v>
      </c>
      <c r="I237">
        <v>1.506E-3</v>
      </c>
    </row>
    <row r="238" spans="1:9" x14ac:dyDescent="0.35">
      <c r="A238">
        <v>14</v>
      </c>
      <c r="B238" s="16" t="s">
        <v>644</v>
      </c>
      <c r="C238">
        <v>9.8429999999999993E-3</v>
      </c>
      <c r="D238">
        <v>2.141</v>
      </c>
      <c r="E238">
        <v>2.141</v>
      </c>
      <c r="F238">
        <v>14</v>
      </c>
      <c r="G238">
        <v>2.1069999999999998E-2</v>
      </c>
      <c r="H238">
        <v>1.3359999999999999E-3</v>
      </c>
      <c r="I238">
        <v>1.3060000000000001E-3</v>
      </c>
    </row>
    <row r="239" spans="1:9" x14ac:dyDescent="0.35">
      <c r="A239">
        <v>15</v>
      </c>
      <c r="B239" s="16" t="s">
        <v>625</v>
      </c>
      <c r="C239">
        <v>5.4309999999999997E-2</v>
      </c>
      <c r="D239">
        <v>2.077</v>
      </c>
      <c r="E239">
        <v>2.077</v>
      </c>
      <c r="F239">
        <v>14</v>
      </c>
      <c r="G239">
        <v>0.1128</v>
      </c>
      <c r="H239">
        <v>7.1529999999999996E-3</v>
      </c>
      <c r="I239">
        <v>6.9950000000000003E-3</v>
      </c>
    </row>
    <row r="240" spans="1:9" x14ac:dyDescent="0.35">
      <c r="A240">
        <v>16</v>
      </c>
      <c r="B240" s="16" t="s">
        <v>627</v>
      </c>
      <c r="C240">
        <v>2.202E-3</v>
      </c>
      <c r="D240">
        <v>2.601</v>
      </c>
      <c r="E240">
        <v>2.601</v>
      </c>
      <c r="F240">
        <v>14</v>
      </c>
      <c r="G240">
        <v>5.7270000000000003E-3</v>
      </c>
      <c r="H240">
        <v>3.6309999999999999E-4</v>
      </c>
      <c r="I240">
        <v>3.5510000000000001E-4</v>
      </c>
    </row>
    <row r="241" spans="1:9" x14ac:dyDescent="0.35">
      <c r="A241">
        <v>17</v>
      </c>
      <c r="B241" s="16" t="s">
        <v>631</v>
      </c>
      <c r="C241">
        <v>7.2349999999999998E-2</v>
      </c>
      <c r="D241">
        <v>2.5539999999999998</v>
      </c>
      <c r="E241">
        <v>2.5539999999999998</v>
      </c>
      <c r="F241">
        <v>14</v>
      </c>
      <c r="G241">
        <v>0.1847</v>
      </c>
      <c r="H241">
        <v>1.171E-2</v>
      </c>
      <c r="I241">
        <v>1.145E-2</v>
      </c>
    </row>
    <row r="242" spans="1:9" x14ac:dyDescent="0.35">
      <c r="A242">
        <v>18</v>
      </c>
      <c r="B242" s="16" t="s">
        <v>633</v>
      </c>
      <c r="C242">
        <v>0.56910000000000005</v>
      </c>
      <c r="D242">
        <v>2.2759999999999998</v>
      </c>
      <c r="E242">
        <v>2.2759999999999998</v>
      </c>
      <c r="F242">
        <v>14</v>
      </c>
      <c r="G242">
        <v>1.2949999999999999</v>
      </c>
      <c r="H242">
        <v>8.2129999999999995E-2</v>
      </c>
      <c r="I242">
        <v>8.0320000000000003E-2</v>
      </c>
    </row>
    <row r="243" spans="1:9" x14ac:dyDescent="0.35">
      <c r="A243">
        <v>19</v>
      </c>
      <c r="B243" s="16" t="s">
        <v>645</v>
      </c>
      <c r="C243">
        <v>0.56910000000000005</v>
      </c>
      <c r="D243">
        <v>1.593</v>
      </c>
      <c r="E243">
        <v>1.593</v>
      </c>
      <c r="F243">
        <v>14</v>
      </c>
      <c r="G243">
        <v>0.90639999999999998</v>
      </c>
      <c r="H243">
        <v>5.747E-2</v>
      </c>
      <c r="I243">
        <v>5.62E-2</v>
      </c>
    </row>
    <row r="244" spans="1:9" x14ac:dyDescent="0.35">
      <c r="A244">
        <v>20</v>
      </c>
      <c r="B244" s="16" t="s">
        <v>615</v>
      </c>
      <c r="C244">
        <v>7.2349999999999998E-2</v>
      </c>
      <c r="D244">
        <v>2.214</v>
      </c>
      <c r="E244">
        <v>2.214</v>
      </c>
      <c r="F244">
        <v>14</v>
      </c>
      <c r="G244">
        <v>0.16009999999999999</v>
      </c>
      <c r="H244">
        <v>1.0149999999999999E-2</v>
      </c>
      <c r="I244">
        <v>9.9290000000000003E-3</v>
      </c>
    </row>
    <row r="245" spans="1:9" x14ac:dyDescent="0.35">
      <c r="A245">
        <v>21</v>
      </c>
      <c r="B245" s="16" t="s">
        <v>619</v>
      </c>
      <c r="C245" s="4">
        <v>5.7990000000000005E-7</v>
      </c>
      <c r="D245">
        <v>2.0659999999999998</v>
      </c>
      <c r="E245">
        <v>2.0659999999999998</v>
      </c>
      <c r="F245">
        <v>14</v>
      </c>
      <c r="G245" s="4">
        <v>1.198E-6</v>
      </c>
      <c r="H245" s="4">
        <v>7.596E-8</v>
      </c>
      <c r="I245" s="4">
        <v>7.4280000000000001E-8</v>
      </c>
    </row>
    <row r="246" spans="1:9" x14ac:dyDescent="0.35">
      <c r="A246">
        <v>22</v>
      </c>
      <c r="B246" s="16" t="s">
        <v>604</v>
      </c>
      <c r="C246">
        <v>9.8429999999999993E-3</v>
      </c>
      <c r="D246">
        <v>2.589</v>
      </c>
      <c r="E246">
        <v>2.589</v>
      </c>
      <c r="F246">
        <v>14</v>
      </c>
      <c r="G246">
        <v>2.5479999999999999E-2</v>
      </c>
      <c r="H246">
        <v>1.616E-3</v>
      </c>
      <c r="I246">
        <v>1.58E-3</v>
      </c>
    </row>
    <row r="247" spans="1:9" x14ac:dyDescent="0.35">
      <c r="A247">
        <v>23</v>
      </c>
      <c r="B247" s="16" t="s">
        <v>607</v>
      </c>
      <c r="C247">
        <v>9.0929999999999997E-2</v>
      </c>
      <c r="D247">
        <v>2.6869999999999998</v>
      </c>
      <c r="E247">
        <v>2.6869999999999998</v>
      </c>
      <c r="F247">
        <v>14</v>
      </c>
      <c r="G247">
        <v>0.24440000000000001</v>
      </c>
      <c r="H247">
        <v>1.549E-2</v>
      </c>
      <c r="I247">
        <v>1.515E-2</v>
      </c>
    </row>
    <row r="248" spans="1:9" x14ac:dyDescent="0.35">
      <c r="A248">
        <v>24</v>
      </c>
      <c r="B248" s="16" t="s">
        <v>646</v>
      </c>
      <c r="C248">
        <v>3.3390000000000003E-2</v>
      </c>
      <c r="D248">
        <v>2.1240000000000001</v>
      </c>
      <c r="E248">
        <v>2.1240000000000001</v>
      </c>
      <c r="F248">
        <v>14</v>
      </c>
      <c r="G248">
        <v>7.0940000000000003E-2</v>
      </c>
      <c r="H248">
        <v>4.4970000000000001E-3</v>
      </c>
      <c r="I248">
        <v>4.398E-3</v>
      </c>
    </row>
    <row r="249" spans="1:9" x14ac:dyDescent="0.35">
      <c r="A249">
        <v>25</v>
      </c>
      <c r="B249" s="16" t="s">
        <v>626</v>
      </c>
      <c r="C249">
        <v>0.24260000000000001</v>
      </c>
      <c r="D249">
        <v>2.1970000000000001</v>
      </c>
      <c r="E249">
        <v>2.1970000000000001</v>
      </c>
      <c r="F249">
        <v>14</v>
      </c>
      <c r="G249">
        <v>0.53300000000000003</v>
      </c>
      <c r="H249">
        <v>3.3790000000000001E-2</v>
      </c>
      <c r="I249">
        <v>3.3050000000000003E-2</v>
      </c>
    </row>
    <row r="250" spans="1:9" x14ac:dyDescent="0.35">
      <c r="A250">
        <v>26</v>
      </c>
      <c r="B250" s="16" t="s">
        <v>632</v>
      </c>
      <c r="C250">
        <v>4.827E-2</v>
      </c>
      <c r="D250">
        <v>2.41</v>
      </c>
      <c r="E250">
        <v>2.41</v>
      </c>
      <c r="F250">
        <v>14</v>
      </c>
      <c r="G250">
        <v>0.1163</v>
      </c>
      <c r="H250">
        <v>7.3749999999999996E-3</v>
      </c>
      <c r="I250">
        <v>7.2129999999999998E-3</v>
      </c>
    </row>
    <row r="251" spans="1:9" x14ac:dyDescent="0.35">
      <c r="A251">
        <v>27</v>
      </c>
      <c r="B251" s="16" t="s">
        <v>647</v>
      </c>
      <c r="C251">
        <v>9.8429999999999993E-3</v>
      </c>
      <c r="D251">
        <v>2.9159999999999999</v>
      </c>
      <c r="E251">
        <v>2.9159999999999999</v>
      </c>
      <c r="F251">
        <v>14</v>
      </c>
      <c r="G251">
        <v>2.8709999999999999E-2</v>
      </c>
      <c r="H251">
        <v>1.82E-3</v>
      </c>
      <c r="I251">
        <v>1.7799999999999999E-3</v>
      </c>
    </row>
    <row r="252" spans="1:9" x14ac:dyDescent="0.35">
      <c r="A252">
        <v>28</v>
      </c>
      <c r="B252" s="16" t="s">
        <v>621</v>
      </c>
      <c r="C252">
        <v>1.014E-4</v>
      </c>
      <c r="D252">
        <v>2.2429999999999999</v>
      </c>
      <c r="E252">
        <v>2.2429999999999999</v>
      </c>
      <c r="F252">
        <v>14</v>
      </c>
      <c r="G252">
        <v>2.275E-4</v>
      </c>
      <c r="H252" s="4">
        <v>1.4419999999999999E-5</v>
      </c>
      <c r="I252" s="4">
        <v>1.4100000000000001E-5</v>
      </c>
    </row>
    <row r="253" spans="1:9" x14ac:dyDescent="0.35">
      <c r="A253">
        <v>29</v>
      </c>
      <c r="B253" s="16" t="s">
        <v>628</v>
      </c>
      <c r="C253">
        <v>0.14349999999999999</v>
      </c>
      <c r="D253">
        <v>2.6480000000000001</v>
      </c>
      <c r="E253">
        <v>2.6480000000000001</v>
      </c>
      <c r="F253">
        <v>14</v>
      </c>
      <c r="G253">
        <v>0.37990000000000002</v>
      </c>
      <c r="H253">
        <v>2.409E-2</v>
      </c>
      <c r="I253">
        <v>2.3560000000000001E-2</v>
      </c>
    </row>
    <row r="254" spans="1:9" x14ac:dyDescent="0.35">
      <c r="A254">
        <v>30</v>
      </c>
      <c r="B254" s="16" t="s">
        <v>616</v>
      </c>
      <c r="C254">
        <v>1.242E-2</v>
      </c>
      <c r="D254">
        <v>2.734</v>
      </c>
      <c r="E254">
        <v>2.734</v>
      </c>
      <c r="F254">
        <v>14</v>
      </c>
      <c r="G254">
        <v>3.3959999999999997E-2</v>
      </c>
      <c r="H254">
        <v>2.153E-3</v>
      </c>
      <c r="I254">
        <v>2.1059999999999998E-3</v>
      </c>
    </row>
    <row r="255" spans="1:9" x14ac:dyDescent="0.35">
      <c r="A255">
        <v>31</v>
      </c>
      <c r="B255" s="16" t="s">
        <v>648</v>
      </c>
      <c r="C255">
        <v>1.261E-3</v>
      </c>
      <c r="D255">
        <v>2.6549999999999998</v>
      </c>
      <c r="E255">
        <v>2.6549999999999998</v>
      </c>
      <c r="F255">
        <v>14</v>
      </c>
      <c r="G255">
        <v>3.3470000000000001E-3</v>
      </c>
      <c r="H255">
        <v>2.1220000000000001E-4</v>
      </c>
      <c r="I255">
        <v>2.075E-4</v>
      </c>
    </row>
    <row r="256" spans="1:9" x14ac:dyDescent="0.35">
      <c r="A256">
        <v>32</v>
      </c>
      <c r="B256" s="16" t="s">
        <v>649</v>
      </c>
      <c r="C256">
        <v>0.14349999999999999</v>
      </c>
      <c r="D256">
        <v>2.3439999999999999</v>
      </c>
      <c r="E256">
        <v>2.3439999999999999</v>
      </c>
      <c r="F256">
        <v>14</v>
      </c>
      <c r="G256">
        <v>0.33629999999999999</v>
      </c>
      <c r="H256">
        <v>2.1319999999999999E-2</v>
      </c>
      <c r="I256">
        <v>2.085E-2</v>
      </c>
    </row>
    <row r="257" spans="1:9" x14ac:dyDescent="0.35">
      <c r="A257">
        <v>33</v>
      </c>
      <c r="B257" s="16" t="s">
        <v>650</v>
      </c>
      <c r="C257">
        <v>0.2225</v>
      </c>
      <c r="D257">
        <v>2.8450000000000002</v>
      </c>
      <c r="E257">
        <v>2.8450000000000002</v>
      </c>
      <c r="F257">
        <v>14</v>
      </c>
      <c r="G257">
        <v>0.63319999999999999</v>
      </c>
      <c r="H257">
        <v>4.0149999999999998E-2</v>
      </c>
      <c r="I257">
        <v>3.9260000000000003E-2</v>
      </c>
    </row>
    <row r="258" spans="1:9" x14ac:dyDescent="0.35">
      <c r="A258">
        <v>34</v>
      </c>
      <c r="B258" s="16" t="s">
        <v>634</v>
      </c>
      <c r="C258">
        <v>0.18529999999999999</v>
      </c>
      <c r="D258">
        <v>2.911</v>
      </c>
      <c r="E258">
        <v>2.911</v>
      </c>
      <c r="F258">
        <v>14</v>
      </c>
      <c r="G258">
        <v>0.53949999999999998</v>
      </c>
      <c r="H258">
        <v>3.4209999999999997E-2</v>
      </c>
      <c r="I258">
        <v>3.3450000000000001E-2</v>
      </c>
    </row>
    <row r="259" spans="1:9" x14ac:dyDescent="0.35">
      <c r="A259">
        <v>35</v>
      </c>
      <c r="B259" s="16" t="s">
        <v>618</v>
      </c>
      <c r="C259">
        <v>2.1670000000000001E-3</v>
      </c>
      <c r="D259">
        <v>3.452</v>
      </c>
      <c r="E259">
        <v>3.452</v>
      </c>
      <c r="F259">
        <v>14</v>
      </c>
      <c r="G259">
        <v>7.4819999999999999E-3</v>
      </c>
      <c r="H259">
        <v>4.7429999999999998E-4</v>
      </c>
      <c r="I259">
        <v>4.639E-4</v>
      </c>
    </row>
    <row r="260" spans="1:9" x14ac:dyDescent="0.35">
      <c r="A260">
        <v>36</v>
      </c>
      <c r="B260" s="16" t="s">
        <v>651</v>
      </c>
      <c r="C260">
        <v>6.7819999999999998E-3</v>
      </c>
      <c r="D260">
        <v>2.93</v>
      </c>
      <c r="E260">
        <v>2.93</v>
      </c>
      <c r="F260">
        <v>14</v>
      </c>
      <c r="G260">
        <v>1.9869999999999999E-2</v>
      </c>
      <c r="H260">
        <v>1.2600000000000001E-3</v>
      </c>
      <c r="I260">
        <v>1.232E-3</v>
      </c>
    </row>
    <row r="261" spans="1:9" x14ac:dyDescent="0.35">
      <c r="A261">
        <v>37</v>
      </c>
      <c r="B261" s="16" t="s">
        <v>610</v>
      </c>
      <c r="C261">
        <v>1.5660000000000001E-4</v>
      </c>
      <c r="D261">
        <v>2.544</v>
      </c>
      <c r="E261">
        <v>2.544</v>
      </c>
      <c r="F261">
        <v>14</v>
      </c>
      <c r="G261">
        <v>3.9839999999999998E-4</v>
      </c>
      <c r="H261" s="4">
        <v>2.5259999999999999E-5</v>
      </c>
      <c r="I261" s="4">
        <v>2.4700000000000001E-5</v>
      </c>
    </row>
    <row r="262" spans="1:9" x14ac:dyDescent="0.35">
      <c r="A262">
        <v>38</v>
      </c>
      <c r="B262" s="16" t="s">
        <v>652</v>
      </c>
      <c r="C262">
        <v>0.56910000000000005</v>
      </c>
      <c r="D262">
        <v>1.7230000000000001</v>
      </c>
      <c r="E262">
        <v>1.7230000000000001</v>
      </c>
      <c r="F262">
        <v>14</v>
      </c>
      <c r="G262">
        <v>0.98060000000000003</v>
      </c>
      <c r="H262">
        <v>6.2170000000000003E-2</v>
      </c>
      <c r="I262">
        <v>6.08E-2</v>
      </c>
    </row>
    <row r="263" spans="1:9" x14ac:dyDescent="0.35">
      <c r="A263">
        <v>39</v>
      </c>
      <c r="B263" s="16" t="s">
        <v>653</v>
      </c>
      <c r="C263" s="4">
        <v>1.2300000000000001E-5</v>
      </c>
      <c r="D263">
        <v>2.298</v>
      </c>
      <c r="E263">
        <v>2.298</v>
      </c>
      <c r="F263">
        <v>14</v>
      </c>
      <c r="G263" s="4">
        <v>2.828E-5</v>
      </c>
      <c r="H263" s="4">
        <v>1.793E-6</v>
      </c>
      <c r="I263" s="4">
        <v>1.753E-6</v>
      </c>
    </row>
    <row r="264" spans="1:9" x14ac:dyDescent="0.35">
      <c r="A264">
        <v>40</v>
      </c>
      <c r="B264" s="16" t="s">
        <v>654</v>
      </c>
      <c r="C264">
        <v>2.7549999999999997E-4</v>
      </c>
      <c r="D264">
        <v>2.528</v>
      </c>
      <c r="E264">
        <v>2.528</v>
      </c>
      <c r="F264">
        <v>14</v>
      </c>
      <c r="G264">
        <v>6.9640000000000001E-4</v>
      </c>
      <c r="H264" s="4">
        <v>4.4150000000000003E-5</v>
      </c>
      <c r="I264" s="4">
        <v>4.3180000000000003E-5</v>
      </c>
    </row>
    <row r="265" spans="1:9" x14ac:dyDescent="0.35">
      <c r="A265">
        <v>41</v>
      </c>
      <c r="B265" s="16" t="s">
        <v>609</v>
      </c>
      <c r="C265" s="4">
        <v>2.1129999999999999E-6</v>
      </c>
      <c r="D265">
        <v>3.375</v>
      </c>
      <c r="E265">
        <v>3.375</v>
      </c>
      <c r="F265">
        <v>14</v>
      </c>
      <c r="G265" s="4">
        <v>7.1330000000000001E-6</v>
      </c>
      <c r="H265" s="4">
        <v>4.5219999999999999E-7</v>
      </c>
      <c r="I265" s="4">
        <v>4.4219999999999998E-7</v>
      </c>
    </row>
    <row r="266" spans="1:9" x14ac:dyDescent="0.35">
      <c r="A266">
        <v>42</v>
      </c>
      <c r="B266" s="16" t="s">
        <v>617</v>
      </c>
      <c r="C266">
        <v>3.3390000000000003E-2</v>
      </c>
      <c r="D266">
        <v>2.4569999999999999</v>
      </c>
      <c r="E266">
        <v>2.4569999999999999</v>
      </c>
      <c r="F266">
        <v>14</v>
      </c>
      <c r="G266">
        <v>8.2030000000000006E-2</v>
      </c>
      <c r="H266">
        <v>5.2009999999999999E-3</v>
      </c>
      <c r="I266">
        <v>5.0860000000000002E-3</v>
      </c>
    </row>
    <row r="267" spans="1:9" x14ac:dyDescent="0.35">
      <c r="A267">
        <v>43</v>
      </c>
      <c r="B267" s="16" t="s">
        <v>623</v>
      </c>
      <c r="C267">
        <v>9.0929999999999997E-2</v>
      </c>
      <c r="D267">
        <v>2.9049999999999998</v>
      </c>
      <c r="E267">
        <v>2.9049999999999998</v>
      </c>
      <c r="F267">
        <v>14</v>
      </c>
      <c r="G267">
        <v>0.2641</v>
      </c>
      <c r="H267">
        <v>1.6750000000000001E-2</v>
      </c>
      <c r="I267">
        <v>1.6379999999999999E-2</v>
      </c>
    </row>
    <row r="268" spans="1:9" x14ac:dyDescent="0.35">
      <c r="A268">
        <v>44</v>
      </c>
      <c r="B268" s="16" t="s">
        <v>629</v>
      </c>
      <c r="C268" s="4">
        <v>1.9040000000000001E-5</v>
      </c>
      <c r="D268">
        <v>3.6629999999999998</v>
      </c>
      <c r="E268">
        <v>3.6629999999999998</v>
      </c>
      <c r="F268">
        <v>14</v>
      </c>
      <c r="G268" s="4">
        <v>6.9759999999999996E-5</v>
      </c>
      <c r="H268" s="4">
        <v>4.4229999999999998E-6</v>
      </c>
      <c r="I268" s="4">
        <v>4.3250000000000001E-6</v>
      </c>
    </row>
    <row r="269" spans="1:9" x14ac:dyDescent="0.35">
      <c r="A269">
        <v>45</v>
      </c>
      <c r="B269" s="16" t="s">
        <v>655</v>
      </c>
      <c r="C269">
        <v>1.1900000000000001E-2</v>
      </c>
      <c r="D269">
        <v>2.0430000000000001</v>
      </c>
      <c r="E269">
        <v>2.0430000000000001</v>
      </c>
      <c r="F269">
        <v>14</v>
      </c>
      <c r="G269">
        <v>2.4320000000000001E-2</v>
      </c>
      <c r="H269">
        <v>1.542E-3</v>
      </c>
      <c r="I269">
        <v>1.508E-3</v>
      </c>
    </row>
    <row r="270" spans="1:9" x14ac:dyDescent="0.35">
      <c r="A270">
        <v>46</v>
      </c>
      <c r="B270" s="16" t="s">
        <v>612</v>
      </c>
      <c r="C270">
        <v>4.827E-2</v>
      </c>
      <c r="D270">
        <v>2.4350000000000001</v>
      </c>
      <c r="E270">
        <v>2.4350000000000001</v>
      </c>
      <c r="F270">
        <v>14</v>
      </c>
      <c r="G270">
        <v>0.11749999999999999</v>
      </c>
      <c r="H270">
        <v>7.4520000000000003E-3</v>
      </c>
      <c r="I270">
        <v>7.2870000000000001E-3</v>
      </c>
    </row>
    <row r="271" spans="1:9" x14ac:dyDescent="0.35">
      <c r="A271">
        <v>47</v>
      </c>
      <c r="B271" s="16" t="s">
        <v>613</v>
      </c>
      <c r="C271">
        <v>0.96830000000000005</v>
      </c>
      <c r="D271">
        <v>2.5409999999999999</v>
      </c>
      <c r="E271">
        <v>2.5409999999999999</v>
      </c>
      <c r="F271">
        <v>14</v>
      </c>
      <c r="G271">
        <v>2.46</v>
      </c>
      <c r="H271">
        <v>0.156</v>
      </c>
      <c r="I271">
        <v>0.15260000000000001</v>
      </c>
    </row>
    <row r="272" spans="1:9" x14ac:dyDescent="0.35">
      <c r="A272">
        <v>48</v>
      </c>
      <c r="B272" s="16" t="s">
        <v>656</v>
      </c>
      <c r="C272">
        <v>0.56910000000000005</v>
      </c>
      <c r="D272">
        <v>2.5739999999999998</v>
      </c>
      <c r="E272">
        <v>2.5739999999999998</v>
      </c>
      <c r="F272">
        <v>14</v>
      </c>
      <c r="G272">
        <v>1.4650000000000001</v>
      </c>
      <c r="H272">
        <v>9.289E-2</v>
      </c>
      <c r="I272">
        <v>9.0840000000000004E-2</v>
      </c>
    </row>
    <row r="273" spans="1:10" x14ac:dyDescent="0.35">
      <c r="A273">
        <v>49</v>
      </c>
      <c r="B273" s="16" t="s">
        <v>464</v>
      </c>
      <c r="C273">
        <v>0.24979999999999999</v>
      </c>
      <c r="D273">
        <v>1.423</v>
      </c>
      <c r="E273">
        <v>1.423</v>
      </c>
      <c r="F273">
        <v>14</v>
      </c>
      <c r="G273">
        <v>0.35560000000000003</v>
      </c>
      <c r="H273" t="s">
        <v>452</v>
      </c>
      <c r="I273">
        <v>2.205E-2</v>
      </c>
    </row>
    <row r="274" spans="1:10" x14ac:dyDescent="0.35">
      <c r="A274">
        <v>50</v>
      </c>
      <c r="B274" s="16" t="s">
        <v>466</v>
      </c>
      <c r="C274">
        <v>0.24979999999999999</v>
      </c>
      <c r="D274">
        <v>1.0820000000000001</v>
      </c>
      <c r="E274">
        <v>1.0820000000000001</v>
      </c>
      <c r="F274">
        <v>14</v>
      </c>
      <c r="G274">
        <v>0.27029999999999998</v>
      </c>
      <c r="H274" t="s">
        <v>452</v>
      </c>
      <c r="I274">
        <v>1.685E-2</v>
      </c>
    </row>
    <row r="275" spans="1:10" x14ac:dyDescent="0.35">
      <c r="A275">
        <v>51</v>
      </c>
      <c r="B275" s="16" t="s">
        <v>467</v>
      </c>
      <c r="C275">
        <v>0.96830000000000005</v>
      </c>
      <c r="D275">
        <v>2.5409999999999999</v>
      </c>
      <c r="E275">
        <v>2.5409999999999999</v>
      </c>
      <c r="F275">
        <v>14</v>
      </c>
      <c r="G275">
        <v>2.46</v>
      </c>
      <c r="H275" t="s">
        <v>452</v>
      </c>
      <c r="I275">
        <v>0.5</v>
      </c>
    </row>
    <row r="276" spans="1:10" x14ac:dyDescent="0.35">
      <c r="A276">
        <v>52</v>
      </c>
      <c r="B276" s="16" t="s">
        <v>469</v>
      </c>
      <c r="C276">
        <v>0.96830000000000005</v>
      </c>
      <c r="D276">
        <v>2.5409999999999999</v>
      </c>
      <c r="E276">
        <v>2.5409999999999999</v>
      </c>
      <c r="F276">
        <v>14</v>
      </c>
      <c r="G276">
        <v>2.46</v>
      </c>
      <c r="H276" t="s">
        <v>452</v>
      </c>
      <c r="I276">
        <v>0.5</v>
      </c>
    </row>
    <row r="277" spans="1:10" x14ac:dyDescent="0.35">
      <c r="A277" t="s">
        <v>701</v>
      </c>
      <c r="B277" s="16"/>
    </row>
    <row r="278" spans="1:10" x14ac:dyDescent="0.35">
      <c r="A278" t="s">
        <v>700</v>
      </c>
      <c r="B278" s="16"/>
    </row>
    <row r="279" spans="1:10" x14ac:dyDescent="0.35">
      <c r="A279" t="s">
        <v>470</v>
      </c>
      <c r="B279" s="16"/>
    </row>
    <row r="280" spans="1:10" x14ac:dyDescent="0.35">
      <c r="A280" t="s">
        <v>471</v>
      </c>
      <c r="B280" s="16"/>
    </row>
    <row r="281" spans="1:10" x14ac:dyDescent="0.35">
      <c r="A281" t="s">
        <v>694</v>
      </c>
      <c r="B281" s="16"/>
      <c r="J281">
        <v>10</v>
      </c>
    </row>
    <row r="282" spans="1:10" x14ac:dyDescent="0.35">
      <c r="A282" t="s">
        <v>700</v>
      </c>
      <c r="B282" s="16"/>
    </row>
    <row r="283" spans="1:10" x14ac:dyDescent="0.35">
      <c r="A283" t="s">
        <v>438</v>
      </c>
      <c r="B283" s="16"/>
    </row>
    <row r="284" spans="1:10" x14ac:dyDescent="0.35">
      <c r="A284" t="s">
        <v>439</v>
      </c>
      <c r="B284" s="16"/>
    </row>
    <row r="285" spans="1:10" x14ac:dyDescent="0.35">
      <c r="A285" t="s">
        <v>441</v>
      </c>
      <c r="B285" s="16"/>
    </row>
    <row r="286" spans="1:10" x14ac:dyDescent="0.35">
      <c r="A286" t="s">
        <v>701</v>
      </c>
      <c r="B286" s="16"/>
    </row>
    <row r="287" spans="1:10" x14ac:dyDescent="0.35">
      <c r="A287" t="s">
        <v>442</v>
      </c>
      <c r="B287" s="16" t="s">
        <v>443</v>
      </c>
      <c r="C287" t="s">
        <v>444</v>
      </c>
      <c r="D287" t="s">
        <v>445</v>
      </c>
      <c r="E287" t="s">
        <v>445</v>
      </c>
      <c r="F287" t="s">
        <v>446</v>
      </c>
      <c r="G287" t="s">
        <v>447</v>
      </c>
      <c r="H287" t="s">
        <v>448</v>
      </c>
      <c r="I287" t="s">
        <v>448</v>
      </c>
    </row>
    <row r="288" spans="1:10" x14ac:dyDescent="0.35">
      <c r="A288" t="s">
        <v>450</v>
      </c>
      <c r="B288" s="16" t="s">
        <v>451</v>
      </c>
      <c r="C288" t="s">
        <v>452</v>
      </c>
      <c r="D288" t="s">
        <v>453</v>
      </c>
      <c r="E288" t="s">
        <v>454</v>
      </c>
      <c r="F288" t="s">
        <v>455</v>
      </c>
      <c r="G288" t="s">
        <v>456</v>
      </c>
      <c r="H288" t="s">
        <v>457</v>
      </c>
      <c r="I288" t="s">
        <v>458</v>
      </c>
    </row>
    <row r="289" spans="1:9" x14ac:dyDescent="0.35">
      <c r="A289" t="s">
        <v>702</v>
      </c>
      <c r="B289" s="16" t="s">
        <v>703</v>
      </c>
      <c r="C289" t="s">
        <v>704</v>
      </c>
      <c r="D289" t="s">
        <v>704</v>
      </c>
      <c r="E289" t="s">
        <v>704</v>
      </c>
      <c r="F289" t="s">
        <v>705</v>
      </c>
      <c r="G289" t="s">
        <v>704</v>
      </c>
      <c r="H289" t="s">
        <v>704</v>
      </c>
      <c r="I289" t="s">
        <v>704</v>
      </c>
    </row>
    <row r="290" spans="1:9" x14ac:dyDescent="0.35">
      <c r="A290">
        <v>1</v>
      </c>
      <c r="B290" s="16" t="s">
        <v>603</v>
      </c>
      <c r="C290">
        <v>8.3339999999999997E-2</v>
      </c>
      <c r="D290">
        <v>0.89329999999999998</v>
      </c>
      <c r="E290">
        <v>0.89329999999999998</v>
      </c>
      <c r="F290">
        <v>11</v>
      </c>
      <c r="G290">
        <v>7.4450000000000002E-2</v>
      </c>
      <c r="H290">
        <v>7.9399999999999998E-2</v>
      </c>
      <c r="I290">
        <v>6.608E-2</v>
      </c>
    </row>
    <row r="291" spans="1:9" x14ac:dyDescent="0.35">
      <c r="A291">
        <v>2</v>
      </c>
      <c r="B291" s="16" t="s">
        <v>604</v>
      </c>
      <c r="C291" s="4">
        <v>1.257E-5</v>
      </c>
      <c r="D291">
        <v>1.3540000000000001</v>
      </c>
      <c r="E291">
        <v>1.3540000000000001</v>
      </c>
      <c r="F291">
        <v>11</v>
      </c>
      <c r="G291" s="4">
        <v>1.7010000000000001E-5</v>
      </c>
      <c r="H291" s="4">
        <v>1.8150000000000001E-5</v>
      </c>
      <c r="I291" s="4">
        <v>1.5099999999999999E-5</v>
      </c>
    </row>
    <row r="292" spans="1:9" x14ac:dyDescent="0.35">
      <c r="A292">
        <v>3</v>
      </c>
      <c r="B292" s="16" t="s">
        <v>605</v>
      </c>
      <c r="C292" s="4">
        <v>1.6960000000000001E-7</v>
      </c>
      <c r="D292">
        <v>1.5920000000000001</v>
      </c>
      <c r="E292">
        <v>1.5920000000000001</v>
      </c>
      <c r="F292">
        <v>11</v>
      </c>
      <c r="G292" s="4">
        <v>2.699E-7</v>
      </c>
      <c r="H292" s="4">
        <v>2.8789999999999998E-7</v>
      </c>
      <c r="I292" s="4">
        <v>2.3949999999999999E-7</v>
      </c>
    </row>
    <row r="293" spans="1:9" x14ac:dyDescent="0.35">
      <c r="A293">
        <v>4</v>
      </c>
      <c r="B293" s="16" t="s">
        <v>606</v>
      </c>
      <c r="C293">
        <v>3.0049999999999999E-4</v>
      </c>
      <c r="D293">
        <v>1.357</v>
      </c>
      <c r="E293">
        <v>1.357</v>
      </c>
      <c r="F293">
        <v>11</v>
      </c>
      <c r="G293">
        <v>4.0779999999999999E-4</v>
      </c>
      <c r="H293">
        <v>4.35E-4</v>
      </c>
      <c r="I293">
        <v>3.6200000000000002E-4</v>
      </c>
    </row>
    <row r="294" spans="1:9" x14ac:dyDescent="0.35">
      <c r="A294">
        <v>5</v>
      </c>
      <c r="B294" s="16" t="s">
        <v>607</v>
      </c>
      <c r="C294">
        <v>3.3E-3</v>
      </c>
      <c r="D294">
        <v>1.2949999999999999</v>
      </c>
      <c r="E294">
        <v>1.2949999999999999</v>
      </c>
      <c r="F294">
        <v>11</v>
      </c>
      <c r="G294">
        <v>4.2719999999999998E-3</v>
      </c>
      <c r="H294">
        <v>4.5570000000000003E-3</v>
      </c>
      <c r="I294">
        <v>3.7919999999999998E-3</v>
      </c>
    </row>
    <row r="295" spans="1:9" x14ac:dyDescent="0.35">
      <c r="A295">
        <v>6</v>
      </c>
      <c r="B295" s="16" t="s">
        <v>634</v>
      </c>
      <c r="C295">
        <v>0.39939999999999998</v>
      </c>
      <c r="D295">
        <v>0.5484</v>
      </c>
      <c r="E295">
        <v>0.5484</v>
      </c>
      <c r="F295">
        <v>11</v>
      </c>
      <c r="G295">
        <v>0.219</v>
      </c>
      <c r="H295">
        <v>0.2336</v>
      </c>
      <c r="I295">
        <v>0.19439999999999999</v>
      </c>
    </row>
    <row r="296" spans="1:9" x14ac:dyDescent="0.35">
      <c r="A296">
        <v>7</v>
      </c>
      <c r="B296" s="16" t="s">
        <v>608</v>
      </c>
      <c r="C296">
        <v>1.8460000000000001E-2</v>
      </c>
      <c r="D296">
        <v>0.74829999999999997</v>
      </c>
      <c r="E296">
        <v>0.74829999999999997</v>
      </c>
      <c r="F296">
        <v>11</v>
      </c>
      <c r="G296">
        <v>1.3820000000000001E-2</v>
      </c>
      <c r="H296">
        <v>1.474E-2</v>
      </c>
      <c r="I296">
        <v>1.226E-2</v>
      </c>
    </row>
    <row r="297" spans="1:9" x14ac:dyDescent="0.35">
      <c r="A297">
        <v>8</v>
      </c>
      <c r="B297" s="16" t="s">
        <v>609</v>
      </c>
      <c r="C297">
        <v>0.16869999999999999</v>
      </c>
      <c r="D297">
        <v>0.6764</v>
      </c>
      <c r="E297">
        <v>0.6764</v>
      </c>
      <c r="F297">
        <v>11</v>
      </c>
      <c r="G297">
        <v>0.11409999999999999</v>
      </c>
      <c r="H297">
        <v>0.1217</v>
      </c>
      <c r="I297">
        <v>0.1013</v>
      </c>
    </row>
    <row r="298" spans="1:9" x14ac:dyDescent="0.35">
      <c r="A298">
        <v>9</v>
      </c>
      <c r="B298" s="16" t="s">
        <v>610</v>
      </c>
      <c r="C298">
        <v>0.32650000000000001</v>
      </c>
      <c r="D298">
        <v>0.84609999999999996</v>
      </c>
      <c r="E298">
        <v>0.84609999999999996</v>
      </c>
      <c r="F298">
        <v>11</v>
      </c>
      <c r="G298">
        <v>0.2762</v>
      </c>
      <c r="H298">
        <v>0.29459999999999997</v>
      </c>
      <c r="I298">
        <v>0.2452</v>
      </c>
    </row>
    <row r="299" spans="1:9" x14ac:dyDescent="0.35">
      <c r="A299">
        <v>10</v>
      </c>
      <c r="B299" s="16" t="s">
        <v>611</v>
      </c>
      <c r="C299">
        <v>0.3851</v>
      </c>
      <c r="D299">
        <v>0.6109</v>
      </c>
      <c r="E299">
        <v>0.6109</v>
      </c>
      <c r="F299">
        <v>11</v>
      </c>
      <c r="G299">
        <v>0.23530000000000001</v>
      </c>
      <c r="H299">
        <v>0.25090000000000001</v>
      </c>
      <c r="I299">
        <v>0.20880000000000001</v>
      </c>
    </row>
    <row r="300" spans="1:9" x14ac:dyDescent="0.35">
      <c r="A300">
        <v>11</v>
      </c>
      <c r="B300" s="16" t="s">
        <v>464</v>
      </c>
      <c r="C300">
        <v>0.61499999999999999</v>
      </c>
      <c r="D300">
        <v>0.3075</v>
      </c>
      <c r="E300">
        <v>0.3075</v>
      </c>
      <c r="F300">
        <v>11</v>
      </c>
      <c r="G300">
        <v>0.18909999999999999</v>
      </c>
      <c r="H300" t="s">
        <v>452</v>
      </c>
      <c r="I300">
        <v>0.16789999999999999</v>
      </c>
    </row>
    <row r="301" spans="1:9" x14ac:dyDescent="0.35">
      <c r="A301">
        <v>12</v>
      </c>
      <c r="B301" s="16" t="s">
        <v>466</v>
      </c>
      <c r="C301">
        <v>0.63780000000000003</v>
      </c>
      <c r="D301">
        <v>0.23760000000000001</v>
      </c>
      <c r="E301">
        <v>0.23760000000000001</v>
      </c>
      <c r="F301">
        <v>11</v>
      </c>
      <c r="G301">
        <v>0.15160000000000001</v>
      </c>
      <c r="H301" t="s">
        <v>452</v>
      </c>
      <c r="I301">
        <v>0.13919999999999999</v>
      </c>
    </row>
    <row r="302" spans="1:9" x14ac:dyDescent="0.35">
      <c r="A302">
        <v>13</v>
      </c>
      <c r="B302" s="16" t="s">
        <v>467</v>
      </c>
      <c r="C302">
        <v>0.85240000000000005</v>
      </c>
      <c r="D302">
        <v>0.31280000000000002</v>
      </c>
      <c r="E302">
        <v>0.31280000000000002</v>
      </c>
      <c r="F302">
        <v>11</v>
      </c>
      <c r="G302">
        <v>0.2666</v>
      </c>
      <c r="H302" t="s">
        <v>452</v>
      </c>
      <c r="I302">
        <v>0.22489999999999999</v>
      </c>
    </row>
    <row r="303" spans="1:9" x14ac:dyDescent="0.35">
      <c r="A303">
        <v>14</v>
      </c>
      <c r="B303" s="16" t="s">
        <v>469</v>
      </c>
      <c r="C303">
        <v>0.61499999999999999</v>
      </c>
      <c r="D303">
        <v>0.36059999999999998</v>
      </c>
      <c r="E303">
        <v>0.36059999999999998</v>
      </c>
      <c r="F303">
        <v>11</v>
      </c>
      <c r="G303">
        <v>0.22170000000000001</v>
      </c>
      <c r="H303" t="s">
        <v>452</v>
      </c>
      <c r="I303">
        <v>0.19209999999999999</v>
      </c>
    </row>
    <row r="304" spans="1:9" x14ac:dyDescent="0.35">
      <c r="A304" t="s">
        <v>701</v>
      </c>
      <c r="B304" s="16"/>
    </row>
    <row r="305" spans="1:10" x14ac:dyDescent="0.35">
      <c r="A305" t="s">
        <v>700</v>
      </c>
      <c r="B305" s="16"/>
    </row>
    <row r="306" spans="1:10" x14ac:dyDescent="0.35">
      <c r="A306" t="s">
        <v>470</v>
      </c>
      <c r="B306" s="16"/>
    </row>
    <row r="307" spans="1:10" x14ac:dyDescent="0.35">
      <c r="A307" t="s">
        <v>471</v>
      </c>
      <c r="B307" s="16"/>
    </row>
    <row r="308" spans="1:10" x14ac:dyDescent="0.35">
      <c r="A308" t="s">
        <v>933</v>
      </c>
      <c r="B308" s="16"/>
      <c r="J308">
        <v>11</v>
      </c>
    </row>
    <row r="309" spans="1:10" x14ac:dyDescent="0.35">
      <c r="A309" t="s">
        <v>700</v>
      </c>
      <c r="B309" s="16"/>
    </row>
    <row r="310" spans="1:10" x14ac:dyDescent="0.35">
      <c r="A310" t="s">
        <v>438</v>
      </c>
      <c r="B310" s="16"/>
    </row>
    <row r="311" spans="1:10" x14ac:dyDescent="0.35">
      <c r="A311" t="s">
        <v>439</v>
      </c>
      <c r="B311" s="16"/>
    </row>
    <row r="312" spans="1:10" x14ac:dyDescent="0.35">
      <c r="A312" t="s">
        <v>441</v>
      </c>
      <c r="B312" s="16"/>
    </row>
    <row r="313" spans="1:10" x14ac:dyDescent="0.35">
      <c r="A313" t="s">
        <v>701</v>
      </c>
      <c r="B313" s="16"/>
    </row>
    <row r="314" spans="1:10" x14ac:dyDescent="0.35">
      <c r="A314" t="s">
        <v>442</v>
      </c>
      <c r="B314" s="16" t="s">
        <v>443</v>
      </c>
      <c r="C314" t="s">
        <v>444</v>
      </c>
      <c r="D314" t="s">
        <v>445</v>
      </c>
      <c r="E314" t="s">
        <v>445</v>
      </c>
      <c r="F314" t="s">
        <v>446</v>
      </c>
      <c r="G314" t="s">
        <v>447</v>
      </c>
      <c r="H314" t="s">
        <v>448</v>
      </c>
      <c r="I314" t="s">
        <v>448</v>
      </c>
    </row>
    <row r="315" spans="1:10" x14ac:dyDescent="0.35">
      <c r="A315" t="s">
        <v>450</v>
      </c>
      <c r="B315" s="16" t="s">
        <v>451</v>
      </c>
      <c r="C315" t="s">
        <v>452</v>
      </c>
      <c r="D315" t="s">
        <v>453</v>
      </c>
      <c r="E315" t="s">
        <v>454</v>
      </c>
      <c r="F315" t="s">
        <v>455</v>
      </c>
      <c r="G315" t="s">
        <v>456</v>
      </c>
      <c r="H315" t="s">
        <v>457</v>
      </c>
      <c r="I315" t="s">
        <v>458</v>
      </c>
    </row>
    <row r="316" spans="1:10" x14ac:dyDescent="0.35">
      <c r="A316" t="s">
        <v>702</v>
      </c>
      <c r="B316" s="16" t="s">
        <v>703</v>
      </c>
      <c r="C316" t="s">
        <v>704</v>
      </c>
      <c r="D316" t="s">
        <v>704</v>
      </c>
      <c r="E316" t="s">
        <v>704</v>
      </c>
      <c r="F316" t="s">
        <v>705</v>
      </c>
      <c r="G316" t="s">
        <v>704</v>
      </c>
      <c r="H316" t="s">
        <v>704</v>
      </c>
      <c r="I316" t="s">
        <v>704</v>
      </c>
    </row>
    <row r="317" spans="1:10" x14ac:dyDescent="0.35">
      <c r="A317">
        <v>1</v>
      </c>
      <c r="B317" s="16" t="s">
        <v>503</v>
      </c>
      <c r="C317">
        <v>0.75619999999999998</v>
      </c>
      <c r="D317">
        <v>0.75290000000000001</v>
      </c>
      <c r="E317">
        <v>0.37719999999999998</v>
      </c>
      <c r="F317">
        <v>10</v>
      </c>
      <c r="G317">
        <v>0.2853</v>
      </c>
      <c r="H317">
        <v>0.2646</v>
      </c>
      <c r="I317">
        <v>0.2107</v>
      </c>
    </row>
    <row r="318" spans="1:10" x14ac:dyDescent="0.35">
      <c r="A318">
        <v>2</v>
      </c>
      <c r="B318" s="16" t="s">
        <v>504</v>
      </c>
      <c r="C318">
        <v>5.5539999999999999E-2</v>
      </c>
      <c r="D318">
        <v>0.88729999999999998</v>
      </c>
      <c r="E318">
        <v>0.87219999999999998</v>
      </c>
      <c r="F318">
        <v>10</v>
      </c>
      <c r="G318">
        <v>4.8439999999999997E-2</v>
      </c>
      <c r="H318">
        <v>4.4929999999999998E-2</v>
      </c>
      <c r="I318">
        <v>3.5779999999999999E-2</v>
      </c>
    </row>
    <row r="319" spans="1:10" x14ac:dyDescent="0.35">
      <c r="A319">
        <v>3</v>
      </c>
      <c r="B319" s="16" t="s">
        <v>505</v>
      </c>
      <c r="C319">
        <v>0.21099999999999999</v>
      </c>
      <c r="D319">
        <v>1.042</v>
      </c>
      <c r="E319">
        <v>0.90690000000000004</v>
      </c>
      <c r="F319">
        <v>10</v>
      </c>
      <c r="G319">
        <v>0.19139999999999999</v>
      </c>
      <c r="H319">
        <v>0.17749999999999999</v>
      </c>
      <c r="I319">
        <v>0.1414</v>
      </c>
    </row>
    <row r="320" spans="1:10" x14ac:dyDescent="0.35">
      <c r="A320">
        <v>4</v>
      </c>
      <c r="B320" s="16" t="s">
        <v>506</v>
      </c>
      <c r="C320">
        <v>0.61950000000000005</v>
      </c>
      <c r="D320">
        <v>1.069</v>
      </c>
      <c r="E320">
        <v>0.89259999999999995</v>
      </c>
      <c r="F320">
        <v>10</v>
      </c>
      <c r="G320">
        <v>0.55289999999999995</v>
      </c>
      <c r="H320">
        <v>0.51290000000000002</v>
      </c>
      <c r="I320">
        <v>0.40839999999999999</v>
      </c>
    </row>
    <row r="321" spans="1:10" x14ac:dyDescent="0.35">
      <c r="A321">
        <v>5</v>
      </c>
      <c r="B321" s="16" t="s">
        <v>507</v>
      </c>
      <c r="C321" s="4">
        <v>6.2299999999999996E-6</v>
      </c>
      <c r="D321">
        <v>1.0229999999999999</v>
      </c>
      <c r="E321">
        <v>1.03</v>
      </c>
      <c r="F321">
        <v>10</v>
      </c>
      <c r="G321" s="4">
        <v>6.4189999999999999E-6</v>
      </c>
      <c r="H321" s="4">
        <v>5.9549999999999997E-6</v>
      </c>
      <c r="I321" s="4">
        <v>4.7419999999999997E-6</v>
      </c>
    </row>
    <row r="322" spans="1:10" x14ac:dyDescent="0.35">
      <c r="A322">
        <v>6</v>
      </c>
      <c r="B322" s="16" t="s">
        <v>464</v>
      </c>
      <c r="C322">
        <v>0.72030000000000005</v>
      </c>
      <c r="D322">
        <v>0.4738</v>
      </c>
      <c r="E322">
        <v>0.38279999999999997</v>
      </c>
      <c r="F322">
        <v>10</v>
      </c>
      <c r="G322">
        <v>0.27579999999999999</v>
      </c>
      <c r="H322" t="s">
        <v>452</v>
      </c>
      <c r="I322">
        <v>0.20369999999999999</v>
      </c>
    </row>
    <row r="323" spans="1:10" x14ac:dyDescent="0.35">
      <c r="A323">
        <v>7</v>
      </c>
      <c r="B323" s="16" t="s">
        <v>466</v>
      </c>
      <c r="C323">
        <v>0.62819999999999998</v>
      </c>
      <c r="D323">
        <v>0.31419999999999998</v>
      </c>
      <c r="E323">
        <v>0.27429999999999999</v>
      </c>
      <c r="F323">
        <v>10</v>
      </c>
      <c r="G323">
        <v>0.17230000000000001</v>
      </c>
      <c r="H323" t="s">
        <v>452</v>
      </c>
      <c r="I323">
        <v>0.13780000000000001</v>
      </c>
    </row>
    <row r="324" spans="1:10" x14ac:dyDescent="0.35">
      <c r="A324">
        <v>8</v>
      </c>
      <c r="B324" s="16" t="s">
        <v>467</v>
      </c>
      <c r="C324">
        <v>0.72030000000000005</v>
      </c>
      <c r="D324">
        <v>0.65290000000000004</v>
      </c>
      <c r="E324">
        <v>0.43090000000000001</v>
      </c>
      <c r="F324">
        <v>10</v>
      </c>
      <c r="G324">
        <v>0.31040000000000001</v>
      </c>
      <c r="H324" t="s">
        <v>452</v>
      </c>
      <c r="I324">
        <v>0.2702</v>
      </c>
    </row>
    <row r="325" spans="1:10" x14ac:dyDescent="0.35">
      <c r="A325">
        <v>9</v>
      </c>
      <c r="B325" s="16" t="s">
        <v>469</v>
      </c>
      <c r="C325">
        <v>0.72030000000000005</v>
      </c>
      <c r="D325">
        <v>0.69889999999999997</v>
      </c>
      <c r="E325">
        <v>0.50609999999999999</v>
      </c>
      <c r="F325">
        <v>10</v>
      </c>
      <c r="G325">
        <v>0.36459999999999998</v>
      </c>
      <c r="H325" t="s">
        <v>452</v>
      </c>
      <c r="I325">
        <v>0.30309999999999998</v>
      </c>
    </row>
    <row r="326" spans="1:10" x14ac:dyDescent="0.35">
      <c r="A326" t="s">
        <v>701</v>
      </c>
      <c r="B326" s="16"/>
    </row>
    <row r="327" spans="1:10" x14ac:dyDescent="0.35">
      <c r="A327" t="s">
        <v>700</v>
      </c>
      <c r="B327" s="16"/>
    </row>
    <row r="328" spans="1:10" x14ac:dyDescent="0.35">
      <c r="A328" t="s">
        <v>470</v>
      </c>
      <c r="B328" s="16"/>
    </row>
    <row r="329" spans="1:10" x14ac:dyDescent="0.35">
      <c r="A329" t="s">
        <v>471</v>
      </c>
      <c r="B329" s="16"/>
    </row>
    <row r="330" spans="1:10" x14ac:dyDescent="0.35">
      <c r="A330" t="s">
        <v>934</v>
      </c>
      <c r="B330" s="16"/>
      <c r="J330">
        <v>12</v>
      </c>
    </row>
    <row r="331" spans="1:10" x14ac:dyDescent="0.35">
      <c r="A331" t="s">
        <v>700</v>
      </c>
      <c r="B331" s="16"/>
    </row>
    <row r="332" spans="1:10" x14ac:dyDescent="0.35">
      <c r="A332" t="s">
        <v>438</v>
      </c>
      <c r="B332" s="16"/>
    </row>
    <row r="333" spans="1:10" x14ac:dyDescent="0.35">
      <c r="A333" t="s">
        <v>439</v>
      </c>
      <c r="B333" s="16"/>
    </row>
    <row r="334" spans="1:10" x14ac:dyDescent="0.35">
      <c r="A334" t="s">
        <v>441</v>
      </c>
      <c r="B334" s="16"/>
    </row>
    <row r="335" spans="1:10" x14ac:dyDescent="0.35">
      <c r="A335" t="s">
        <v>701</v>
      </c>
      <c r="B335" s="16"/>
    </row>
    <row r="336" spans="1:10" x14ac:dyDescent="0.35">
      <c r="A336" t="s">
        <v>442</v>
      </c>
      <c r="B336" s="16" t="s">
        <v>443</v>
      </c>
      <c r="C336" t="s">
        <v>444</v>
      </c>
      <c r="D336" t="s">
        <v>445</v>
      </c>
      <c r="E336" t="s">
        <v>445</v>
      </c>
      <c r="F336" t="s">
        <v>446</v>
      </c>
      <c r="G336" t="s">
        <v>447</v>
      </c>
      <c r="H336" t="s">
        <v>448</v>
      </c>
      <c r="I336" t="s">
        <v>448</v>
      </c>
    </row>
    <row r="337" spans="1:9" x14ac:dyDescent="0.35">
      <c r="A337" t="s">
        <v>450</v>
      </c>
      <c r="B337" s="16" t="s">
        <v>451</v>
      </c>
      <c r="C337" t="s">
        <v>452</v>
      </c>
      <c r="D337" t="s">
        <v>453</v>
      </c>
      <c r="E337" t="s">
        <v>454</v>
      </c>
      <c r="F337" t="s">
        <v>455</v>
      </c>
      <c r="G337" t="s">
        <v>456</v>
      </c>
      <c r="H337" t="s">
        <v>457</v>
      </c>
      <c r="I337" t="s">
        <v>458</v>
      </c>
    </row>
    <row r="338" spans="1:9" x14ac:dyDescent="0.35">
      <c r="A338" t="s">
        <v>702</v>
      </c>
      <c r="B338" s="16" t="s">
        <v>703</v>
      </c>
      <c r="C338" t="s">
        <v>704</v>
      </c>
      <c r="D338" t="s">
        <v>704</v>
      </c>
      <c r="E338" t="s">
        <v>704</v>
      </c>
      <c r="F338" t="s">
        <v>705</v>
      </c>
      <c r="G338" t="s">
        <v>704</v>
      </c>
      <c r="H338" t="s">
        <v>704</v>
      </c>
      <c r="I338" t="s">
        <v>704</v>
      </c>
    </row>
    <row r="339" spans="1:9" x14ac:dyDescent="0.35">
      <c r="A339">
        <v>1</v>
      </c>
      <c r="B339" s="16" t="s">
        <v>508</v>
      </c>
      <c r="C339">
        <v>2.7710000000000001E-4</v>
      </c>
      <c r="D339">
        <v>0.79610000000000003</v>
      </c>
      <c r="E339">
        <v>0.79610000000000003</v>
      </c>
      <c r="F339">
        <v>10</v>
      </c>
      <c r="G339">
        <v>2.206E-4</v>
      </c>
      <c r="H339">
        <v>2.273E-2</v>
      </c>
      <c r="I339">
        <v>3.6289999999999998E-3</v>
      </c>
    </row>
    <row r="340" spans="1:9" x14ac:dyDescent="0.35">
      <c r="A340">
        <v>2</v>
      </c>
      <c r="B340" s="16" t="s">
        <v>509</v>
      </c>
      <c r="C340" s="4">
        <v>3.2230000000000001E-5</v>
      </c>
      <c r="D340">
        <v>0.58650000000000002</v>
      </c>
      <c r="E340">
        <v>0.58650000000000002</v>
      </c>
      <c r="F340">
        <v>10</v>
      </c>
      <c r="G340" s="4">
        <v>1.8899999999999999E-5</v>
      </c>
      <c r="H340">
        <v>1.9469999999999999E-3</v>
      </c>
      <c r="I340">
        <v>3.1090000000000002E-4</v>
      </c>
    </row>
    <row r="341" spans="1:9" x14ac:dyDescent="0.35">
      <c r="A341">
        <v>3</v>
      </c>
      <c r="B341" s="16" t="s">
        <v>510</v>
      </c>
      <c r="C341">
        <v>6.2870000000000001E-3</v>
      </c>
      <c r="D341">
        <v>0.64849999999999997</v>
      </c>
      <c r="E341">
        <v>0.64849999999999997</v>
      </c>
      <c r="F341">
        <v>10</v>
      </c>
      <c r="G341">
        <v>4.0769999999999999E-3</v>
      </c>
      <c r="H341">
        <v>0.42009999999999997</v>
      </c>
      <c r="I341">
        <v>6.7070000000000005E-2</v>
      </c>
    </row>
    <row r="342" spans="1:9" x14ac:dyDescent="0.35">
      <c r="A342">
        <v>4</v>
      </c>
      <c r="B342" s="16" t="s">
        <v>511</v>
      </c>
      <c r="C342" s="4">
        <v>3.2230000000000001E-5</v>
      </c>
      <c r="D342">
        <v>1.1930000000000001</v>
      </c>
      <c r="E342">
        <v>1.1930000000000001</v>
      </c>
      <c r="F342">
        <v>10</v>
      </c>
      <c r="G342" s="4">
        <v>3.8460000000000001E-5</v>
      </c>
      <c r="H342">
        <v>3.9630000000000004E-3</v>
      </c>
      <c r="I342">
        <v>6.3270000000000004E-4</v>
      </c>
    </row>
    <row r="343" spans="1:9" x14ac:dyDescent="0.35">
      <c r="A343">
        <v>5</v>
      </c>
      <c r="B343" s="16" t="s">
        <v>512</v>
      </c>
      <c r="C343">
        <v>1.7080000000000001E-2</v>
      </c>
      <c r="D343">
        <v>0.2505</v>
      </c>
      <c r="E343">
        <v>0.2505</v>
      </c>
      <c r="F343">
        <v>10</v>
      </c>
      <c r="G343">
        <v>4.2779999999999997E-3</v>
      </c>
      <c r="H343">
        <v>0.44080000000000003</v>
      </c>
      <c r="I343">
        <v>7.0379999999999998E-2</v>
      </c>
    </row>
    <row r="344" spans="1:9" x14ac:dyDescent="0.35">
      <c r="A344">
        <v>6</v>
      </c>
      <c r="B344" s="16" t="s">
        <v>513</v>
      </c>
      <c r="C344">
        <v>7.9929999999999997E-4</v>
      </c>
      <c r="D344">
        <v>1.147</v>
      </c>
      <c r="E344">
        <v>1.147</v>
      </c>
      <c r="F344">
        <v>10</v>
      </c>
      <c r="G344">
        <v>9.1640000000000005E-4</v>
      </c>
      <c r="H344">
        <v>9.4420000000000004E-2</v>
      </c>
      <c r="I344">
        <v>1.508E-2</v>
      </c>
    </row>
    <row r="345" spans="1:9" x14ac:dyDescent="0.35">
      <c r="A345">
        <v>7</v>
      </c>
      <c r="B345" s="16" t="s">
        <v>514</v>
      </c>
      <c r="C345">
        <v>4.5600000000000003E-4</v>
      </c>
      <c r="D345">
        <v>0.34150000000000003</v>
      </c>
      <c r="E345">
        <v>0.34150000000000003</v>
      </c>
      <c r="F345">
        <v>10</v>
      </c>
      <c r="G345">
        <v>1.5569999999999999E-4</v>
      </c>
      <c r="H345">
        <v>1.6049999999999998E-2</v>
      </c>
      <c r="I345">
        <v>2.562E-3</v>
      </c>
    </row>
    <row r="346" spans="1:9" x14ac:dyDescent="0.35">
      <c r="A346">
        <v>8</v>
      </c>
      <c r="B346" s="16" t="s">
        <v>464</v>
      </c>
      <c r="C346">
        <v>0.19170000000000001</v>
      </c>
      <c r="D346">
        <v>0.26650000000000001</v>
      </c>
      <c r="E346">
        <v>0.26650000000000001</v>
      </c>
      <c r="F346">
        <v>10</v>
      </c>
      <c r="G346">
        <v>5.108E-2</v>
      </c>
      <c r="H346" t="s">
        <v>452</v>
      </c>
      <c r="I346">
        <v>0.84030000000000005</v>
      </c>
    </row>
    <row r="347" spans="1:9" x14ac:dyDescent="0.35">
      <c r="A347">
        <v>9</v>
      </c>
      <c r="B347" s="16" t="s">
        <v>466</v>
      </c>
      <c r="C347">
        <v>6.0830000000000002E-2</v>
      </c>
      <c r="D347">
        <v>0.2069</v>
      </c>
      <c r="E347">
        <v>0.2069</v>
      </c>
      <c r="F347">
        <v>10</v>
      </c>
      <c r="G347">
        <v>1.2579999999999999E-2</v>
      </c>
      <c r="H347" t="s">
        <v>452</v>
      </c>
      <c r="I347">
        <v>0.56459999999999999</v>
      </c>
    </row>
    <row r="348" spans="1:9" x14ac:dyDescent="0.35">
      <c r="A348">
        <v>10</v>
      </c>
      <c r="B348" s="16" t="s">
        <v>467</v>
      </c>
      <c r="C348">
        <v>0.39439999999999997</v>
      </c>
      <c r="D348">
        <v>0.2757</v>
      </c>
      <c r="E348">
        <v>0.2757</v>
      </c>
      <c r="F348">
        <v>10</v>
      </c>
      <c r="G348">
        <v>0.1087</v>
      </c>
      <c r="H348" t="s">
        <v>452</v>
      </c>
      <c r="I348">
        <v>0.9214</v>
      </c>
    </row>
    <row r="349" spans="1:9" x14ac:dyDescent="0.35">
      <c r="A349">
        <v>11</v>
      </c>
      <c r="B349" s="16" t="s">
        <v>469</v>
      </c>
      <c r="C349">
        <v>0.31359999999999999</v>
      </c>
      <c r="D349">
        <v>0.29830000000000001</v>
      </c>
      <c r="E349">
        <v>0.29830000000000001</v>
      </c>
      <c r="F349">
        <v>10</v>
      </c>
      <c r="G349">
        <v>9.3549999999999994E-2</v>
      </c>
      <c r="H349" t="s">
        <v>452</v>
      </c>
      <c r="I349">
        <v>0.90600000000000003</v>
      </c>
    </row>
    <row r="350" spans="1:9" x14ac:dyDescent="0.35">
      <c r="A350" t="s">
        <v>701</v>
      </c>
      <c r="B350" s="16"/>
    </row>
    <row r="351" spans="1:9" x14ac:dyDescent="0.35">
      <c r="A351" t="s">
        <v>700</v>
      </c>
      <c r="B351" s="16"/>
    </row>
    <row r="352" spans="1:9" x14ac:dyDescent="0.35">
      <c r="A352" t="s">
        <v>470</v>
      </c>
      <c r="B352" s="16"/>
    </row>
    <row r="353" spans="1:10" x14ac:dyDescent="0.35">
      <c r="A353" t="s">
        <v>471</v>
      </c>
      <c r="B353" s="16"/>
    </row>
    <row r="354" spans="1:10" x14ac:dyDescent="0.35">
      <c r="A354" t="s">
        <v>935</v>
      </c>
      <c r="B354" s="16"/>
      <c r="J354">
        <v>13</v>
      </c>
    </row>
    <row r="355" spans="1:10" x14ac:dyDescent="0.35">
      <c r="A355" t="s">
        <v>700</v>
      </c>
      <c r="B355" s="16"/>
    </row>
    <row r="356" spans="1:10" x14ac:dyDescent="0.35">
      <c r="A356" t="s">
        <v>438</v>
      </c>
      <c r="B356" s="16"/>
    </row>
    <row r="357" spans="1:10" x14ac:dyDescent="0.35">
      <c r="A357" t="s">
        <v>439</v>
      </c>
      <c r="B357" s="16"/>
    </row>
    <row r="358" spans="1:10" x14ac:dyDescent="0.35">
      <c r="A358" t="s">
        <v>441</v>
      </c>
      <c r="B358" s="16"/>
    </row>
    <row r="359" spans="1:10" x14ac:dyDescent="0.35">
      <c r="A359" t="s">
        <v>701</v>
      </c>
      <c r="B359" s="16"/>
    </row>
    <row r="360" spans="1:10" x14ac:dyDescent="0.35">
      <c r="A360" t="s">
        <v>442</v>
      </c>
      <c r="B360" s="16" t="s">
        <v>443</v>
      </c>
      <c r="C360" t="s">
        <v>444</v>
      </c>
      <c r="D360" t="s">
        <v>445</v>
      </c>
      <c r="E360" t="s">
        <v>445</v>
      </c>
      <c r="F360" t="s">
        <v>446</v>
      </c>
      <c r="G360" t="s">
        <v>447</v>
      </c>
      <c r="H360" t="s">
        <v>448</v>
      </c>
      <c r="I360" t="s">
        <v>448</v>
      </c>
    </row>
    <row r="361" spans="1:10" x14ac:dyDescent="0.35">
      <c r="A361" t="s">
        <v>450</v>
      </c>
      <c r="B361" s="16" t="s">
        <v>451</v>
      </c>
      <c r="C361" t="s">
        <v>452</v>
      </c>
      <c r="D361" t="s">
        <v>453</v>
      </c>
      <c r="E361" t="s">
        <v>454</v>
      </c>
      <c r="F361" t="s">
        <v>455</v>
      </c>
      <c r="G361" t="s">
        <v>456</v>
      </c>
      <c r="H361" t="s">
        <v>457</v>
      </c>
      <c r="I361" t="s">
        <v>458</v>
      </c>
    </row>
    <row r="362" spans="1:10" x14ac:dyDescent="0.35">
      <c r="A362" t="s">
        <v>702</v>
      </c>
      <c r="B362" s="16" t="s">
        <v>703</v>
      </c>
      <c r="C362" t="s">
        <v>704</v>
      </c>
      <c r="D362" t="s">
        <v>704</v>
      </c>
      <c r="E362" t="s">
        <v>704</v>
      </c>
      <c r="F362" t="s">
        <v>705</v>
      </c>
      <c r="G362" t="s">
        <v>704</v>
      </c>
      <c r="H362" t="s">
        <v>704</v>
      </c>
      <c r="I362" t="s">
        <v>704</v>
      </c>
    </row>
    <row r="363" spans="1:10" x14ac:dyDescent="0.35">
      <c r="A363">
        <v>1</v>
      </c>
      <c r="B363" s="16">
        <v>1</v>
      </c>
      <c r="C363">
        <v>0.1012</v>
      </c>
      <c r="D363">
        <v>2.1930000000000001</v>
      </c>
      <c r="E363">
        <v>1.8240000000000001</v>
      </c>
      <c r="F363">
        <v>10</v>
      </c>
      <c r="G363">
        <v>0.18459999999999999</v>
      </c>
      <c r="H363">
        <v>0.1056</v>
      </c>
      <c r="I363">
        <v>8.412E-2</v>
      </c>
    </row>
    <row r="364" spans="1:10" x14ac:dyDescent="0.35">
      <c r="A364">
        <v>2</v>
      </c>
      <c r="B364" s="16">
        <v>2</v>
      </c>
      <c r="C364" s="4">
        <v>1.579E-5</v>
      </c>
      <c r="D364">
        <v>2.218</v>
      </c>
      <c r="E364">
        <v>2.8759999999999999</v>
      </c>
      <c r="F364">
        <v>10</v>
      </c>
      <c r="G364" s="4">
        <v>4.5410000000000001E-5</v>
      </c>
      <c r="H364" s="4">
        <v>2.5959999999999999E-5</v>
      </c>
      <c r="I364" s="4">
        <v>2.069E-5</v>
      </c>
    </row>
    <row r="365" spans="1:10" x14ac:dyDescent="0.35">
      <c r="A365">
        <v>3</v>
      </c>
      <c r="B365" s="16">
        <v>3</v>
      </c>
      <c r="C365">
        <v>0.31359999999999999</v>
      </c>
      <c r="D365">
        <v>2.2970000000000002</v>
      </c>
      <c r="E365">
        <v>2.194</v>
      </c>
      <c r="F365">
        <v>10</v>
      </c>
      <c r="G365">
        <v>0.68810000000000004</v>
      </c>
      <c r="H365">
        <v>0.39350000000000002</v>
      </c>
      <c r="I365">
        <v>0.3135</v>
      </c>
    </row>
    <row r="366" spans="1:10" x14ac:dyDescent="0.35">
      <c r="A366">
        <v>4</v>
      </c>
      <c r="B366" s="16">
        <v>4</v>
      </c>
      <c r="C366">
        <v>2.6370000000000001E-4</v>
      </c>
      <c r="D366">
        <v>1.55</v>
      </c>
      <c r="E366">
        <v>1.3660000000000001</v>
      </c>
      <c r="F366">
        <v>10</v>
      </c>
      <c r="G366">
        <v>3.6019999999999997E-4</v>
      </c>
      <c r="H366">
        <v>2.0599999999999999E-4</v>
      </c>
      <c r="I366">
        <v>1.641E-4</v>
      </c>
    </row>
    <row r="367" spans="1:10" x14ac:dyDescent="0.35">
      <c r="A367">
        <v>5</v>
      </c>
      <c r="B367" s="16">
        <v>5</v>
      </c>
      <c r="C367" s="4">
        <v>1.0669999999999999E-6</v>
      </c>
      <c r="D367">
        <v>2.2149999999999999</v>
      </c>
      <c r="E367">
        <v>2.9020000000000001</v>
      </c>
      <c r="F367">
        <v>10</v>
      </c>
      <c r="G367" s="4">
        <v>3.095E-6</v>
      </c>
      <c r="H367" s="4">
        <v>1.77E-6</v>
      </c>
      <c r="I367" s="4">
        <v>1.4100000000000001E-6</v>
      </c>
    </row>
    <row r="368" spans="1:10" x14ac:dyDescent="0.35">
      <c r="A368">
        <v>6</v>
      </c>
      <c r="B368" s="16">
        <v>6</v>
      </c>
      <c r="C368">
        <v>7.5020000000000003E-2</v>
      </c>
      <c r="D368">
        <v>1.7649999999999999</v>
      </c>
      <c r="E368">
        <v>1.9239999999999999</v>
      </c>
      <c r="F368">
        <v>10</v>
      </c>
      <c r="G368">
        <v>0.1444</v>
      </c>
      <c r="H368">
        <v>8.2549999999999998E-2</v>
      </c>
      <c r="I368">
        <v>6.5780000000000005E-2</v>
      </c>
    </row>
    <row r="369" spans="1:9" x14ac:dyDescent="0.35">
      <c r="A369">
        <v>7</v>
      </c>
      <c r="B369" s="16">
        <v>7</v>
      </c>
      <c r="C369" s="4">
        <v>5.596E-5</v>
      </c>
      <c r="D369">
        <v>3.0979999999999999</v>
      </c>
      <c r="E369">
        <v>3.0129999999999999</v>
      </c>
      <c r="F369">
        <v>10</v>
      </c>
      <c r="G369">
        <v>1.6860000000000001E-4</v>
      </c>
      <c r="H369" s="4">
        <v>9.6409999999999993E-5</v>
      </c>
      <c r="I369" s="4">
        <v>7.682E-5</v>
      </c>
    </row>
    <row r="370" spans="1:9" x14ac:dyDescent="0.35">
      <c r="A370">
        <v>8</v>
      </c>
      <c r="B370" s="16">
        <v>8</v>
      </c>
      <c r="C370">
        <v>1.628E-4</v>
      </c>
      <c r="D370">
        <v>1.8580000000000001</v>
      </c>
      <c r="E370">
        <v>2.4159999999999999</v>
      </c>
      <c r="F370">
        <v>10</v>
      </c>
      <c r="G370">
        <v>3.9330000000000002E-4</v>
      </c>
      <c r="H370">
        <v>2.2489999999999999E-4</v>
      </c>
      <c r="I370">
        <v>1.7919999999999999E-4</v>
      </c>
    </row>
    <row r="371" spans="1:9" x14ac:dyDescent="0.35">
      <c r="A371">
        <v>9</v>
      </c>
      <c r="B371" s="16">
        <v>9</v>
      </c>
      <c r="C371">
        <v>1.1019999999999999E-3</v>
      </c>
      <c r="D371">
        <v>1.9079999999999999</v>
      </c>
      <c r="E371">
        <v>2.2309999999999999</v>
      </c>
      <c r="F371">
        <v>10</v>
      </c>
      <c r="G371">
        <v>2.4589999999999998E-3</v>
      </c>
      <c r="H371">
        <v>1.4059999999999999E-3</v>
      </c>
      <c r="I371">
        <v>1.1199999999999999E-3</v>
      </c>
    </row>
    <row r="372" spans="1:9" x14ac:dyDescent="0.35">
      <c r="A372">
        <v>10</v>
      </c>
      <c r="B372" s="16">
        <v>10</v>
      </c>
      <c r="C372">
        <v>0.49249999999999999</v>
      </c>
      <c r="D372">
        <v>1.385</v>
      </c>
      <c r="E372">
        <v>1.1240000000000001</v>
      </c>
      <c r="F372">
        <v>10</v>
      </c>
      <c r="G372">
        <v>0.55379999999999996</v>
      </c>
      <c r="H372">
        <v>0.31659999999999999</v>
      </c>
      <c r="I372">
        <v>0.25230000000000002</v>
      </c>
    </row>
    <row r="373" spans="1:9" x14ac:dyDescent="0.35">
      <c r="A373">
        <v>11</v>
      </c>
      <c r="B373" s="16">
        <v>11</v>
      </c>
      <c r="C373">
        <v>7.5020000000000003E-2</v>
      </c>
      <c r="D373">
        <v>1.5289999999999999</v>
      </c>
      <c r="E373">
        <v>2.0539999999999998</v>
      </c>
      <c r="F373">
        <v>10</v>
      </c>
      <c r="G373">
        <v>0.15409999999999999</v>
      </c>
      <c r="H373">
        <v>8.8109999999999994E-2</v>
      </c>
      <c r="I373">
        <v>7.0209999999999995E-2</v>
      </c>
    </row>
    <row r="374" spans="1:9" x14ac:dyDescent="0.35">
      <c r="A374">
        <v>12</v>
      </c>
      <c r="B374" s="16">
        <v>12</v>
      </c>
      <c r="C374" s="4">
        <v>4.0790000000000002E-6</v>
      </c>
      <c r="D374">
        <v>1.7549999999999999</v>
      </c>
      <c r="E374">
        <v>2.7709999999999999</v>
      </c>
      <c r="F374">
        <v>10</v>
      </c>
      <c r="G374" s="4">
        <v>1.13E-5</v>
      </c>
      <c r="H374" s="4">
        <v>6.4609999999999996E-6</v>
      </c>
      <c r="I374" s="4">
        <v>5.1490000000000002E-6</v>
      </c>
    </row>
    <row r="375" spans="1:9" x14ac:dyDescent="0.35">
      <c r="A375">
        <v>13</v>
      </c>
      <c r="B375" s="16">
        <v>13</v>
      </c>
      <c r="C375">
        <v>1.805E-3</v>
      </c>
      <c r="D375">
        <v>2.0870000000000002</v>
      </c>
      <c r="E375">
        <v>2.6949999999999998</v>
      </c>
      <c r="F375">
        <v>10</v>
      </c>
      <c r="G375">
        <v>4.8650000000000004E-3</v>
      </c>
      <c r="H375">
        <v>2.7810000000000001E-3</v>
      </c>
      <c r="I375">
        <v>2.2160000000000001E-3</v>
      </c>
    </row>
    <row r="376" spans="1:9" x14ac:dyDescent="0.35">
      <c r="A376">
        <v>14</v>
      </c>
      <c r="B376" s="16">
        <v>14</v>
      </c>
      <c r="C376">
        <v>6.2870000000000001E-3</v>
      </c>
      <c r="D376">
        <v>1.996</v>
      </c>
      <c r="E376">
        <v>2.488</v>
      </c>
      <c r="F376">
        <v>10</v>
      </c>
      <c r="G376">
        <v>1.5640000000000001E-2</v>
      </c>
      <c r="H376">
        <v>8.9429999999999996E-3</v>
      </c>
      <c r="I376">
        <v>7.1269999999999997E-3</v>
      </c>
    </row>
    <row r="377" spans="1:9" x14ac:dyDescent="0.35">
      <c r="A377">
        <v>15</v>
      </c>
      <c r="B377" s="16" t="s">
        <v>464</v>
      </c>
      <c r="C377">
        <v>0.47349999999999998</v>
      </c>
      <c r="D377">
        <v>1.0189999999999999</v>
      </c>
      <c r="E377">
        <v>0.94159999999999999</v>
      </c>
      <c r="F377">
        <v>10</v>
      </c>
      <c r="G377">
        <v>0.44579999999999997</v>
      </c>
      <c r="H377" t="s">
        <v>452</v>
      </c>
      <c r="I377">
        <v>0.2031</v>
      </c>
    </row>
    <row r="378" spans="1:9" x14ac:dyDescent="0.35">
      <c r="A378">
        <v>16</v>
      </c>
      <c r="B378" s="16" t="s">
        <v>466</v>
      </c>
      <c r="C378">
        <v>0.47349999999999998</v>
      </c>
      <c r="D378">
        <v>0.8085</v>
      </c>
      <c r="E378">
        <v>0.9304</v>
      </c>
      <c r="F378">
        <v>10</v>
      </c>
      <c r="G378">
        <v>0.4405</v>
      </c>
      <c r="H378" t="s">
        <v>452</v>
      </c>
      <c r="I378">
        <v>0.20119999999999999</v>
      </c>
    </row>
    <row r="379" spans="1:9" x14ac:dyDescent="0.35">
      <c r="A379">
        <v>17</v>
      </c>
      <c r="B379" s="16" t="s">
        <v>467</v>
      </c>
      <c r="C379">
        <v>0.49249999999999999</v>
      </c>
      <c r="D379">
        <v>1.4019999999999999</v>
      </c>
      <c r="E379">
        <v>1.2150000000000001</v>
      </c>
      <c r="F379">
        <v>10</v>
      </c>
      <c r="G379">
        <v>0.59830000000000005</v>
      </c>
      <c r="H379" t="s">
        <v>452</v>
      </c>
      <c r="I379">
        <v>0.3251</v>
      </c>
    </row>
    <row r="380" spans="1:9" x14ac:dyDescent="0.35">
      <c r="A380">
        <v>18</v>
      </c>
      <c r="B380" s="16" t="s">
        <v>469</v>
      </c>
      <c r="C380">
        <v>0.68269999999999997</v>
      </c>
      <c r="D380">
        <v>1.4830000000000001</v>
      </c>
      <c r="E380">
        <v>1.325</v>
      </c>
      <c r="F380">
        <v>10</v>
      </c>
      <c r="G380">
        <v>0.90490000000000004</v>
      </c>
      <c r="H380" t="s">
        <v>452</v>
      </c>
      <c r="I380">
        <v>0.42149999999999999</v>
      </c>
    </row>
    <row r="381" spans="1:9" x14ac:dyDescent="0.35">
      <c r="A381" t="s">
        <v>701</v>
      </c>
      <c r="B381" s="16"/>
    </row>
    <row r="382" spans="1:9" x14ac:dyDescent="0.35">
      <c r="A382" t="s">
        <v>700</v>
      </c>
      <c r="B382" s="16"/>
    </row>
    <row r="383" spans="1:9" x14ac:dyDescent="0.35">
      <c r="A383" t="s">
        <v>470</v>
      </c>
      <c r="B383" s="16"/>
    </row>
    <row r="384" spans="1:9" x14ac:dyDescent="0.35">
      <c r="A384" t="s">
        <v>471</v>
      </c>
      <c r="B384" s="16"/>
    </row>
    <row r="385" spans="1:10" x14ac:dyDescent="0.35">
      <c r="A385" t="s">
        <v>936</v>
      </c>
      <c r="B385" s="16"/>
      <c r="J385">
        <v>14</v>
      </c>
    </row>
    <row r="386" spans="1:10" x14ac:dyDescent="0.35">
      <c r="A386" t="s">
        <v>700</v>
      </c>
      <c r="B386" s="16"/>
    </row>
    <row r="387" spans="1:10" x14ac:dyDescent="0.35">
      <c r="A387" t="s">
        <v>438</v>
      </c>
      <c r="B387" s="16"/>
    </row>
    <row r="388" spans="1:10" x14ac:dyDescent="0.35">
      <c r="A388" t="s">
        <v>439</v>
      </c>
      <c r="B388" s="16"/>
    </row>
    <row r="389" spans="1:10" x14ac:dyDescent="0.35">
      <c r="A389" t="s">
        <v>441</v>
      </c>
      <c r="B389" s="16"/>
    </row>
    <row r="390" spans="1:10" x14ac:dyDescent="0.35">
      <c r="A390" t="s">
        <v>701</v>
      </c>
      <c r="B390" s="16"/>
    </row>
    <row r="391" spans="1:10" x14ac:dyDescent="0.35">
      <c r="A391" t="s">
        <v>442</v>
      </c>
      <c r="B391" s="16" t="s">
        <v>443</v>
      </c>
      <c r="C391" t="s">
        <v>444</v>
      </c>
      <c r="D391" t="s">
        <v>445</v>
      </c>
      <c r="E391" t="s">
        <v>445</v>
      </c>
      <c r="F391" t="s">
        <v>446</v>
      </c>
      <c r="G391" t="s">
        <v>447</v>
      </c>
      <c r="H391" t="s">
        <v>448</v>
      </c>
      <c r="I391" t="s">
        <v>448</v>
      </c>
    </row>
    <row r="392" spans="1:10" x14ac:dyDescent="0.35">
      <c r="A392" t="s">
        <v>450</v>
      </c>
      <c r="B392" s="16" t="s">
        <v>451</v>
      </c>
      <c r="C392" t="s">
        <v>452</v>
      </c>
      <c r="D392" t="s">
        <v>453</v>
      </c>
      <c r="E392" t="s">
        <v>454</v>
      </c>
      <c r="F392" t="s">
        <v>455</v>
      </c>
      <c r="G392" t="s">
        <v>456</v>
      </c>
      <c r="H392" t="s">
        <v>457</v>
      </c>
      <c r="I392" t="s">
        <v>458</v>
      </c>
    </row>
    <row r="393" spans="1:10" x14ac:dyDescent="0.35">
      <c r="A393" t="s">
        <v>702</v>
      </c>
      <c r="B393" s="16" t="s">
        <v>703</v>
      </c>
      <c r="C393" t="s">
        <v>704</v>
      </c>
      <c r="D393" t="s">
        <v>704</v>
      </c>
      <c r="E393" t="s">
        <v>704</v>
      </c>
      <c r="F393" t="s">
        <v>705</v>
      </c>
      <c r="G393" t="s">
        <v>704</v>
      </c>
      <c r="H393" t="s">
        <v>704</v>
      </c>
      <c r="I393" t="s">
        <v>704</v>
      </c>
    </row>
    <row r="394" spans="1:10" x14ac:dyDescent="0.35">
      <c r="A394">
        <v>1</v>
      </c>
      <c r="B394" s="16" t="s">
        <v>515</v>
      </c>
      <c r="C394">
        <v>0.55389999999999995</v>
      </c>
      <c r="D394">
        <v>1.4059999999999999</v>
      </c>
      <c r="E394">
        <v>0.63360000000000005</v>
      </c>
      <c r="F394">
        <v>7</v>
      </c>
      <c r="G394">
        <v>0.35089999999999999</v>
      </c>
      <c r="H394">
        <v>0.76739999999999997</v>
      </c>
      <c r="I394">
        <v>0.56979999999999997</v>
      </c>
    </row>
    <row r="395" spans="1:10" x14ac:dyDescent="0.35">
      <c r="A395">
        <v>2</v>
      </c>
      <c r="B395" s="16" t="s">
        <v>516</v>
      </c>
      <c r="C395">
        <v>0.1822</v>
      </c>
      <c r="D395">
        <v>0.46350000000000002</v>
      </c>
      <c r="E395">
        <v>0.53149999999999997</v>
      </c>
      <c r="F395">
        <v>7</v>
      </c>
      <c r="G395">
        <v>9.6820000000000003E-2</v>
      </c>
      <c r="H395">
        <v>0.2117</v>
      </c>
      <c r="I395">
        <v>0.15720000000000001</v>
      </c>
    </row>
    <row r="396" spans="1:10" x14ac:dyDescent="0.35">
      <c r="A396">
        <v>3</v>
      </c>
      <c r="B396" s="16" t="s">
        <v>517</v>
      </c>
      <c r="C396" s="4">
        <v>4.3539999999999999E-7</v>
      </c>
      <c r="D396">
        <v>1.129</v>
      </c>
      <c r="E396">
        <v>1.444</v>
      </c>
      <c r="F396">
        <v>7</v>
      </c>
      <c r="G396" s="4">
        <v>6.2880000000000002E-7</v>
      </c>
      <c r="H396" s="4">
        <v>1.375E-6</v>
      </c>
      <c r="I396" s="4">
        <v>1.0210000000000001E-6</v>
      </c>
    </row>
    <row r="397" spans="1:10" x14ac:dyDescent="0.35">
      <c r="A397">
        <v>4</v>
      </c>
      <c r="B397" s="16" t="s">
        <v>518</v>
      </c>
      <c r="C397">
        <v>1.6160000000000001E-2</v>
      </c>
      <c r="D397">
        <v>0.76429999999999998</v>
      </c>
      <c r="E397">
        <v>0.59009999999999996</v>
      </c>
      <c r="F397">
        <v>7</v>
      </c>
      <c r="G397">
        <v>9.5359999999999993E-3</v>
      </c>
      <c r="H397">
        <v>2.085E-2</v>
      </c>
      <c r="I397">
        <v>1.5480000000000001E-2</v>
      </c>
    </row>
    <row r="398" spans="1:10" x14ac:dyDescent="0.35">
      <c r="A398">
        <v>5</v>
      </c>
      <c r="B398" s="16" t="s">
        <v>464</v>
      </c>
      <c r="C398">
        <v>0.67889999999999995</v>
      </c>
      <c r="D398">
        <v>0.45340000000000003</v>
      </c>
      <c r="E398">
        <v>0.23369999999999999</v>
      </c>
      <c r="F398">
        <v>7</v>
      </c>
      <c r="G398">
        <v>0.15870000000000001</v>
      </c>
      <c r="H398" t="s">
        <v>452</v>
      </c>
      <c r="I398">
        <v>0.2576</v>
      </c>
    </row>
    <row r="399" spans="1:10" x14ac:dyDescent="0.35">
      <c r="A399">
        <v>6</v>
      </c>
      <c r="B399" s="16" t="s">
        <v>466</v>
      </c>
      <c r="C399">
        <v>0.53320000000000001</v>
      </c>
      <c r="D399">
        <v>0.24030000000000001</v>
      </c>
      <c r="E399">
        <v>0.1676</v>
      </c>
      <c r="F399">
        <v>7</v>
      </c>
      <c r="G399">
        <v>8.9349999999999999E-2</v>
      </c>
      <c r="H399" t="s">
        <v>452</v>
      </c>
      <c r="I399">
        <v>0.16350000000000001</v>
      </c>
    </row>
    <row r="400" spans="1:10" x14ac:dyDescent="0.35">
      <c r="A400">
        <v>7</v>
      </c>
      <c r="B400" s="16" t="s">
        <v>467</v>
      </c>
      <c r="C400">
        <v>0.55389999999999995</v>
      </c>
      <c r="D400">
        <v>1.4059999999999999</v>
      </c>
      <c r="E400">
        <v>0.63360000000000005</v>
      </c>
      <c r="F400">
        <v>7</v>
      </c>
      <c r="G400">
        <v>0.35089999999999999</v>
      </c>
      <c r="H400" t="s">
        <v>452</v>
      </c>
      <c r="I400">
        <v>0.5</v>
      </c>
    </row>
    <row r="401" spans="1:10" x14ac:dyDescent="0.35">
      <c r="A401">
        <v>8</v>
      </c>
      <c r="B401" s="16" t="s">
        <v>469</v>
      </c>
      <c r="C401">
        <v>0.55389999999999995</v>
      </c>
      <c r="D401">
        <v>1.4059999999999999</v>
      </c>
      <c r="E401">
        <v>0.63360000000000005</v>
      </c>
      <c r="F401">
        <v>7</v>
      </c>
      <c r="G401">
        <v>0.35089999999999999</v>
      </c>
      <c r="H401" t="s">
        <v>452</v>
      </c>
      <c r="I401">
        <v>0.43940000000000001</v>
      </c>
    </row>
    <row r="402" spans="1:10" x14ac:dyDescent="0.35">
      <c r="A402" t="s">
        <v>701</v>
      </c>
      <c r="B402" s="16"/>
    </row>
    <row r="403" spans="1:10" x14ac:dyDescent="0.35">
      <c r="A403" t="s">
        <v>700</v>
      </c>
      <c r="B403" s="16"/>
    </row>
    <row r="404" spans="1:10" x14ac:dyDescent="0.35">
      <c r="A404" t="s">
        <v>470</v>
      </c>
      <c r="B404" s="16"/>
    </row>
    <row r="405" spans="1:10" x14ac:dyDescent="0.35">
      <c r="A405" t="s">
        <v>471</v>
      </c>
      <c r="B405" s="16"/>
    </row>
    <row r="406" spans="1:10" x14ac:dyDescent="0.35">
      <c r="A406" t="s">
        <v>937</v>
      </c>
      <c r="B406" s="16"/>
      <c r="J406">
        <v>15</v>
      </c>
    </row>
    <row r="407" spans="1:10" x14ac:dyDescent="0.35">
      <c r="A407" t="s">
        <v>700</v>
      </c>
      <c r="B407" s="16"/>
    </row>
    <row r="408" spans="1:10" x14ac:dyDescent="0.35">
      <c r="A408" t="s">
        <v>438</v>
      </c>
      <c r="B408" s="16"/>
    </row>
    <row r="409" spans="1:10" x14ac:dyDescent="0.35">
      <c r="A409" t="s">
        <v>439</v>
      </c>
      <c r="B409" s="16"/>
    </row>
    <row r="410" spans="1:10" x14ac:dyDescent="0.35">
      <c r="A410" t="s">
        <v>441</v>
      </c>
      <c r="B410" s="16"/>
    </row>
    <row r="411" spans="1:10" x14ac:dyDescent="0.35">
      <c r="A411" t="s">
        <v>701</v>
      </c>
      <c r="B411" s="16"/>
    </row>
    <row r="412" spans="1:10" x14ac:dyDescent="0.35">
      <c r="A412" t="s">
        <v>442</v>
      </c>
      <c r="B412" s="16" t="s">
        <v>443</v>
      </c>
      <c r="C412" t="s">
        <v>444</v>
      </c>
      <c r="D412" t="s">
        <v>445</v>
      </c>
      <c r="E412" t="s">
        <v>445</v>
      </c>
      <c r="F412" t="s">
        <v>446</v>
      </c>
      <c r="G412" t="s">
        <v>447</v>
      </c>
      <c r="H412" t="s">
        <v>448</v>
      </c>
      <c r="I412" t="s">
        <v>448</v>
      </c>
    </row>
    <row r="413" spans="1:10" x14ac:dyDescent="0.35">
      <c r="A413" t="s">
        <v>450</v>
      </c>
      <c r="B413" s="16" t="s">
        <v>451</v>
      </c>
      <c r="C413" t="s">
        <v>452</v>
      </c>
      <c r="D413" t="s">
        <v>453</v>
      </c>
      <c r="E413" t="s">
        <v>454</v>
      </c>
      <c r="F413" t="s">
        <v>455</v>
      </c>
      <c r="G413" t="s">
        <v>456</v>
      </c>
      <c r="H413" t="s">
        <v>457</v>
      </c>
      <c r="I413" t="s">
        <v>458</v>
      </c>
    </row>
    <row r="414" spans="1:10" x14ac:dyDescent="0.35">
      <c r="A414" t="s">
        <v>702</v>
      </c>
      <c r="B414" s="16" t="s">
        <v>703</v>
      </c>
      <c r="C414" t="s">
        <v>704</v>
      </c>
      <c r="D414" t="s">
        <v>704</v>
      </c>
      <c r="E414" t="s">
        <v>704</v>
      </c>
      <c r="F414" t="s">
        <v>705</v>
      </c>
      <c r="G414" t="s">
        <v>704</v>
      </c>
      <c r="H414" t="s">
        <v>704</v>
      </c>
      <c r="I414" t="s">
        <v>704</v>
      </c>
    </row>
    <row r="415" spans="1:10" x14ac:dyDescent="0.35">
      <c r="A415">
        <v>1</v>
      </c>
      <c r="B415" s="16">
        <v>1</v>
      </c>
      <c r="C415">
        <v>2.0589999999999999E-4</v>
      </c>
      <c r="D415">
        <v>1.331</v>
      </c>
      <c r="E415">
        <v>1.302</v>
      </c>
      <c r="F415">
        <v>10</v>
      </c>
      <c r="G415">
        <v>2.6800000000000001E-4</v>
      </c>
      <c r="H415">
        <v>1.064E-2</v>
      </c>
      <c r="I415">
        <v>1.663E-3</v>
      </c>
    </row>
    <row r="416" spans="1:10" x14ac:dyDescent="0.35">
      <c r="A416">
        <v>2</v>
      </c>
      <c r="B416" s="16">
        <v>2</v>
      </c>
      <c r="C416">
        <v>1.328E-4</v>
      </c>
      <c r="D416">
        <v>2.0169999999999999</v>
      </c>
      <c r="E416">
        <v>2.3109999999999999</v>
      </c>
      <c r="F416">
        <v>10</v>
      </c>
      <c r="G416">
        <v>3.0689999999999998E-4</v>
      </c>
      <c r="H416">
        <v>1.2189999999999999E-2</v>
      </c>
      <c r="I416">
        <v>1.905E-3</v>
      </c>
    </row>
    <row r="417" spans="1:10" x14ac:dyDescent="0.35">
      <c r="A417">
        <v>3</v>
      </c>
      <c r="B417" s="16">
        <v>3</v>
      </c>
      <c r="C417" s="4">
        <v>6.2299999999999996E-6</v>
      </c>
      <c r="D417">
        <v>3.1259999999999999</v>
      </c>
      <c r="E417">
        <v>1.819</v>
      </c>
      <c r="F417">
        <v>10</v>
      </c>
      <c r="G417" s="4">
        <v>1.133E-5</v>
      </c>
      <c r="H417">
        <v>4.4999999999999999E-4</v>
      </c>
      <c r="I417" s="4">
        <v>7.0339999999999994E-5</v>
      </c>
    </row>
    <row r="418" spans="1:10" x14ac:dyDescent="0.35">
      <c r="A418">
        <v>4</v>
      </c>
      <c r="B418" s="16">
        <v>4</v>
      </c>
      <c r="C418">
        <v>5.9280000000000001E-3</v>
      </c>
      <c r="D418">
        <v>2.6619999999999999</v>
      </c>
      <c r="E418">
        <v>1.47</v>
      </c>
      <c r="F418">
        <v>10</v>
      </c>
      <c r="G418">
        <v>8.7150000000000005E-3</v>
      </c>
      <c r="H418">
        <v>0.34610000000000002</v>
      </c>
      <c r="I418">
        <v>5.4100000000000002E-2</v>
      </c>
    </row>
    <row r="419" spans="1:10" x14ac:dyDescent="0.35">
      <c r="A419">
        <v>5</v>
      </c>
      <c r="B419" s="16">
        <v>5</v>
      </c>
      <c r="C419">
        <v>7.6210000000000002E-3</v>
      </c>
      <c r="D419">
        <v>1.2669999999999999</v>
      </c>
      <c r="E419">
        <v>1.917</v>
      </c>
      <c r="F419">
        <v>10</v>
      </c>
      <c r="G419">
        <v>1.461E-2</v>
      </c>
      <c r="H419">
        <v>0.58009999999999995</v>
      </c>
      <c r="I419">
        <v>9.0660000000000004E-2</v>
      </c>
    </row>
    <row r="420" spans="1:10" x14ac:dyDescent="0.35">
      <c r="A420">
        <v>6</v>
      </c>
      <c r="B420" s="16">
        <v>6</v>
      </c>
      <c r="C420" s="4">
        <v>2.3980000000000001E-5</v>
      </c>
      <c r="D420">
        <v>1.5580000000000001</v>
      </c>
      <c r="E420">
        <v>2.028</v>
      </c>
      <c r="F420">
        <v>10</v>
      </c>
      <c r="G420" s="4">
        <v>4.863E-5</v>
      </c>
      <c r="H420">
        <v>1.931E-3</v>
      </c>
      <c r="I420">
        <v>3.0180000000000002E-4</v>
      </c>
    </row>
    <row r="421" spans="1:10" x14ac:dyDescent="0.35">
      <c r="A421">
        <v>7</v>
      </c>
      <c r="B421" s="16">
        <v>7</v>
      </c>
      <c r="C421">
        <v>5.0069999999999997E-4</v>
      </c>
      <c r="D421">
        <v>4.181</v>
      </c>
      <c r="E421">
        <v>2.2799999999999998</v>
      </c>
      <c r="F421">
        <v>10</v>
      </c>
      <c r="G421">
        <v>1.142E-3</v>
      </c>
      <c r="H421">
        <v>4.5339999999999998E-2</v>
      </c>
      <c r="I421">
        <v>7.0870000000000004E-3</v>
      </c>
    </row>
    <row r="422" spans="1:10" x14ac:dyDescent="0.35">
      <c r="A422">
        <v>8</v>
      </c>
      <c r="B422" s="16">
        <v>8</v>
      </c>
      <c r="C422" s="4">
        <v>5.2519999999999999E-5</v>
      </c>
      <c r="D422">
        <v>2.6579999999999999</v>
      </c>
      <c r="E422">
        <v>1.5469999999999999</v>
      </c>
      <c r="F422">
        <v>10</v>
      </c>
      <c r="G422" s="4">
        <v>8.1240000000000001E-5</v>
      </c>
      <c r="H422">
        <v>3.2269999999999998E-3</v>
      </c>
      <c r="I422">
        <v>5.0429999999999995E-4</v>
      </c>
    </row>
    <row r="423" spans="1:10" x14ac:dyDescent="0.35">
      <c r="A423">
        <v>9</v>
      </c>
      <c r="B423" s="16" t="s">
        <v>464</v>
      </c>
      <c r="C423">
        <v>0.11890000000000001</v>
      </c>
      <c r="D423">
        <v>0.92569999999999997</v>
      </c>
      <c r="E423">
        <v>1.1439999999999999</v>
      </c>
      <c r="F423">
        <v>10</v>
      </c>
      <c r="G423">
        <v>0.13589999999999999</v>
      </c>
      <c r="H423" t="s">
        <v>452</v>
      </c>
      <c r="I423">
        <v>0.84370000000000001</v>
      </c>
    </row>
    <row r="424" spans="1:10" x14ac:dyDescent="0.35">
      <c r="A424">
        <v>10</v>
      </c>
      <c r="B424" s="16" t="s">
        <v>466</v>
      </c>
      <c r="C424">
        <v>5.8909999999999997E-2</v>
      </c>
      <c r="D424">
        <v>0.7006</v>
      </c>
      <c r="E424">
        <v>0.62190000000000001</v>
      </c>
      <c r="F424">
        <v>10</v>
      </c>
      <c r="G424">
        <v>3.6639999999999999E-2</v>
      </c>
      <c r="H424" t="s">
        <v>452</v>
      </c>
      <c r="I424">
        <v>0.5927</v>
      </c>
    </row>
    <row r="425" spans="1:10" x14ac:dyDescent="0.35">
      <c r="A425">
        <v>11</v>
      </c>
      <c r="B425" s="16" t="s">
        <v>467</v>
      </c>
      <c r="C425">
        <v>0.11890000000000001</v>
      </c>
      <c r="D425">
        <v>0.999</v>
      </c>
      <c r="E425">
        <v>1.3089999999999999</v>
      </c>
      <c r="F425">
        <v>10</v>
      </c>
      <c r="G425">
        <v>0.15559999999999999</v>
      </c>
      <c r="H425" t="s">
        <v>452</v>
      </c>
      <c r="I425">
        <v>0.86419999999999997</v>
      </c>
    </row>
    <row r="426" spans="1:10" x14ac:dyDescent="0.35">
      <c r="A426">
        <v>12</v>
      </c>
      <c r="B426" s="16" t="s">
        <v>469</v>
      </c>
      <c r="C426">
        <v>0.26590000000000003</v>
      </c>
      <c r="D426">
        <v>1.776</v>
      </c>
      <c r="E426">
        <v>1.343</v>
      </c>
      <c r="F426">
        <v>10</v>
      </c>
      <c r="G426">
        <v>0.35709999999999997</v>
      </c>
      <c r="H426" t="s">
        <v>452</v>
      </c>
      <c r="I426">
        <v>0.93589999999999995</v>
      </c>
    </row>
    <row r="427" spans="1:10" x14ac:dyDescent="0.35">
      <c r="A427" t="s">
        <v>701</v>
      </c>
      <c r="B427" s="16"/>
    </row>
    <row r="428" spans="1:10" x14ac:dyDescent="0.35">
      <c r="A428" t="s">
        <v>700</v>
      </c>
      <c r="B428" s="16"/>
    </row>
    <row r="429" spans="1:10" x14ac:dyDescent="0.35">
      <c r="A429" t="s">
        <v>470</v>
      </c>
      <c r="B429" s="16"/>
    </row>
    <row r="430" spans="1:10" x14ac:dyDescent="0.35">
      <c r="A430" t="s">
        <v>471</v>
      </c>
      <c r="B430" s="16"/>
    </row>
    <row r="431" spans="1:10" x14ac:dyDescent="0.35">
      <c r="A431" t="s">
        <v>938</v>
      </c>
      <c r="B431" s="16"/>
      <c r="J431">
        <v>16</v>
      </c>
    </row>
    <row r="432" spans="1:10" x14ac:dyDescent="0.35">
      <c r="A432" t="s">
        <v>700</v>
      </c>
      <c r="B432" s="16"/>
    </row>
    <row r="433" spans="1:9" x14ac:dyDescent="0.35">
      <c r="A433" t="s">
        <v>438</v>
      </c>
      <c r="B433" s="16"/>
    </row>
    <row r="434" spans="1:9" x14ac:dyDescent="0.35">
      <c r="A434" t="s">
        <v>439</v>
      </c>
      <c r="B434" s="16"/>
    </row>
    <row r="435" spans="1:9" x14ac:dyDescent="0.35">
      <c r="A435" t="s">
        <v>441</v>
      </c>
      <c r="B435" s="16"/>
    </row>
    <row r="436" spans="1:9" x14ac:dyDescent="0.35">
      <c r="A436" t="s">
        <v>701</v>
      </c>
      <c r="B436" s="16"/>
    </row>
    <row r="437" spans="1:9" x14ac:dyDescent="0.35">
      <c r="A437" t="s">
        <v>442</v>
      </c>
      <c r="B437" s="16" t="s">
        <v>443</v>
      </c>
      <c r="C437" t="s">
        <v>444</v>
      </c>
      <c r="D437" t="s">
        <v>445</v>
      </c>
      <c r="E437" t="s">
        <v>445</v>
      </c>
      <c r="F437" t="s">
        <v>446</v>
      </c>
      <c r="G437" t="s">
        <v>447</v>
      </c>
      <c r="H437" t="s">
        <v>448</v>
      </c>
      <c r="I437" t="s">
        <v>448</v>
      </c>
    </row>
    <row r="438" spans="1:9" x14ac:dyDescent="0.35">
      <c r="A438" t="s">
        <v>450</v>
      </c>
      <c r="B438" s="16" t="s">
        <v>451</v>
      </c>
      <c r="C438" t="s">
        <v>452</v>
      </c>
      <c r="D438" t="s">
        <v>453</v>
      </c>
      <c r="E438" t="s">
        <v>454</v>
      </c>
      <c r="F438" t="s">
        <v>455</v>
      </c>
      <c r="G438" t="s">
        <v>456</v>
      </c>
      <c r="H438" t="s">
        <v>457</v>
      </c>
      <c r="I438" t="s">
        <v>458</v>
      </c>
    </row>
    <row r="439" spans="1:9" x14ac:dyDescent="0.35">
      <c r="A439" t="s">
        <v>702</v>
      </c>
      <c r="B439" s="16" t="s">
        <v>703</v>
      </c>
      <c r="C439" t="s">
        <v>704</v>
      </c>
      <c r="D439" t="s">
        <v>704</v>
      </c>
      <c r="E439" t="s">
        <v>704</v>
      </c>
      <c r="F439" t="s">
        <v>705</v>
      </c>
      <c r="G439" t="s">
        <v>704</v>
      </c>
      <c r="H439" t="s">
        <v>704</v>
      </c>
      <c r="I439" t="s">
        <v>704</v>
      </c>
    </row>
    <row r="440" spans="1:9" x14ac:dyDescent="0.35">
      <c r="A440">
        <v>1</v>
      </c>
      <c r="B440" s="16">
        <v>1</v>
      </c>
      <c r="C440">
        <v>0.10050000000000001</v>
      </c>
      <c r="D440">
        <v>1.883</v>
      </c>
      <c r="E440">
        <v>1.1200000000000001</v>
      </c>
      <c r="F440">
        <v>15</v>
      </c>
      <c r="G440">
        <v>0.1125</v>
      </c>
      <c r="H440">
        <v>2.9000000000000001E-2</v>
      </c>
      <c r="I440">
        <v>2.7890000000000002E-2</v>
      </c>
    </row>
    <row r="441" spans="1:9" x14ac:dyDescent="0.35">
      <c r="A441">
        <v>2</v>
      </c>
      <c r="B441" s="16">
        <v>2</v>
      </c>
      <c r="C441">
        <v>0.15659999999999999</v>
      </c>
      <c r="D441">
        <v>1.3340000000000001</v>
      </c>
      <c r="E441">
        <v>0.99770000000000003</v>
      </c>
      <c r="F441">
        <v>15</v>
      </c>
      <c r="G441">
        <v>0.15620000000000001</v>
      </c>
      <c r="H441">
        <v>4.027E-2</v>
      </c>
      <c r="I441">
        <v>3.8730000000000001E-2</v>
      </c>
    </row>
    <row r="442" spans="1:9" x14ac:dyDescent="0.35">
      <c r="A442">
        <v>3</v>
      </c>
      <c r="B442" s="16">
        <v>3</v>
      </c>
      <c r="C442" s="4">
        <v>2.2480000000000002E-5</v>
      </c>
      <c r="D442">
        <v>1.2929999999999999</v>
      </c>
      <c r="E442">
        <v>1.534</v>
      </c>
      <c r="F442">
        <v>15</v>
      </c>
      <c r="G442" s="4">
        <v>3.4499999999999998E-5</v>
      </c>
      <c r="H442" s="4">
        <v>8.8920000000000006E-6</v>
      </c>
      <c r="I442" s="4">
        <v>8.551E-6</v>
      </c>
    </row>
    <row r="443" spans="1:9" x14ac:dyDescent="0.35">
      <c r="A443">
        <v>4</v>
      </c>
      <c r="B443" s="16">
        <v>4</v>
      </c>
      <c r="C443">
        <v>0.32969999999999999</v>
      </c>
      <c r="D443">
        <v>0.98499999999999999</v>
      </c>
      <c r="E443">
        <v>1.3839999999999999</v>
      </c>
      <c r="F443">
        <v>15</v>
      </c>
      <c r="G443">
        <v>0.45629999999999998</v>
      </c>
      <c r="H443">
        <v>0.1176</v>
      </c>
      <c r="I443">
        <v>0.11310000000000001</v>
      </c>
    </row>
    <row r="444" spans="1:9" x14ac:dyDescent="0.35">
      <c r="A444">
        <v>5</v>
      </c>
      <c r="B444" s="16">
        <v>5</v>
      </c>
      <c r="C444">
        <v>4.9149999999999997E-4</v>
      </c>
      <c r="D444">
        <v>1.452</v>
      </c>
      <c r="E444">
        <v>1.466</v>
      </c>
      <c r="F444">
        <v>15</v>
      </c>
      <c r="G444">
        <v>7.2070000000000001E-4</v>
      </c>
      <c r="H444">
        <v>1.8579999999999999E-4</v>
      </c>
      <c r="I444">
        <v>1.7870000000000001E-4</v>
      </c>
    </row>
    <row r="445" spans="1:9" x14ac:dyDescent="0.35">
      <c r="A445">
        <v>6</v>
      </c>
      <c r="B445" s="16">
        <v>6</v>
      </c>
      <c r="C445">
        <v>0.83340000000000003</v>
      </c>
      <c r="D445">
        <v>1.087</v>
      </c>
      <c r="E445">
        <v>1.4059999999999999</v>
      </c>
      <c r="F445">
        <v>15</v>
      </c>
      <c r="G445">
        <v>1.1719999999999999</v>
      </c>
      <c r="H445">
        <v>0.30199999999999999</v>
      </c>
      <c r="I445">
        <v>0.29039999999999999</v>
      </c>
    </row>
    <row r="446" spans="1:9" x14ac:dyDescent="0.35">
      <c r="A446">
        <v>7</v>
      </c>
      <c r="B446" s="16">
        <v>7</v>
      </c>
      <c r="C446">
        <v>1.7510000000000001E-2</v>
      </c>
      <c r="D446">
        <v>0.80289999999999995</v>
      </c>
      <c r="E446">
        <v>0.84450000000000003</v>
      </c>
      <c r="F446">
        <v>15</v>
      </c>
      <c r="G446">
        <v>1.4789999999999999E-2</v>
      </c>
      <c r="H446">
        <v>3.8110000000000002E-3</v>
      </c>
      <c r="I446">
        <v>3.666E-3</v>
      </c>
    </row>
    <row r="447" spans="1:9" x14ac:dyDescent="0.35">
      <c r="A447">
        <v>8</v>
      </c>
      <c r="B447" s="16">
        <v>8</v>
      </c>
      <c r="C447">
        <v>0.32969999999999999</v>
      </c>
      <c r="D447">
        <v>1.9119999999999999</v>
      </c>
      <c r="E447">
        <v>1.9850000000000001</v>
      </c>
      <c r="F447">
        <v>15</v>
      </c>
      <c r="G447">
        <v>0.65449999999999997</v>
      </c>
      <c r="H447">
        <v>0.16869999999999999</v>
      </c>
      <c r="I447">
        <v>0.16220000000000001</v>
      </c>
    </row>
    <row r="448" spans="1:9" x14ac:dyDescent="0.35">
      <c r="A448">
        <v>9</v>
      </c>
      <c r="B448" s="16">
        <v>9</v>
      </c>
      <c r="C448">
        <v>0.43109999999999998</v>
      </c>
      <c r="D448">
        <v>1.2110000000000001</v>
      </c>
      <c r="E448">
        <v>0.9194</v>
      </c>
      <c r="F448">
        <v>15</v>
      </c>
      <c r="G448">
        <v>0.39639999999999997</v>
      </c>
      <c r="H448">
        <v>0.1022</v>
      </c>
      <c r="I448">
        <v>9.8269999999999996E-2</v>
      </c>
    </row>
    <row r="449" spans="1:10" x14ac:dyDescent="0.35">
      <c r="A449">
        <v>10</v>
      </c>
      <c r="B449" s="16">
        <v>10</v>
      </c>
      <c r="C449">
        <v>2.9610000000000001E-2</v>
      </c>
      <c r="D449">
        <v>1.385</v>
      </c>
      <c r="E449">
        <v>1.274</v>
      </c>
      <c r="F449">
        <v>15</v>
      </c>
      <c r="G449">
        <v>3.773E-2</v>
      </c>
      <c r="H449">
        <v>9.7260000000000003E-3</v>
      </c>
      <c r="I449">
        <v>9.3539999999999995E-3</v>
      </c>
    </row>
    <row r="450" spans="1:10" x14ac:dyDescent="0.35">
      <c r="A450">
        <v>11</v>
      </c>
      <c r="B450" s="16">
        <v>11</v>
      </c>
      <c r="C450">
        <v>2.8430000000000003E-4</v>
      </c>
      <c r="D450">
        <v>1.298</v>
      </c>
      <c r="E450">
        <v>1.091</v>
      </c>
      <c r="F450">
        <v>15</v>
      </c>
      <c r="G450">
        <v>3.1E-4</v>
      </c>
      <c r="H450" s="4">
        <v>7.9919999999999994E-5</v>
      </c>
      <c r="I450" s="4">
        <v>7.6860000000000006E-5</v>
      </c>
    </row>
    <row r="451" spans="1:10" x14ac:dyDescent="0.35">
      <c r="A451">
        <v>12</v>
      </c>
      <c r="B451" s="16">
        <v>12</v>
      </c>
      <c r="C451">
        <v>0.57099999999999995</v>
      </c>
      <c r="D451">
        <v>1.238</v>
      </c>
      <c r="E451">
        <v>1.5389999999999999</v>
      </c>
      <c r="F451">
        <v>15</v>
      </c>
      <c r="G451">
        <v>0.87839999999999996</v>
      </c>
      <c r="H451">
        <v>0.22639999999999999</v>
      </c>
      <c r="I451">
        <v>0.21779999999999999</v>
      </c>
    </row>
    <row r="452" spans="1:10" x14ac:dyDescent="0.35">
      <c r="A452">
        <v>13</v>
      </c>
      <c r="B452" s="16">
        <v>13</v>
      </c>
      <c r="C452" s="4">
        <v>8.9060000000000008E-6</v>
      </c>
      <c r="D452">
        <v>1.837</v>
      </c>
      <c r="E452">
        <v>1.9890000000000001</v>
      </c>
      <c r="F452">
        <v>15</v>
      </c>
      <c r="G452" s="4">
        <v>1.772E-5</v>
      </c>
      <c r="H452" s="4">
        <v>4.5669999999999996E-6</v>
      </c>
      <c r="I452" s="4">
        <v>4.3919999999999996E-6</v>
      </c>
    </row>
    <row r="453" spans="1:10" x14ac:dyDescent="0.35">
      <c r="A453">
        <v>14</v>
      </c>
      <c r="B453" s="16">
        <v>14</v>
      </c>
      <c r="C453" s="4">
        <v>1.237E-5</v>
      </c>
      <c r="D453">
        <v>1.4219999999999999</v>
      </c>
      <c r="E453">
        <v>2.7869999999999999</v>
      </c>
      <c r="F453">
        <v>15</v>
      </c>
      <c r="G453" s="4">
        <v>3.447E-5</v>
      </c>
      <c r="H453" s="4">
        <v>8.884E-6</v>
      </c>
      <c r="I453" s="4">
        <v>8.5439999999999999E-6</v>
      </c>
    </row>
    <row r="454" spans="1:10" x14ac:dyDescent="0.35">
      <c r="A454">
        <v>15</v>
      </c>
      <c r="B454" s="16" t="s">
        <v>464</v>
      </c>
      <c r="C454">
        <v>0.35780000000000001</v>
      </c>
      <c r="D454">
        <v>0.3755</v>
      </c>
      <c r="E454">
        <v>0.43140000000000001</v>
      </c>
      <c r="F454">
        <v>15</v>
      </c>
      <c r="G454">
        <v>0.15440000000000001</v>
      </c>
      <c r="H454" t="s">
        <v>452</v>
      </c>
      <c r="I454">
        <v>3.8269999999999998E-2</v>
      </c>
    </row>
    <row r="455" spans="1:10" x14ac:dyDescent="0.35">
      <c r="A455">
        <v>16</v>
      </c>
      <c r="B455" s="16" t="s">
        <v>466</v>
      </c>
      <c r="C455">
        <v>0.35780000000000001</v>
      </c>
      <c r="D455">
        <v>0.32379999999999998</v>
      </c>
      <c r="E455">
        <v>0.31580000000000003</v>
      </c>
      <c r="F455">
        <v>15</v>
      </c>
      <c r="G455">
        <v>0.113</v>
      </c>
      <c r="H455" t="s">
        <v>452</v>
      </c>
      <c r="I455">
        <v>2.8299999999999999E-2</v>
      </c>
    </row>
    <row r="456" spans="1:10" x14ac:dyDescent="0.35">
      <c r="A456">
        <v>17</v>
      </c>
      <c r="B456" s="16" t="s">
        <v>467</v>
      </c>
      <c r="C456">
        <v>0.83340000000000003</v>
      </c>
      <c r="D456">
        <v>1.087</v>
      </c>
      <c r="E456">
        <v>1.4059999999999999</v>
      </c>
      <c r="F456">
        <v>15</v>
      </c>
      <c r="G456">
        <v>1.1719999999999999</v>
      </c>
      <c r="H456" t="s">
        <v>452</v>
      </c>
      <c r="I456">
        <v>0.5</v>
      </c>
    </row>
    <row r="457" spans="1:10" x14ac:dyDescent="0.35">
      <c r="A457">
        <v>18</v>
      </c>
      <c r="B457" s="16" t="s">
        <v>469</v>
      </c>
      <c r="C457">
        <v>0.83340000000000003</v>
      </c>
      <c r="D457">
        <v>1.087</v>
      </c>
      <c r="E457">
        <v>1.4059999999999999</v>
      </c>
      <c r="F457">
        <v>15</v>
      </c>
      <c r="G457">
        <v>1.1719999999999999</v>
      </c>
      <c r="H457" t="s">
        <v>452</v>
      </c>
      <c r="I457">
        <v>0.5</v>
      </c>
    </row>
    <row r="458" spans="1:10" x14ac:dyDescent="0.35">
      <c r="A458" t="s">
        <v>701</v>
      </c>
      <c r="B458" s="16"/>
    </row>
    <row r="459" spans="1:10" x14ac:dyDescent="0.35">
      <c r="A459" t="s">
        <v>700</v>
      </c>
      <c r="B459" s="16"/>
    </row>
    <row r="460" spans="1:10" x14ac:dyDescent="0.35">
      <c r="A460" t="s">
        <v>470</v>
      </c>
      <c r="B460" s="16"/>
    </row>
    <row r="461" spans="1:10" x14ac:dyDescent="0.35">
      <c r="A461" t="s">
        <v>471</v>
      </c>
      <c r="B461" s="16"/>
    </row>
    <row r="462" spans="1:10" x14ac:dyDescent="0.35">
      <c r="A462" t="s">
        <v>939</v>
      </c>
      <c r="B462" s="16"/>
      <c r="J462">
        <v>17</v>
      </c>
    </row>
    <row r="463" spans="1:10" x14ac:dyDescent="0.35">
      <c r="A463" t="s">
        <v>700</v>
      </c>
      <c r="B463" s="16"/>
    </row>
    <row r="464" spans="1:10" x14ac:dyDescent="0.35">
      <c r="A464" t="s">
        <v>438</v>
      </c>
      <c r="B464" s="16"/>
    </row>
    <row r="465" spans="1:9" x14ac:dyDescent="0.35">
      <c r="A465" t="s">
        <v>439</v>
      </c>
      <c r="B465" s="16"/>
    </row>
    <row r="466" spans="1:9" x14ac:dyDescent="0.35">
      <c r="A466" t="s">
        <v>441</v>
      </c>
      <c r="B466" s="16"/>
    </row>
    <row r="467" spans="1:9" x14ac:dyDescent="0.35">
      <c r="A467" t="s">
        <v>701</v>
      </c>
      <c r="B467" s="16"/>
    </row>
    <row r="468" spans="1:9" x14ac:dyDescent="0.35">
      <c r="A468" t="s">
        <v>442</v>
      </c>
      <c r="B468" s="16" t="s">
        <v>443</v>
      </c>
      <c r="C468" t="s">
        <v>444</v>
      </c>
      <c r="D468" t="s">
        <v>445</v>
      </c>
      <c r="E468" t="s">
        <v>445</v>
      </c>
      <c r="F468" t="s">
        <v>446</v>
      </c>
      <c r="G468" t="s">
        <v>447</v>
      </c>
      <c r="H468" t="s">
        <v>448</v>
      </c>
      <c r="I468" t="s">
        <v>448</v>
      </c>
    </row>
    <row r="469" spans="1:9" x14ac:dyDescent="0.35">
      <c r="A469" t="s">
        <v>450</v>
      </c>
      <c r="B469" s="16" t="s">
        <v>451</v>
      </c>
      <c r="C469" t="s">
        <v>452</v>
      </c>
      <c r="D469" t="s">
        <v>453</v>
      </c>
      <c r="E469" t="s">
        <v>454</v>
      </c>
      <c r="F469" t="s">
        <v>455</v>
      </c>
      <c r="G469" t="s">
        <v>456</v>
      </c>
      <c r="H469" t="s">
        <v>457</v>
      </c>
      <c r="I469" t="s">
        <v>458</v>
      </c>
    </row>
    <row r="470" spans="1:9" x14ac:dyDescent="0.35">
      <c r="A470" t="s">
        <v>702</v>
      </c>
      <c r="B470" s="16" t="s">
        <v>703</v>
      </c>
      <c r="C470" t="s">
        <v>704</v>
      </c>
      <c r="D470" t="s">
        <v>704</v>
      </c>
      <c r="E470" t="s">
        <v>704</v>
      </c>
      <c r="F470" t="s">
        <v>705</v>
      </c>
      <c r="G470" t="s">
        <v>704</v>
      </c>
      <c r="H470" t="s">
        <v>704</v>
      </c>
      <c r="I470" t="s">
        <v>704</v>
      </c>
    </row>
    <row r="471" spans="1:9" x14ac:dyDescent="0.35">
      <c r="A471">
        <v>1</v>
      </c>
      <c r="B471" s="16">
        <v>1</v>
      </c>
      <c r="C471">
        <v>1.9269999999999999E-4</v>
      </c>
      <c r="D471">
        <v>1.744</v>
      </c>
      <c r="E471">
        <v>2.1440000000000001</v>
      </c>
      <c r="F471">
        <v>8</v>
      </c>
      <c r="G471">
        <v>4.1310000000000001E-4</v>
      </c>
      <c r="H471">
        <v>5.6809999999999999E-4</v>
      </c>
      <c r="I471">
        <v>4.0529999999999999E-4</v>
      </c>
    </row>
    <row r="472" spans="1:9" x14ac:dyDescent="0.35">
      <c r="A472">
        <v>2</v>
      </c>
      <c r="B472" s="16">
        <v>2</v>
      </c>
      <c r="C472" s="4">
        <v>7.0859999999999996E-5</v>
      </c>
      <c r="D472">
        <v>1.4810000000000001</v>
      </c>
      <c r="E472">
        <v>1.611</v>
      </c>
      <c r="F472">
        <v>8</v>
      </c>
      <c r="G472">
        <v>1.142E-4</v>
      </c>
      <c r="H472">
        <v>1.5699999999999999E-4</v>
      </c>
      <c r="I472">
        <v>1.12E-4</v>
      </c>
    </row>
    <row r="473" spans="1:9" x14ac:dyDescent="0.35">
      <c r="A473">
        <v>3</v>
      </c>
      <c r="B473" s="16">
        <v>3</v>
      </c>
      <c r="C473" s="4">
        <v>1.2860000000000001E-6</v>
      </c>
      <c r="D473">
        <v>2.089</v>
      </c>
      <c r="E473">
        <v>2.8090000000000002</v>
      </c>
      <c r="F473">
        <v>8</v>
      </c>
      <c r="G473" s="4">
        <v>3.613E-6</v>
      </c>
      <c r="H473" s="4">
        <v>4.9679999999999997E-6</v>
      </c>
      <c r="I473" s="4">
        <v>3.5449999999999999E-6</v>
      </c>
    </row>
    <row r="474" spans="1:9" x14ac:dyDescent="0.35">
      <c r="A474">
        <v>4</v>
      </c>
      <c r="B474" s="16">
        <v>4</v>
      </c>
      <c r="C474" s="4">
        <v>7.0859999999999996E-5</v>
      </c>
      <c r="D474">
        <v>1.7909999999999999</v>
      </c>
      <c r="E474">
        <v>2.379</v>
      </c>
      <c r="F474">
        <v>8</v>
      </c>
      <c r="G474">
        <v>1.6860000000000001E-4</v>
      </c>
      <c r="H474">
        <v>2.318E-4</v>
      </c>
      <c r="I474">
        <v>1.6540000000000001E-4</v>
      </c>
    </row>
    <row r="475" spans="1:9" x14ac:dyDescent="0.35">
      <c r="A475">
        <v>5</v>
      </c>
      <c r="B475" s="16">
        <v>5</v>
      </c>
      <c r="C475" s="4">
        <v>7.0859999999999996E-5</v>
      </c>
      <c r="D475">
        <v>1.968</v>
      </c>
      <c r="E475">
        <v>2.238</v>
      </c>
      <c r="F475">
        <v>8</v>
      </c>
      <c r="G475">
        <v>1.5860000000000001E-4</v>
      </c>
      <c r="H475">
        <v>2.1809999999999999E-4</v>
      </c>
      <c r="I475">
        <v>1.5559999999999999E-4</v>
      </c>
    </row>
    <row r="476" spans="1:9" x14ac:dyDescent="0.35">
      <c r="A476">
        <v>6</v>
      </c>
      <c r="B476" s="16">
        <v>6</v>
      </c>
      <c r="C476">
        <v>1.644E-2</v>
      </c>
      <c r="D476">
        <v>1.663</v>
      </c>
      <c r="E476">
        <v>1.8959999999999999</v>
      </c>
      <c r="F476">
        <v>8</v>
      </c>
      <c r="G476">
        <v>3.117E-2</v>
      </c>
      <c r="H476">
        <v>4.2860000000000002E-2</v>
      </c>
      <c r="I476">
        <v>3.058E-2</v>
      </c>
    </row>
    <row r="477" spans="1:9" x14ac:dyDescent="0.35">
      <c r="A477">
        <v>7</v>
      </c>
      <c r="B477" s="16">
        <v>7</v>
      </c>
      <c r="C477" s="4">
        <v>4.9700000000000002E-8</v>
      </c>
      <c r="D477">
        <v>1.972</v>
      </c>
      <c r="E477">
        <v>2.552</v>
      </c>
      <c r="F477">
        <v>8</v>
      </c>
      <c r="G477" s="4">
        <v>1.268E-7</v>
      </c>
      <c r="H477" s="4">
        <v>1.744E-7</v>
      </c>
      <c r="I477" s="4">
        <v>1.244E-7</v>
      </c>
    </row>
    <row r="478" spans="1:9" x14ac:dyDescent="0.35">
      <c r="A478">
        <v>8</v>
      </c>
      <c r="B478" s="16">
        <v>8</v>
      </c>
      <c r="C478">
        <v>3.48E-3</v>
      </c>
      <c r="D478">
        <v>1.633</v>
      </c>
      <c r="E478">
        <v>1.83</v>
      </c>
      <c r="F478">
        <v>8</v>
      </c>
      <c r="G478">
        <v>6.3670000000000003E-3</v>
      </c>
      <c r="H478">
        <v>8.7559999999999999E-3</v>
      </c>
      <c r="I478">
        <v>6.2480000000000001E-3</v>
      </c>
    </row>
    <row r="479" spans="1:9" x14ac:dyDescent="0.35">
      <c r="A479">
        <v>9</v>
      </c>
      <c r="B479" s="16">
        <v>9</v>
      </c>
      <c r="C479">
        <v>2.6509999999999999E-2</v>
      </c>
      <c r="D479">
        <v>1.7689999999999999</v>
      </c>
      <c r="E479">
        <v>2.1949999999999998</v>
      </c>
      <c r="F479">
        <v>8</v>
      </c>
      <c r="G479">
        <v>5.8209999999999998E-2</v>
      </c>
      <c r="H479">
        <v>8.0049999999999996E-2</v>
      </c>
      <c r="I479">
        <v>5.7119999999999997E-2</v>
      </c>
    </row>
    <row r="480" spans="1:9" x14ac:dyDescent="0.35">
      <c r="A480">
        <v>10</v>
      </c>
      <c r="B480" s="16">
        <v>10</v>
      </c>
      <c r="C480">
        <v>0.185</v>
      </c>
      <c r="D480">
        <v>1.3939999999999999</v>
      </c>
      <c r="E480">
        <v>1.802</v>
      </c>
      <c r="F480">
        <v>8</v>
      </c>
      <c r="G480">
        <v>0.33339999999999997</v>
      </c>
      <c r="H480">
        <v>0.45839999999999997</v>
      </c>
      <c r="I480">
        <v>0.3271</v>
      </c>
    </row>
    <row r="481" spans="1:10" x14ac:dyDescent="0.35">
      <c r="A481">
        <v>11</v>
      </c>
      <c r="B481" s="16">
        <v>11</v>
      </c>
      <c r="C481" s="4">
        <v>6.6290000000000004E-5</v>
      </c>
      <c r="D481">
        <v>1.768</v>
      </c>
      <c r="E481">
        <v>2.581</v>
      </c>
      <c r="F481">
        <v>8</v>
      </c>
      <c r="G481">
        <v>1.7110000000000001E-4</v>
      </c>
      <c r="H481">
        <v>2.353E-4</v>
      </c>
      <c r="I481">
        <v>1.6789999999999999E-4</v>
      </c>
    </row>
    <row r="482" spans="1:10" x14ac:dyDescent="0.35">
      <c r="A482">
        <v>12</v>
      </c>
      <c r="B482" s="16">
        <v>12</v>
      </c>
      <c r="C482">
        <v>8.763E-2</v>
      </c>
      <c r="D482">
        <v>1.208</v>
      </c>
      <c r="E482">
        <v>1.1830000000000001</v>
      </c>
      <c r="F482">
        <v>8</v>
      </c>
      <c r="G482">
        <v>0.1036</v>
      </c>
      <c r="H482">
        <v>0.14249999999999999</v>
      </c>
      <c r="I482">
        <v>0.1017</v>
      </c>
    </row>
    <row r="483" spans="1:10" x14ac:dyDescent="0.35">
      <c r="A483">
        <v>13</v>
      </c>
      <c r="B483" s="16">
        <v>13</v>
      </c>
      <c r="C483">
        <v>1.9269999999999999E-4</v>
      </c>
      <c r="D483">
        <v>2.1339999999999999</v>
      </c>
      <c r="E483">
        <v>3.0880000000000001</v>
      </c>
      <c r="F483">
        <v>8</v>
      </c>
      <c r="G483">
        <v>5.9500000000000004E-4</v>
      </c>
      <c r="H483">
        <v>8.1820000000000005E-4</v>
      </c>
      <c r="I483">
        <v>5.8379999999999999E-4</v>
      </c>
    </row>
    <row r="484" spans="1:10" x14ac:dyDescent="0.35">
      <c r="A484">
        <v>14</v>
      </c>
      <c r="B484" s="16">
        <v>14</v>
      </c>
      <c r="C484">
        <v>8.763E-2</v>
      </c>
      <c r="D484">
        <v>1.6779999999999999</v>
      </c>
      <c r="E484">
        <v>2.2000000000000002</v>
      </c>
      <c r="F484">
        <v>8</v>
      </c>
      <c r="G484">
        <v>0.1928</v>
      </c>
      <c r="H484">
        <v>0.26519999999999999</v>
      </c>
      <c r="I484">
        <v>0.18920000000000001</v>
      </c>
    </row>
    <row r="485" spans="1:10" x14ac:dyDescent="0.35">
      <c r="A485">
        <v>15</v>
      </c>
      <c r="B485" s="16" t="s">
        <v>464</v>
      </c>
      <c r="C485">
        <v>0.2863</v>
      </c>
      <c r="D485">
        <v>0.85389999999999999</v>
      </c>
      <c r="E485">
        <v>1.02</v>
      </c>
      <c r="F485">
        <v>8</v>
      </c>
      <c r="G485">
        <v>0.29189999999999999</v>
      </c>
      <c r="H485" t="s">
        <v>452</v>
      </c>
      <c r="I485">
        <v>0.28639999999999999</v>
      </c>
    </row>
    <row r="486" spans="1:10" x14ac:dyDescent="0.35">
      <c r="A486">
        <v>16</v>
      </c>
      <c r="B486" s="16" t="s">
        <v>466</v>
      </c>
      <c r="C486">
        <v>0.2863</v>
      </c>
      <c r="D486">
        <v>0.68140000000000001</v>
      </c>
      <c r="E486">
        <v>0.79569999999999996</v>
      </c>
      <c r="F486">
        <v>8</v>
      </c>
      <c r="G486">
        <v>0.2278</v>
      </c>
      <c r="H486" t="s">
        <v>452</v>
      </c>
      <c r="I486">
        <v>0.23849999999999999</v>
      </c>
    </row>
    <row r="487" spans="1:10" x14ac:dyDescent="0.35">
      <c r="A487">
        <v>17</v>
      </c>
      <c r="B487" s="16" t="s">
        <v>467</v>
      </c>
      <c r="C487">
        <v>0.66379999999999995</v>
      </c>
      <c r="D487">
        <v>0.9173</v>
      </c>
      <c r="E487">
        <v>1.123</v>
      </c>
      <c r="F487">
        <v>8</v>
      </c>
      <c r="G487">
        <v>0.74539999999999995</v>
      </c>
      <c r="H487" t="s">
        <v>452</v>
      </c>
      <c r="I487">
        <v>0.54200000000000004</v>
      </c>
    </row>
    <row r="488" spans="1:10" x14ac:dyDescent="0.35">
      <c r="A488">
        <v>18</v>
      </c>
      <c r="B488" s="16" t="s">
        <v>469</v>
      </c>
      <c r="C488">
        <v>0.66379999999999995</v>
      </c>
      <c r="D488">
        <v>1.0589999999999999</v>
      </c>
      <c r="E488">
        <v>1.24</v>
      </c>
      <c r="F488">
        <v>8</v>
      </c>
      <c r="G488">
        <v>0.82289999999999996</v>
      </c>
      <c r="H488" t="s">
        <v>452</v>
      </c>
      <c r="I488">
        <v>0.56640000000000001</v>
      </c>
    </row>
    <row r="489" spans="1:10" x14ac:dyDescent="0.35">
      <c r="A489" t="s">
        <v>701</v>
      </c>
      <c r="B489" s="16"/>
    </row>
    <row r="490" spans="1:10" x14ac:dyDescent="0.35">
      <c r="A490" t="s">
        <v>700</v>
      </c>
      <c r="B490" s="16"/>
    </row>
    <row r="491" spans="1:10" x14ac:dyDescent="0.35">
      <c r="A491" t="s">
        <v>470</v>
      </c>
      <c r="B491" s="16"/>
    </row>
    <row r="492" spans="1:10" x14ac:dyDescent="0.35">
      <c r="A492" t="s">
        <v>471</v>
      </c>
      <c r="B492" s="16"/>
    </row>
    <row r="493" spans="1:10" x14ac:dyDescent="0.35">
      <c r="A493" t="s">
        <v>940</v>
      </c>
      <c r="B493" s="16"/>
      <c r="J493">
        <v>18</v>
      </c>
    </row>
    <row r="494" spans="1:10" x14ac:dyDescent="0.35">
      <c r="A494" t="s">
        <v>700</v>
      </c>
      <c r="B494" s="16"/>
    </row>
    <row r="495" spans="1:10" x14ac:dyDescent="0.35">
      <c r="A495" t="s">
        <v>438</v>
      </c>
      <c r="B495" s="16"/>
    </row>
    <row r="496" spans="1:10" x14ac:dyDescent="0.35">
      <c r="A496" t="s">
        <v>439</v>
      </c>
      <c r="B496" s="16"/>
    </row>
    <row r="497" spans="1:9" x14ac:dyDescent="0.35">
      <c r="A497" t="s">
        <v>441</v>
      </c>
      <c r="B497" s="16"/>
    </row>
    <row r="498" spans="1:9" x14ac:dyDescent="0.35">
      <c r="A498" t="s">
        <v>701</v>
      </c>
      <c r="B498" s="16"/>
    </row>
    <row r="499" spans="1:9" x14ac:dyDescent="0.35">
      <c r="A499" t="s">
        <v>442</v>
      </c>
      <c r="B499" s="16" t="s">
        <v>443</v>
      </c>
      <c r="C499" t="s">
        <v>444</v>
      </c>
      <c r="D499" t="s">
        <v>445</v>
      </c>
      <c r="E499" t="s">
        <v>445</v>
      </c>
      <c r="F499" t="s">
        <v>446</v>
      </c>
      <c r="G499" t="s">
        <v>447</v>
      </c>
      <c r="H499" t="s">
        <v>448</v>
      </c>
      <c r="I499" t="s">
        <v>448</v>
      </c>
    </row>
    <row r="500" spans="1:9" x14ac:dyDescent="0.35">
      <c r="A500" t="s">
        <v>450</v>
      </c>
      <c r="B500" s="16" t="s">
        <v>451</v>
      </c>
      <c r="C500" t="s">
        <v>452</v>
      </c>
      <c r="D500" t="s">
        <v>453</v>
      </c>
      <c r="E500" t="s">
        <v>454</v>
      </c>
      <c r="F500" t="s">
        <v>455</v>
      </c>
      <c r="G500" t="s">
        <v>456</v>
      </c>
      <c r="H500" t="s">
        <v>457</v>
      </c>
      <c r="I500" t="s">
        <v>458</v>
      </c>
    </row>
    <row r="501" spans="1:9" x14ac:dyDescent="0.35">
      <c r="A501" t="s">
        <v>702</v>
      </c>
      <c r="B501" s="16" t="s">
        <v>703</v>
      </c>
      <c r="C501" t="s">
        <v>704</v>
      </c>
      <c r="D501" t="s">
        <v>704</v>
      </c>
      <c r="E501" t="s">
        <v>704</v>
      </c>
      <c r="F501" t="s">
        <v>705</v>
      </c>
      <c r="G501" t="s">
        <v>704</v>
      </c>
      <c r="H501" t="s">
        <v>704</v>
      </c>
      <c r="I501" t="s">
        <v>704</v>
      </c>
    </row>
    <row r="502" spans="1:9" x14ac:dyDescent="0.35">
      <c r="A502">
        <v>1</v>
      </c>
      <c r="B502" s="16">
        <v>1</v>
      </c>
      <c r="C502">
        <v>0.18149999999999999</v>
      </c>
      <c r="D502">
        <v>1.409</v>
      </c>
      <c r="E502">
        <v>0.61209999999999998</v>
      </c>
      <c r="F502">
        <v>15</v>
      </c>
      <c r="G502">
        <v>0.1111</v>
      </c>
      <c r="H502">
        <v>3.2030000000000003E-2</v>
      </c>
      <c r="I502">
        <v>2.9850000000000002E-2</v>
      </c>
    </row>
    <row r="503" spans="1:9" x14ac:dyDescent="0.35">
      <c r="A503">
        <v>2</v>
      </c>
      <c r="B503" s="16">
        <v>2</v>
      </c>
      <c r="C503">
        <v>0.1227</v>
      </c>
      <c r="D503">
        <v>0.69030000000000002</v>
      </c>
      <c r="E503">
        <v>0.66479999999999995</v>
      </c>
      <c r="F503">
        <v>15</v>
      </c>
      <c r="G503">
        <v>8.1589999999999996E-2</v>
      </c>
      <c r="H503">
        <v>2.3529999999999999E-2</v>
      </c>
      <c r="I503">
        <v>2.1930000000000002E-2</v>
      </c>
    </row>
    <row r="504" spans="1:9" x14ac:dyDescent="0.35">
      <c r="A504">
        <v>3</v>
      </c>
      <c r="B504" s="16">
        <v>3</v>
      </c>
      <c r="C504">
        <v>5.6340000000000001E-3</v>
      </c>
      <c r="D504">
        <v>3.7440000000000002</v>
      </c>
      <c r="E504">
        <v>1.47</v>
      </c>
      <c r="F504">
        <v>15</v>
      </c>
      <c r="G504">
        <v>8.2830000000000004E-3</v>
      </c>
      <c r="H504">
        <v>2.3879999999999999E-3</v>
      </c>
      <c r="I504">
        <v>2.2260000000000001E-3</v>
      </c>
    </row>
    <row r="505" spans="1:9" x14ac:dyDescent="0.35">
      <c r="A505">
        <v>4</v>
      </c>
      <c r="B505" s="16">
        <v>4</v>
      </c>
      <c r="C505">
        <v>0.76060000000000005</v>
      </c>
      <c r="D505">
        <v>3.8119999999999998</v>
      </c>
      <c r="E505">
        <v>0.85619999999999996</v>
      </c>
      <c r="F505">
        <v>15</v>
      </c>
      <c r="G505">
        <v>0.65129999999999999</v>
      </c>
      <c r="H505">
        <v>0.18779999999999999</v>
      </c>
      <c r="I505">
        <v>0.17499999999999999</v>
      </c>
    </row>
    <row r="506" spans="1:9" x14ac:dyDescent="0.35">
      <c r="A506">
        <v>5</v>
      </c>
      <c r="B506" s="16">
        <v>5</v>
      </c>
      <c r="C506">
        <v>0.66600000000000004</v>
      </c>
      <c r="D506">
        <v>2.16</v>
      </c>
      <c r="E506">
        <v>0.84</v>
      </c>
      <c r="F506">
        <v>15</v>
      </c>
      <c r="G506">
        <v>0.5595</v>
      </c>
      <c r="H506">
        <v>0.1613</v>
      </c>
      <c r="I506">
        <v>0.15029999999999999</v>
      </c>
    </row>
    <row r="507" spans="1:9" x14ac:dyDescent="0.35">
      <c r="A507">
        <v>6</v>
      </c>
      <c r="B507" s="16">
        <v>6</v>
      </c>
      <c r="C507" s="4">
        <v>1.9290000000000001E-6</v>
      </c>
      <c r="D507">
        <v>1.494</v>
      </c>
      <c r="E507">
        <v>1.381</v>
      </c>
      <c r="F507">
        <v>15</v>
      </c>
      <c r="G507" s="4">
        <v>2.6639999999999998E-6</v>
      </c>
      <c r="H507" s="4">
        <v>7.6799999999999999E-7</v>
      </c>
      <c r="I507" s="4">
        <v>7.1579999999999999E-7</v>
      </c>
    </row>
    <row r="508" spans="1:9" x14ac:dyDescent="0.35">
      <c r="A508">
        <v>7</v>
      </c>
      <c r="B508" s="16">
        <v>7</v>
      </c>
      <c r="C508">
        <v>5.9459999999999999E-2</v>
      </c>
      <c r="D508">
        <v>1.8520000000000001</v>
      </c>
      <c r="E508">
        <v>1.1579999999999999</v>
      </c>
      <c r="F508">
        <v>15</v>
      </c>
      <c r="G508">
        <v>6.8830000000000002E-2</v>
      </c>
      <c r="H508">
        <v>1.985E-2</v>
      </c>
      <c r="I508">
        <v>1.8499999999999999E-2</v>
      </c>
    </row>
    <row r="509" spans="1:9" x14ac:dyDescent="0.35">
      <c r="A509">
        <v>8</v>
      </c>
      <c r="B509" s="16">
        <v>8</v>
      </c>
      <c r="C509">
        <v>0.61499999999999999</v>
      </c>
      <c r="D509">
        <v>4.3479999999999999</v>
      </c>
      <c r="E509">
        <v>1.0860000000000001</v>
      </c>
      <c r="F509">
        <v>11</v>
      </c>
      <c r="G509">
        <v>0.66779999999999995</v>
      </c>
      <c r="H509">
        <v>0.1925</v>
      </c>
      <c r="I509">
        <v>0.1794</v>
      </c>
    </row>
    <row r="510" spans="1:9" x14ac:dyDescent="0.35">
      <c r="A510">
        <v>9</v>
      </c>
      <c r="B510" s="16">
        <v>9</v>
      </c>
      <c r="C510">
        <v>0.52759999999999996</v>
      </c>
      <c r="D510">
        <v>2.56</v>
      </c>
      <c r="E510">
        <v>1.288</v>
      </c>
      <c r="F510">
        <v>15</v>
      </c>
      <c r="G510">
        <v>0.67969999999999997</v>
      </c>
      <c r="H510">
        <v>0.19600000000000001</v>
      </c>
      <c r="I510">
        <v>0.18260000000000001</v>
      </c>
    </row>
    <row r="511" spans="1:9" x14ac:dyDescent="0.35">
      <c r="A511">
        <v>10</v>
      </c>
      <c r="B511" s="16">
        <v>10</v>
      </c>
      <c r="C511">
        <v>0.25869999999999999</v>
      </c>
      <c r="D511">
        <v>2.617</v>
      </c>
      <c r="E511">
        <v>0.82820000000000005</v>
      </c>
      <c r="F511">
        <v>15</v>
      </c>
      <c r="G511">
        <v>0.2142</v>
      </c>
      <c r="H511">
        <v>6.1769999999999999E-2</v>
      </c>
      <c r="I511">
        <v>5.7570000000000003E-2</v>
      </c>
    </row>
    <row r="512" spans="1:9" x14ac:dyDescent="0.35">
      <c r="A512">
        <v>11</v>
      </c>
      <c r="B512" s="16">
        <v>11</v>
      </c>
      <c r="C512">
        <v>0.52759999999999996</v>
      </c>
      <c r="D512">
        <v>2.5299999999999998</v>
      </c>
      <c r="E512">
        <v>0.80710000000000004</v>
      </c>
      <c r="F512">
        <v>15</v>
      </c>
      <c r="G512">
        <v>0.42580000000000001</v>
      </c>
      <c r="H512">
        <v>0.12280000000000001</v>
      </c>
      <c r="I512">
        <v>0.1144</v>
      </c>
    </row>
    <row r="513" spans="1:10" x14ac:dyDescent="0.35">
      <c r="A513">
        <v>12</v>
      </c>
      <c r="B513" s="16" t="s">
        <v>464</v>
      </c>
      <c r="C513">
        <v>0.56830000000000003</v>
      </c>
      <c r="D513">
        <v>1.044</v>
      </c>
      <c r="E513">
        <v>0.4456</v>
      </c>
      <c r="F513">
        <v>15</v>
      </c>
      <c r="G513">
        <v>0.25319999999999998</v>
      </c>
      <c r="H513" t="s">
        <v>452</v>
      </c>
      <c r="I513">
        <v>6.8049999999999999E-2</v>
      </c>
    </row>
    <row r="514" spans="1:10" x14ac:dyDescent="0.35">
      <c r="A514">
        <v>13</v>
      </c>
      <c r="B514" s="16" t="s">
        <v>466</v>
      </c>
      <c r="C514">
        <v>0.31259999999999999</v>
      </c>
      <c r="D514">
        <v>0.57479999999999998</v>
      </c>
      <c r="E514">
        <v>0.29430000000000001</v>
      </c>
      <c r="F514">
        <v>15</v>
      </c>
      <c r="G514">
        <v>9.1969999999999996E-2</v>
      </c>
      <c r="H514" t="s">
        <v>452</v>
      </c>
      <c r="I514">
        <v>2.5839999999999998E-2</v>
      </c>
    </row>
    <row r="515" spans="1:10" x14ac:dyDescent="0.35">
      <c r="A515">
        <v>14</v>
      </c>
      <c r="B515" s="16" t="s">
        <v>467</v>
      </c>
      <c r="C515">
        <v>0.76060000000000005</v>
      </c>
      <c r="D515">
        <v>3.8119999999999998</v>
      </c>
      <c r="E515">
        <v>0.85619999999999996</v>
      </c>
      <c r="F515">
        <v>15</v>
      </c>
      <c r="G515">
        <v>0.65129999999999999</v>
      </c>
      <c r="H515" t="s">
        <v>452</v>
      </c>
      <c r="I515">
        <v>0.5</v>
      </c>
    </row>
    <row r="516" spans="1:10" x14ac:dyDescent="0.35">
      <c r="A516">
        <v>15</v>
      </c>
      <c r="B516" s="16" t="s">
        <v>469</v>
      </c>
      <c r="C516">
        <v>0.76060000000000005</v>
      </c>
      <c r="D516">
        <v>3.8119999999999998</v>
      </c>
      <c r="E516">
        <v>0.85619999999999996</v>
      </c>
      <c r="F516">
        <v>15</v>
      </c>
      <c r="G516">
        <v>0.65129999999999999</v>
      </c>
      <c r="H516" t="s">
        <v>452</v>
      </c>
      <c r="I516">
        <v>0.5</v>
      </c>
    </row>
    <row r="517" spans="1:10" x14ac:dyDescent="0.35">
      <c r="A517" t="s">
        <v>701</v>
      </c>
      <c r="B517" s="16"/>
    </row>
    <row r="518" spans="1:10" x14ac:dyDescent="0.35">
      <c r="A518" t="s">
        <v>700</v>
      </c>
      <c r="B518" s="16"/>
    </row>
    <row r="519" spans="1:10" x14ac:dyDescent="0.35">
      <c r="A519" t="s">
        <v>470</v>
      </c>
      <c r="B519" s="16"/>
    </row>
    <row r="520" spans="1:10" x14ac:dyDescent="0.35">
      <c r="A520" t="s">
        <v>471</v>
      </c>
      <c r="B520" s="16"/>
    </row>
    <row r="521" spans="1:10" x14ac:dyDescent="0.35">
      <c r="A521" t="s">
        <v>718</v>
      </c>
      <c r="B521" s="16"/>
      <c r="J521">
        <v>19</v>
      </c>
    </row>
    <row r="522" spans="1:10" x14ac:dyDescent="0.35">
      <c r="A522" t="s">
        <v>700</v>
      </c>
      <c r="B522" s="16"/>
    </row>
    <row r="523" spans="1:10" x14ac:dyDescent="0.35">
      <c r="A523" t="s">
        <v>438</v>
      </c>
      <c r="B523" s="16"/>
    </row>
    <row r="524" spans="1:10" x14ac:dyDescent="0.35">
      <c r="A524" t="s">
        <v>439</v>
      </c>
      <c r="B524" s="16"/>
    </row>
    <row r="525" spans="1:10" x14ac:dyDescent="0.35">
      <c r="A525" t="s">
        <v>441</v>
      </c>
      <c r="B525" s="16"/>
    </row>
    <row r="526" spans="1:10" x14ac:dyDescent="0.35">
      <c r="A526" t="s">
        <v>701</v>
      </c>
      <c r="B526" s="16"/>
    </row>
    <row r="527" spans="1:10" x14ac:dyDescent="0.35">
      <c r="A527" t="s">
        <v>442</v>
      </c>
      <c r="B527" s="16" t="s">
        <v>443</v>
      </c>
      <c r="C527" t="s">
        <v>444</v>
      </c>
      <c r="D527" t="s">
        <v>445</v>
      </c>
      <c r="E527" t="s">
        <v>445</v>
      </c>
      <c r="F527" t="s">
        <v>446</v>
      </c>
      <c r="G527" t="s">
        <v>447</v>
      </c>
      <c r="H527" t="s">
        <v>448</v>
      </c>
      <c r="I527" t="s">
        <v>448</v>
      </c>
    </row>
    <row r="528" spans="1:10" x14ac:dyDescent="0.35">
      <c r="A528" t="s">
        <v>450</v>
      </c>
      <c r="B528" s="16" t="s">
        <v>451</v>
      </c>
      <c r="C528" t="s">
        <v>452</v>
      </c>
      <c r="D528" t="s">
        <v>453</v>
      </c>
      <c r="E528" t="s">
        <v>454</v>
      </c>
      <c r="F528" t="s">
        <v>455</v>
      </c>
      <c r="G528" t="s">
        <v>456</v>
      </c>
      <c r="H528" t="s">
        <v>457</v>
      </c>
      <c r="I528" t="s">
        <v>458</v>
      </c>
    </row>
    <row r="529" spans="1:9" x14ac:dyDescent="0.35">
      <c r="A529" t="s">
        <v>702</v>
      </c>
      <c r="B529" s="16" t="s">
        <v>703</v>
      </c>
      <c r="C529" t="s">
        <v>704</v>
      </c>
      <c r="D529" t="s">
        <v>704</v>
      </c>
      <c r="E529" t="s">
        <v>704</v>
      </c>
      <c r="F529" t="s">
        <v>705</v>
      </c>
      <c r="G529" t="s">
        <v>704</v>
      </c>
      <c r="H529" t="s">
        <v>704</v>
      </c>
      <c r="I529" t="s">
        <v>704</v>
      </c>
    </row>
    <row r="530" spans="1:9" x14ac:dyDescent="0.35">
      <c r="A530">
        <v>1</v>
      </c>
      <c r="B530" s="16" t="s">
        <v>719</v>
      </c>
      <c r="C530">
        <v>1.2999999999999999E-4</v>
      </c>
      <c r="D530">
        <v>1.52</v>
      </c>
      <c r="E530">
        <v>1.9359999999999999</v>
      </c>
      <c r="F530">
        <v>10</v>
      </c>
      <c r="G530">
        <v>2.5169999999999999E-4</v>
      </c>
      <c r="H530">
        <v>1.242E-2</v>
      </c>
      <c r="I530">
        <v>5.0250000000000002E-4</v>
      </c>
    </row>
    <row r="531" spans="1:9" x14ac:dyDescent="0.35">
      <c r="A531">
        <v>2</v>
      </c>
      <c r="B531" s="16" t="s">
        <v>720</v>
      </c>
      <c r="C531">
        <v>1.31E-3</v>
      </c>
      <c r="D531">
        <v>1.3129999999999999</v>
      </c>
      <c r="E531">
        <v>2.9209999999999998</v>
      </c>
      <c r="F531">
        <v>10</v>
      </c>
      <c r="G531">
        <v>3.826E-3</v>
      </c>
      <c r="H531">
        <v>0.18890000000000001</v>
      </c>
      <c r="I531">
        <v>7.639E-3</v>
      </c>
    </row>
    <row r="532" spans="1:9" x14ac:dyDescent="0.35">
      <c r="A532">
        <v>3</v>
      </c>
      <c r="B532" s="16" t="s">
        <v>721</v>
      </c>
      <c r="C532" s="4">
        <v>4.9370000000000003E-7</v>
      </c>
      <c r="D532">
        <v>2.1459999999999999</v>
      </c>
      <c r="E532">
        <v>2.302</v>
      </c>
      <c r="F532">
        <v>10</v>
      </c>
      <c r="G532" s="4">
        <v>1.1370000000000001E-6</v>
      </c>
      <c r="H532" s="4">
        <v>5.6100000000000002E-5</v>
      </c>
      <c r="I532" s="4">
        <v>2.2689999999999998E-6</v>
      </c>
    </row>
    <row r="533" spans="1:9" x14ac:dyDescent="0.35">
      <c r="A533">
        <v>4</v>
      </c>
      <c r="B533" s="16" t="s">
        <v>722</v>
      </c>
      <c r="C533" s="4">
        <v>9.8740000000000007E-5</v>
      </c>
      <c r="D533">
        <v>1.694</v>
      </c>
      <c r="E533">
        <v>2.3580000000000001</v>
      </c>
      <c r="F533">
        <v>10</v>
      </c>
      <c r="G533">
        <v>2.329E-4</v>
      </c>
      <c r="H533">
        <v>1.149E-2</v>
      </c>
      <c r="I533">
        <v>4.6490000000000002E-4</v>
      </c>
    </row>
    <row r="534" spans="1:9" x14ac:dyDescent="0.35">
      <c r="A534">
        <v>5</v>
      </c>
      <c r="B534" s="16" t="s">
        <v>723</v>
      </c>
      <c r="C534">
        <v>6.2870000000000001E-3</v>
      </c>
      <c r="D534">
        <v>1.2509999999999999</v>
      </c>
      <c r="E534">
        <v>2.1869999999999998</v>
      </c>
      <c r="F534">
        <v>10</v>
      </c>
      <c r="G534">
        <v>1.375E-2</v>
      </c>
      <c r="H534">
        <v>0.67859999999999998</v>
      </c>
      <c r="I534">
        <v>2.7449999999999999E-2</v>
      </c>
    </row>
    <row r="535" spans="1:9" x14ac:dyDescent="0.35">
      <c r="A535">
        <v>6</v>
      </c>
      <c r="B535" s="16" t="s">
        <v>724</v>
      </c>
      <c r="C535" s="4">
        <v>1.361E-6</v>
      </c>
      <c r="D535">
        <v>1.2170000000000001</v>
      </c>
      <c r="E535">
        <v>2.5790000000000002</v>
      </c>
      <c r="F535">
        <v>10</v>
      </c>
      <c r="G535" s="4">
        <v>3.5109999999999999E-6</v>
      </c>
      <c r="H535">
        <v>1.7330000000000001E-4</v>
      </c>
      <c r="I535" s="4">
        <v>7.0090000000000001E-6</v>
      </c>
    </row>
    <row r="536" spans="1:9" x14ac:dyDescent="0.35">
      <c r="A536">
        <v>7</v>
      </c>
      <c r="B536" s="16" t="s">
        <v>725</v>
      </c>
      <c r="C536" s="4">
        <v>4.5410000000000001E-10</v>
      </c>
      <c r="D536">
        <v>1.609</v>
      </c>
      <c r="E536">
        <v>2.7530000000000001</v>
      </c>
      <c r="F536">
        <v>10</v>
      </c>
      <c r="G536" s="4">
        <v>1.25E-9</v>
      </c>
      <c r="H536" s="4">
        <v>6.1710000000000001E-8</v>
      </c>
      <c r="I536" s="4">
        <v>2.4960000000000001E-9</v>
      </c>
    </row>
    <row r="537" spans="1:9" x14ac:dyDescent="0.35">
      <c r="A537">
        <v>8</v>
      </c>
      <c r="B537" s="16" t="s">
        <v>726</v>
      </c>
      <c r="C537" s="4">
        <v>4.489E-7</v>
      </c>
      <c r="D537">
        <v>1.3660000000000001</v>
      </c>
      <c r="E537">
        <v>1.982</v>
      </c>
      <c r="F537">
        <v>10</v>
      </c>
      <c r="G537" s="4">
        <v>8.8980000000000004E-7</v>
      </c>
      <c r="H537" s="4">
        <v>4.392E-5</v>
      </c>
      <c r="I537" s="4">
        <v>1.776E-6</v>
      </c>
    </row>
    <row r="538" spans="1:9" x14ac:dyDescent="0.35">
      <c r="A538">
        <v>9</v>
      </c>
      <c r="B538" s="16" t="s">
        <v>727</v>
      </c>
      <c r="C538">
        <v>1.1019999999999999E-3</v>
      </c>
      <c r="D538">
        <v>0.99270000000000003</v>
      </c>
      <c r="E538">
        <v>1.952</v>
      </c>
      <c r="F538">
        <v>10</v>
      </c>
      <c r="G538">
        <v>2.1519999999999998E-3</v>
      </c>
      <c r="H538">
        <v>0.1062</v>
      </c>
      <c r="I538">
        <v>4.2950000000000002E-3</v>
      </c>
    </row>
    <row r="539" spans="1:9" x14ac:dyDescent="0.35">
      <c r="A539">
        <v>10</v>
      </c>
      <c r="B539" s="16" t="s">
        <v>728</v>
      </c>
      <c r="C539" s="4">
        <v>1.579E-5</v>
      </c>
      <c r="D539">
        <v>0.91669999999999996</v>
      </c>
      <c r="E539">
        <v>2.0209999999999999</v>
      </c>
      <c r="F539">
        <v>10</v>
      </c>
      <c r="G539" s="4">
        <v>3.1900000000000003E-5</v>
      </c>
      <c r="H539">
        <v>1.5740000000000001E-3</v>
      </c>
      <c r="I539" s="4">
        <v>6.368E-5</v>
      </c>
    </row>
    <row r="540" spans="1:9" x14ac:dyDescent="0.35">
      <c r="A540">
        <v>11</v>
      </c>
      <c r="B540" s="16" t="s">
        <v>729</v>
      </c>
      <c r="C540" s="4">
        <v>4.0790000000000002E-6</v>
      </c>
      <c r="D540">
        <v>1.913</v>
      </c>
      <c r="E540">
        <v>2.7410000000000001</v>
      </c>
      <c r="F540">
        <v>10</v>
      </c>
      <c r="G540" s="4">
        <v>1.118E-5</v>
      </c>
      <c r="H540">
        <v>5.5179999999999997E-4</v>
      </c>
      <c r="I540" s="4">
        <v>2.232E-5</v>
      </c>
    </row>
    <row r="541" spans="1:9" x14ac:dyDescent="0.35">
      <c r="A541">
        <v>12</v>
      </c>
      <c r="B541" s="16" t="s">
        <v>464</v>
      </c>
      <c r="C541">
        <v>0.39439999999999997</v>
      </c>
      <c r="D541">
        <v>0.66379999999999995</v>
      </c>
      <c r="E541">
        <v>1.2190000000000001</v>
      </c>
      <c r="F541">
        <v>10</v>
      </c>
      <c r="G541">
        <v>0.48060000000000003</v>
      </c>
      <c r="H541" t="s">
        <v>452</v>
      </c>
      <c r="I541">
        <v>0.95960000000000001</v>
      </c>
    </row>
    <row r="542" spans="1:9" x14ac:dyDescent="0.35">
      <c r="A542">
        <v>13</v>
      </c>
      <c r="B542" s="16" t="s">
        <v>466</v>
      </c>
      <c r="C542">
        <v>0.47349999999999998</v>
      </c>
      <c r="D542">
        <v>0.4234</v>
      </c>
      <c r="E542">
        <v>0.65939999999999999</v>
      </c>
      <c r="F542">
        <v>10</v>
      </c>
      <c r="G542">
        <v>0.31219999999999998</v>
      </c>
      <c r="H542" t="s">
        <v>452</v>
      </c>
      <c r="I542">
        <v>0.93910000000000005</v>
      </c>
    </row>
    <row r="543" spans="1:9" x14ac:dyDescent="0.35">
      <c r="A543">
        <v>14</v>
      </c>
      <c r="B543" s="16" t="s">
        <v>467</v>
      </c>
      <c r="C543">
        <v>0.39439999999999997</v>
      </c>
      <c r="D543">
        <v>0.68959999999999999</v>
      </c>
      <c r="E543">
        <v>1.349</v>
      </c>
      <c r="F543">
        <v>10</v>
      </c>
      <c r="G543">
        <v>0.53220000000000001</v>
      </c>
      <c r="H543" t="s">
        <v>452</v>
      </c>
      <c r="I543">
        <v>0.96430000000000005</v>
      </c>
    </row>
    <row r="544" spans="1:9" x14ac:dyDescent="0.35">
      <c r="A544">
        <v>15</v>
      </c>
      <c r="B544" s="16" t="s">
        <v>469</v>
      </c>
      <c r="C544">
        <v>0.70689999999999997</v>
      </c>
      <c r="D544">
        <v>0.79949999999999999</v>
      </c>
      <c r="E544">
        <v>1.74</v>
      </c>
      <c r="F544">
        <v>10</v>
      </c>
      <c r="G544">
        <v>1.23</v>
      </c>
      <c r="H544" t="s">
        <v>452</v>
      </c>
      <c r="I544">
        <v>0.98419999999999996</v>
      </c>
    </row>
    <row r="545" spans="1:10" x14ac:dyDescent="0.35">
      <c r="A545" t="s">
        <v>701</v>
      </c>
      <c r="B545" s="16"/>
    </row>
    <row r="546" spans="1:10" x14ac:dyDescent="0.35">
      <c r="A546" t="s">
        <v>700</v>
      </c>
      <c r="B546" s="16"/>
    </row>
    <row r="547" spans="1:10" x14ac:dyDescent="0.35">
      <c r="A547" t="s">
        <v>470</v>
      </c>
      <c r="B547" s="16"/>
    </row>
    <row r="548" spans="1:10" x14ac:dyDescent="0.35">
      <c r="A548" t="s">
        <v>471</v>
      </c>
      <c r="B548" s="16"/>
    </row>
    <row r="549" spans="1:10" x14ac:dyDescent="0.35">
      <c r="A549" t="s">
        <v>941</v>
      </c>
      <c r="B549" s="16"/>
      <c r="J549">
        <v>20</v>
      </c>
    </row>
    <row r="550" spans="1:10" x14ac:dyDescent="0.35">
      <c r="A550" t="s">
        <v>700</v>
      </c>
      <c r="B550" s="16"/>
    </row>
    <row r="551" spans="1:10" x14ac:dyDescent="0.35">
      <c r="A551" t="s">
        <v>438</v>
      </c>
      <c r="B551" s="16"/>
    </row>
    <row r="552" spans="1:10" x14ac:dyDescent="0.35">
      <c r="A552" t="s">
        <v>439</v>
      </c>
      <c r="B552" s="16"/>
    </row>
    <row r="553" spans="1:10" x14ac:dyDescent="0.35">
      <c r="A553" t="s">
        <v>441</v>
      </c>
      <c r="B553" s="16"/>
    </row>
    <row r="554" spans="1:10" x14ac:dyDescent="0.35">
      <c r="A554" t="s">
        <v>701</v>
      </c>
      <c r="B554" s="16"/>
    </row>
    <row r="555" spans="1:10" x14ac:dyDescent="0.35">
      <c r="A555" t="s">
        <v>442</v>
      </c>
      <c r="B555" s="16" t="s">
        <v>443</v>
      </c>
      <c r="C555" t="s">
        <v>444</v>
      </c>
      <c r="D555" t="s">
        <v>445</v>
      </c>
      <c r="E555" t="s">
        <v>445</v>
      </c>
      <c r="F555" t="s">
        <v>446</v>
      </c>
      <c r="G555" t="s">
        <v>447</v>
      </c>
      <c r="H555" t="s">
        <v>448</v>
      </c>
      <c r="I555" t="s">
        <v>448</v>
      </c>
    </row>
    <row r="556" spans="1:10" x14ac:dyDescent="0.35">
      <c r="A556" t="s">
        <v>450</v>
      </c>
      <c r="B556" s="16" t="s">
        <v>451</v>
      </c>
      <c r="C556" t="s">
        <v>452</v>
      </c>
      <c r="D556" t="s">
        <v>453</v>
      </c>
      <c r="E556" t="s">
        <v>454</v>
      </c>
      <c r="F556" t="s">
        <v>455</v>
      </c>
      <c r="G556" t="s">
        <v>456</v>
      </c>
      <c r="H556" t="s">
        <v>457</v>
      </c>
      <c r="I556" t="s">
        <v>458</v>
      </c>
    </row>
    <row r="557" spans="1:10" x14ac:dyDescent="0.35">
      <c r="A557" t="s">
        <v>702</v>
      </c>
      <c r="B557" s="16" t="s">
        <v>703</v>
      </c>
      <c r="C557" t="s">
        <v>704</v>
      </c>
      <c r="D557" t="s">
        <v>704</v>
      </c>
      <c r="E557" t="s">
        <v>704</v>
      </c>
      <c r="F557" t="s">
        <v>705</v>
      </c>
      <c r="G557" t="s">
        <v>704</v>
      </c>
      <c r="H557" t="s">
        <v>704</v>
      </c>
      <c r="I557" t="s">
        <v>704</v>
      </c>
    </row>
    <row r="558" spans="1:10" x14ac:dyDescent="0.35">
      <c r="A558">
        <v>1</v>
      </c>
      <c r="B558" s="16">
        <v>1</v>
      </c>
      <c r="C558">
        <v>1.547E-3</v>
      </c>
      <c r="D558">
        <v>1.016</v>
      </c>
      <c r="E558">
        <v>0.96889999999999998</v>
      </c>
      <c r="F558">
        <v>8</v>
      </c>
      <c r="G558">
        <v>1.4989999999999999E-3</v>
      </c>
      <c r="H558">
        <v>2.5579999999999999E-3</v>
      </c>
      <c r="I558">
        <v>2.3349999999999998E-3</v>
      </c>
    </row>
    <row r="559" spans="1:10" x14ac:dyDescent="0.35">
      <c r="A559">
        <v>2</v>
      </c>
      <c r="B559" s="16">
        <v>2</v>
      </c>
      <c r="C559">
        <v>2.6509999999999999E-2</v>
      </c>
      <c r="D559">
        <v>0.71189999999999998</v>
      </c>
      <c r="E559">
        <v>0.49909999999999999</v>
      </c>
      <c r="F559">
        <v>8</v>
      </c>
      <c r="G559">
        <v>1.323E-2</v>
      </c>
      <c r="H559">
        <v>2.2579999999999999E-2</v>
      </c>
      <c r="I559">
        <v>2.061E-2</v>
      </c>
    </row>
    <row r="560" spans="1:10" x14ac:dyDescent="0.35">
      <c r="A560">
        <v>3</v>
      </c>
      <c r="B560" s="16">
        <v>3</v>
      </c>
      <c r="C560">
        <v>0.185</v>
      </c>
      <c r="D560">
        <v>1.3169999999999999</v>
      </c>
      <c r="E560">
        <v>1.0289999999999999</v>
      </c>
      <c r="F560">
        <v>8</v>
      </c>
      <c r="G560">
        <v>0.1905</v>
      </c>
      <c r="H560">
        <v>0.32490000000000002</v>
      </c>
      <c r="I560">
        <v>0.29659999999999997</v>
      </c>
    </row>
    <row r="561" spans="1:10" x14ac:dyDescent="0.35">
      <c r="A561">
        <v>4</v>
      </c>
      <c r="B561" s="16">
        <v>4</v>
      </c>
      <c r="C561">
        <v>0.66379999999999995</v>
      </c>
      <c r="D561">
        <v>0.95</v>
      </c>
      <c r="E561">
        <v>0.57399999999999995</v>
      </c>
      <c r="F561">
        <v>8</v>
      </c>
      <c r="G561">
        <v>0.38100000000000001</v>
      </c>
      <c r="H561">
        <v>0.64990000000000003</v>
      </c>
      <c r="I561">
        <v>0.59319999999999995</v>
      </c>
    </row>
    <row r="562" spans="1:10" x14ac:dyDescent="0.35">
      <c r="A562">
        <v>5</v>
      </c>
      <c r="B562" s="16">
        <v>5</v>
      </c>
      <c r="C562" s="4">
        <v>5.1150000000000003E-5</v>
      </c>
      <c r="D562">
        <v>1.0489999999999999</v>
      </c>
      <c r="E562">
        <v>1.06</v>
      </c>
      <c r="F562">
        <v>8</v>
      </c>
      <c r="G562" s="4">
        <v>5.4219999999999999E-5</v>
      </c>
      <c r="H562" s="4">
        <v>9.2490000000000004E-5</v>
      </c>
      <c r="I562" s="4">
        <v>8.4419999999999995E-5</v>
      </c>
    </row>
    <row r="563" spans="1:10" x14ac:dyDescent="0.35">
      <c r="A563">
        <v>6</v>
      </c>
      <c r="B563" s="16" t="s">
        <v>464</v>
      </c>
      <c r="C563">
        <v>0.1447</v>
      </c>
      <c r="D563">
        <v>0.36890000000000001</v>
      </c>
      <c r="E563">
        <v>0.38679999999999998</v>
      </c>
      <c r="F563">
        <v>8</v>
      </c>
      <c r="G563">
        <v>5.5989999999999998E-2</v>
      </c>
      <c r="H563" t="s">
        <v>452</v>
      </c>
      <c r="I563">
        <v>8.7179999999999994E-2</v>
      </c>
    </row>
    <row r="564" spans="1:10" x14ac:dyDescent="0.35">
      <c r="A564">
        <v>7</v>
      </c>
      <c r="B564" s="16" t="s">
        <v>466</v>
      </c>
      <c r="C564">
        <v>0.22239999999999999</v>
      </c>
      <c r="D564">
        <v>0.1046</v>
      </c>
      <c r="E564">
        <v>9.9449999999999997E-2</v>
      </c>
      <c r="F564">
        <v>8</v>
      </c>
      <c r="G564">
        <v>2.2120000000000001E-2</v>
      </c>
      <c r="H564" t="s">
        <v>452</v>
      </c>
      <c r="I564">
        <v>3.6360000000000003E-2</v>
      </c>
    </row>
    <row r="565" spans="1:10" x14ac:dyDescent="0.35">
      <c r="A565">
        <v>8</v>
      </c>
      <c r="B565" s="16" t="s">
        <v>467</v>
      </c>
      <c r="C565">
        <v>0.66379999999999995</v>
      </c>
      <c r="D565">
        <v>0.95</v>
      </c>
      <c r="E565">
        <v>0.57399999999999995</v>
      </c>
      <c r="F565">
        <v>8</v>
      </c>
      <c r="G565">
        <v>0.38100000000000001</v>
      </c>
      <c r="H565" t="s">
        <v>452</v>
      </c>
      <c r="I565">
        <v>0.5</v>
      </c>
    </row>
    <row r="566" spans="1:10" x14ac:dyDescent="0.35">
      <c r="A566">
        <v>9</v>
      </c>
      <c r="B566" s="16" t="s">
        <v>469</v>
      </c>
      <c r="C566">
        <v>0.66379999999999995</v>
      </c>
      <c r="D566">
        <v>0.95</v>
      </c>
      <c r="E566">
        <v>0.57399999999999995</v>
      </c>
      <c r="F566">
        <v>8</v>
      </c>
      <c r="G566">
        <v>0.38100000000000001</v>
      </c>
      <c r="H566" t="s">
        <v>452</v>
      </c>
      <c r="I566">
        <v>0.5</v>
      </c>
    </row>
    <row r="567" spans="1:10" x14ac:dyDescent="0.35">
      <c r="A567" t="s">
        <v>701</v>
      </c>
      <c r="B567" s="16"/>
    </row>
    <row r="568" spans="1:10" x14ac:dyDescent="0.35">
      <c r="A568" t="s">
        <v>700</v>
      </c>
      <c r="B568" s="16"/>
    </row>
    <row r="569" spans="1:10" x14ac:dyDescent="0.35">
      <c r="A569" t="s">
        <v>470</v>
      </c>
      <c r="B569" s="16"/>
    </row>
    <row r="570" spans="1:10" x14ac:dyDescent="0.35">
      <c r="A570" t="s">
        <v>471</v>
      </c>
      <c r="B570" s="16"/>
    </row>
    <row r="571" spans="1:10" x14ac:dyDescent="0.35">
      <c r="A571" t="s">
        <v>942</v>
      </c>
      <c r="B571" s="16"/>
      <c r="J571">
        <v>21</v>
      </c>
    </row>
    <row r="572" spans="1:10" x14ac:dyDescent="0.35">
      <c r="A572" t="s">
        <v>700</v>
      </c>
      <c r="B572" s="16"/>
    </row>
    <row r="573" spans="1:10" x14ac:dyDescent="0.35">
      <c r="A573" t="s">
        <v>438</v>
      </c>
      <c r="B573" s="16"/>
    </row>
    <row r="574" spans="1:10" x14ac:dyDescent="0.35">
      <c r="A574" t="s">
        <v>439</v>
      </c>
      <c r="B574" s="16"/>
    </row>
    <row r="575" spans="1:10" x14ac:dyDescent="0.35">
      <c r="A575" t="s">
        <v>441</v>
      </c>
      <c r="B575" s="16"/>
    </row>
    <row r="576" spans="1:10" x14ac:dyDescent="0.35">
      <c r="A576" t="s">
        <v>701</v>
      </c>
      <c r="B576" s="16"/>
    </row>
    <row r="577" spans="1:9" x14ac:dyDescent="0.35">
      <c r="A577" t="s">
        <v>442</v>
      </c>
      <c r="B577" s="16" t="s">
        <v>443</v>
      </c>
      <c r="C577" t="s">
        <v>444</v>
      </c>
      <c r="D577" t="s">
        <v>445</v>
      </c>
      <c r="E577" t="s">
        <v>445</v>
      </c>
      <c r="F577" t="s">
        <v>446</v>
      </c>
      <c r="G577" t="s">
        <v>447</v>
      </c>
      <c r="H577" t="s">
        <v>448</v>
      </c>
      <c r="I577" t="s">
        <v>448</v>
      </c>
    </row>
    <row r="578" spans="1:9" x14ac:dyDescent="0.35">
      <c r="A578" t="s">
        <v>450</v>
      </c>
      <c r="B578" s="16" t="s">
        <v>451</v>
      </c>
      <c r="C578" t="s">
        <v>452</v>
      </c>
      <c r="D578" t="s">
        <v>453</v>
      </c>
      <c r="E578" t="s">
        <v>454</v>
      </c>
      <c r="F578" t="s">
        <v>455</v>
      </c>
      <c r="G578" t="s">
        <v>456</v>
      </c>
      <c r="H578" t="s">
        <v>457</v>
      </c>
      <c r="I578" t="s">
        <v>458</v>
      </c>
    </row>
    <row r="579" spans="1:9" x14ac:dyDescent="0.35">
      <c r="A579" t="s">
        <v>702</v>
      </c>
      <c r="B579" s="16" t="s">
        <v>703</v>
      </c>
      <c r="C579" t="s">
        <v>704</v>
      </c>
      <c r="D579" t="s">
        <v>704</v>
      </c>
      <c r="E579" t="s">
        <v>704</v>
      </c>
      <c r="F579" t="s">
        <v>705</v>
      </c>
      <c r="G579" t="s">
        <v>704</v>
      </c>
      <c r="H579" t="s">
        <v>704</v>
      </c>
      <c r="I579" t="s">
        <v>704</v>
      </c>
    </row>
    <row r="580" spans="1:9" x14ac:dyDescent="0.35">
      <c r="A580">
        <v>1</v>
      </c>
      <c r="B580" s="16" t="s">
        <v>519</v>
      </c>
      <c r="C580">
        <v>2.2039999999999999E-4</v>
      </c>
      <c r="D580">
        <v>1.8640000000000001</v>
      </c>
      <c r="E580">
        <v>1.089</v>
      </c>
      <c r="F580">
        <v>10</v>
      </c>
      <c r="G580">
        <v>2.4010000000000001E-4</v>
      </c>
      <c r="H580">
        <v>6.8059999999999996E-4</v>
      </c>
      <c r="I580">
        <v>2.9970000000000002E-4</v>
      </c>
    </row>
    <row r="581" spans="1:9" x14ac:dyDescent="0.35">
      <c r="A581">
        <v>2</v>
      </c>
      <c r="B581" s="16" t="s">
        <v>520</v>
      </c>
      <c r="C581">
        <v>1.5509999999999999E-2</v>
      </c>
      <c r="D581">
        <v>1.8480000000000001</v>
      </c>
      <c r="E581">
        <v>0.91159999999999997</v>
      </c>
      <c r="F581">
        <v>10</v>
      </c>
      <c r="G581">
        <v>1.414E-2</v>
      </c>
      <c r="H581">
        <v>4.0079999999999998E-2</v>
      </c>
      <c r="I581">
        <v>1.7649999999999999E-2</v>
      </c>
    </row>
    <row r="582" spans="1:9" x14ac:dyDescent="0.35">
      <c r="A582">
        <v>3</v>
      </c>
      <c r="B582" s="16" t="s">
        <v>521</v>
      </c>
      <c r="C582">
        <v>0.1249</v>
      </c>
      <c r="D582">
        <v>1.4219999999999999</v>
      </c>
      <c r="E582">
        <v>1.736</v>
      </c>
      <c r="F582">
        <v>10</v>
      </c>
      <c r="G582">
        <v>0.21690000000000001</v>
      </c>
      <c r="H582">
        <v>0.61480000000000001</v>
      </c>
      <c r="I582">
        <v>0.27079999999999999</v>
      </c>
    </row>
    <row r="583" spans="1:9" x14ac:dyDescent="0.35">
      <c r="A583">
        <v>4</v>
      </c>
      <c r="B583" s="16" t="s">
        <v>522</v>
      </c>
      <c r="C583">
        <v>5.2339999999999998E-2</v>
      </c>
      <c r="D583">
        <v>1.4359999999999999</v>
      </c>
      <c r="E583">
        <v>1.2290000000000001</v>
      </c>
      <c r="F583">
        <v>10</v>
      </c>
      <c r="G583">
        <v>6.4310000000000006E-2</v>
      </c>
      <c r="H583">
        <v>0.18229999999999999</v>
      </c>
      <c r="I583">
        <v>8.029E-2</v>
      </c>
    </row>
    <row r="584" spans="1:9" x14ac:dyDescent="0.35">
      <c r="A584">
        <v>5</v>
      </c>
      <c r="B584" s="16" t="s">
        <v>523</v>
      </c>
      <c r="C584">
        <v>7.6210000000000002E-3</v>
      </c>
      <c r="D584">
        <v>1.917</v>
      </c>
      <c r="E584">
        <v>1.0449999999999999</v>
      </c>
      <c r="F584">
        <v>10</v>
      </c>
      <c r="G584">
        <v>7.9600000000000001E-3</v>
      </c>
      <c r="H584">
        <v>2.257E-2</v>
      </c>
      <c r="I584">
        <v>9.9380000000000007E-3</v>
      </c>
    </row>
    <row r="585" spans="1:9" x14ac:dyDescent="0.35">
      <c r="A585">
        <v>6</v>
      </c>
      <c r="B585" s="16" t="s">
        <v>524</v>
      </c>
      <c r="C585">
        <v>6.5850000000000006E-2</v>
      </c>
      <c r="D585">
        <v>1.03</v>
      </c>
      <c r="E585">
        <v>0.747</v>
      </c>
      <c r="F585">
        <v>10</v>
      </c>
      <c r="G585">
        <v>4.9189999999999998E-2</v>
      </c>
      <c r="H585">
        <v>0.13950000000000001</v>
      </c>
      <c r="I585">
        <v>6.1420000000000002E-2</v>
      </c>
    </row>
    <row r="586" spans="1:9" x14ac:dyDescent="0.35">
      <c r="A586">
        <v>7</v>
      </c>
      <c r="B586" s="16" t="s">
        <v>525</v>
      </c>
      <c r="C586" s="4">
        <v>1.1770000000000001E-5</v>
      </c>
      <c r="D586">
        <v>1.8460000000000001</v>
      </c>
      <c r="E586">
        <v>2.2719999999999998</v>
      </c>
      <c r="F586">
        <v>10</v>
      </c>
      <c r="G586" s="4">
        <v>2.6740000000000001E-5</v>
      </c>
      <c r="H586" s="4">
        <v>7.5799999999999999E-5</v>
      </c>
      <c r="I586" s="4">
        <v>3.3380000000000002E-5</v>
      </c>
    </row>
    <row r="587" spans="1:9" x14ac:dyDescent="0.35">
      <c r="A587">
        <v>8</v>
      </c>
      <c r="B587" s="16" t="s">
        <v>464</v>
      </c>
      <c r="C587">
        <v>0.56189999999999996</v>
      </c>
      <c r="D587">
        <v>0.62709999999999999</v>
      </c>
      <c r="E587">
        <v>0.79769999999999996</v>
      </c>
      <c r="F587">
        <v>10</v>
      </c>
      <c r="G587">
        <v>0.44819999999999999</v>
      </c>
      <c r="H587" t="s">
        <v>452</v>
      </c>
      <c r="I587">
        <v>0.55959999999999999</v>
      </c>
    </row>
    <row r="588" spans="1:9" x14ac:dyDescent="0.35">
      <c r="A588">
        <v>9</v>
      </c>
      <c r="B588" s="16" t="s">
        <v>466</v>
      </c>
      <c r="C588">
        <v>0.75619999999999998</v>
      </c>
      <c r="D588">
        <v>0.65039999999999998</v>
      </c>
      <c r="E588">
        <v>0.45540000000000003</v>
      </c>
      <c r="F588">
        <v>10</v>
      </c>
      <c r="G588">
        <v>0.34429999999999999</v>
      </c>
      <c r="H588" t="s">
        <v>452</v>
      </c>
      <c r="I588">
        <v>0.49399999999999999</v>
      </c>
    </row>
    <row r="589" spans="1:9" x14ac:dyDescent="0.35">
      <c r="A589">
        <v>10</v>
      </c>
      <c r="B589" s="16" t="s">
        <v>467</v>
      </c>
      <c r="C589">
        <v>0.75619999999999998</v>
      </c>
      <c r="D589">
        <v>0.88829999999999998</v>
      </c>
      <c r="E589">
        <v>1.133</v>
      </c>
      <c r="F589">
        <v>10</v>
      </c>
      <c r="G589">
        <v>0.8569</v>
      </c>
      <c r="H589" t="s">
        <v>452</v>
      </c>
      <c r="I589">
        <v>0.76300000000000001</v>
      </c>
    </row>
    <row r="590" spans="1:9" x14ac:dyDescent="0.35">
      <c r="A590">
        <v>11</v>
      </c>
      <c r="B590" s="16" t="s">
        <v>469</v>
      </c>
      <c r="C590">
        <v>0.75619999999999998</v>
      </c>
      <c r="D590">
        <v>1.109</v>
      </c>
      <c r="E590">
        <v>1.145</v>
      </c>
      <c r="F590">
        <v>10</v>
      </c>
      <c r="G590">
        <v>0.8659</v>
      </c>
      <c r="H590" t="s">
        <v>452</v>
      </c>
      <c r="I590">
        <v>0.76490000000000002</v>
      </c>
    </row>
    <row r="591" spans="1:9" x14ac:dyDescent="0.35">
      <c r="A591" t="s">
        <v>701</v>
      </c>
      <c r="B591" s="16"/>
    </row>
    <row r="592" spans="1:9" x14ac:dyDescent="0.35">
      <c r="A592" t="s">
        <v>700</v>
      </c>
      <c r="B592" s="16"/>
    </row>
    <row r="593" spans="1:10" x14ac:dyDescent="0.35">
      <c r="A593" t="s">
        <v>470</v>
      </c>
      <c r="B593" s="16"/>
    </row>
    <row r="594" spans="1:10" x14ac:dyDescent="0.35">
      <c r="A594" t="s">
        <v>471</v>
      </c>
      <c r="B594" s="16"/>
    </row>
    <row r="595" spans="1:10" x14ac:dyDescent="0.35">
      <c r="A595" t="s">
        <v>638</v>
      </c>
      <c r="B595" s="16"/>
      <c r="J595">
        <v>22</v>
      </c>
    </row>
    <row r="596" spans="1:10" x14ac:dyDescent="0.35">
      <c r="A596" t="s">
        <v>700</v>
      </c>
      <c r="B596" s="16"/>
    </row>
    <row r="597" spans="1:10" x14ac:dyDescent="0.35">
      <c r="A597" t="s">
        <v>438</v>
      </c>
      <c r="B597" s="16"/>
    </row>
    <row r="598" spans="1:10" x14ac:dyDescent="0.35">
      <c r="A598" t="s">
        <v>439</v>
      </c>
      <c r="B598" s="16"/>
    </row>
    <row r="599" spans="1:10" x14ac:dyDescent="0.35">
      <c r="A599" t="s">
        <v>441</v>
      </c>
      <c r="B599" s="16"/>
    </row>
    <row r="600" spans="1:10" x14ac:dyDescent="0.35">
      <c r="A600" t="s">
        <v>701</v>
      </c>
      <c r="B600" s="16"/>
    </row>
    <row r="601" spans="1:10" x14ac:dyDescent="0.35">
      <c r="A601" t="s">
        <v>442</v>
      </c>
      <c r="B601" s="16" t="s">
        <v>443</v>
      </c>
      <c r="C601" t="s">
        <v>444</v>
      </c>
      <c r="D601" t="s">
        <v>445</v>
      </c>
      <c r="E601" t="s">
        <v>445</v>
      </c>
      <c r="F601" t="s">
        <v>446</v>
      </c>
      <c r="G601" t="s">
        <v>447</v>
      </c>
      <c r="H601" t="s">
        <v>448</v>
      </c>
      <c r="I601" t="s">
        <v>448</v>
      </c>
    </row>
    <row r="602" spans="1:10" x14ac:dyDescent="0.35">
      <c r="A602" t="s">
        <v>450</v>
      </c>
      <c r="B602" s="16" t="s">
        <v>451</v>
      </c>
      <c r="C602" t="s">
        <v>452</v>
      </c>
      <c r="D602" t="s">
        <v>453</v>
      </c>
      <c r="E602" t="s">
        <v>454</v>
      </c>
      <c r="F602" t="s">
        <v>455</v>
      </c>
      <c r="G602" t="s">
        <v>456</v>
      </c>
      <c r="H602" t="s">
        <v>457</v>
      </c>
      <c r="I602" t="s">
        <v>458</v>
      </c>
    </row>
    <row r="603" spans="1:10" x14ac:dyDescent="0.35">
      <c r="A603" t="s">
        <v>702</v>
      </c>
      <c r="B603" s="16" t="s">
        <v>703</v>
      </c>
      <c r="C603" t="s">
        <v>704</v>
      </c>
      <c r="D603" t="s">
        <v>704</v>
      </c>
      <c r="E603" t="s">
        <v>704</v>
      </c>
      <c r="F603" t="s">
        <v>705</v>
      </c>
      <c r="G603" t="s">
        <v>704</v>
      </c>
      <c r="H603" t="s">
        <v>704</v>
      </c>
      <c r="I603" t="s">
        <v>704</v>
      </c>
    </row>
    <row r="604" spans="1:10" x14ac:dyDescent="0.35">
      <c r="A604">
        <v>1</v>
      </c>
      <c r="B604" s="16">
        <v>1</v>
      </c>
      <c r="C604">
        <v>2.2039999999999999E-4</v>
      </c>
      <c r="D604">
        <v>1.796</v>
      </c>
      <c r="E604">
        <v>1.4710000000000001</v>
      </c>
      <c r="F604">
        <v>10</v>
      </c>
      <c r="G604">
        <v>3.2410000000000002E-4</v>
      </c>
      <c r="H604">
        <v>2.454E-4</v>
      </c>
      <c r="I604">
        <v>1.5100000000000001E-4</v>
      </c>
    </row>
    <row r="605" spans="1:10" x14ac:dyDescent="0.35">
      <c r="A605">
        <v>2</v>
      </c>
      <c r="B605" s="16">
        <v>2</v>
      </c>
      <c r="C605">
        <v>3.1019999999999999E-2</v>
      </c>
      <c r="D605">
        <v>1.1759999999999999</v>
      </c>
      <c r="E605">
        <v>1.379</v>
      </c>
      <c r="F605">
        <v>10</v>
      </c>
      <c r="G605">
        <v>4.2779999999999999E-2</v>
      </c>
      <c r="H605">
        <v>3.2390000000000002E-2</v>
      </c>
      <c r="I605">
        <v>1.9939999999999999E-2</v>
      </c>
    </row>
    <row r="606" spans="1:10" x14ac:dyDescent="0.35">
      <c r="A606">
        <v>3</v>
      </c>
      <c r="B606" s="16">
        <v>3</v>
      </c>
      <c r="C606" s="4">
        <v>1.991E-7</v>
      </c>
      <c r="D606">
        <v>0.7056</v>
      </c>
      <c r="E606">
        <v>0.71630000000000005</v>
      </c>
      <c r="F606">
        <v>10</v>
      </c>
      <c r="G606" s="4">
        <v>1.4259999999999999E-7</v>
      </c>
      <c r="H606" s="4">
        <v>1.08E-7</v>
      </c>
      <c r="I606" s="4">
        <v>6.6469999999999999E-8</v>
      </c>
    </row>
    <row r="607" spans="1:10" x14ac:dyDescent="0.35">
      <c r="A607">
        <v>4</v>
      </c>
      <c r="B607" s="16">
        <v>4</v>
      </c>
      <c r="C607">
        <v>2.16E-3</v>
      </c>
      <c r="D607">
        <v>0.66459999999999997</v>
      </c>
      <c r="E607">
        <v>0.67100000000000004</v>
      </c>
      <c r="F607">
        <v>10</v>
      </c>
      <c r="G607">
        <v>1.449E-3</v>
      </c>
      <c r="H607">
        <v>1.0970000000000001E-3</v>
      </c>
      <c r="I607">
        <v>6.7540000000000005E-4</v>
      </c>
    </row>
    <row r="608" spans="1:10" x14ac:dyDescent="0.35">
      <c r="A608">
        <v>5</v>
      </c>
      <c r="B608" s="16">
        <v>5</v>
      </c>
      <c r="C608">
        <v>0.65169999999999995</v>
      </c>
      <c r="D608">
        <v>1.528</v>
      </c>
      <c r="E608">
        <v>1.958</v>
      </c>
      <c r="F608">
        <v>10</v>
      </c>
      <c r="G608">
        <v>1.276</v>
      </c>
      <c r="H608">
        <v>0.96630000000000005</v>
      </c>
      <c r="I608">
        <v>0.59470000000000001</v>
      </c>
    </row>
    <row r="609" spans="1:10" x14ac:dyDescent="0.35">
      <c r="A609">
        <v>6</v>
      </c>
      <c r="B609" s="16" t="s">
        <v>464</v>
      </c>
      <c r="C609">
        <v>0.49880000000000002</v>
      </c>
      <c r="D609">
        <v>1.2989999999999999</v>
      </c>
      <c r="E609">
        <v>1.6539999999999999</v>
      </c>
      <c r="F609">
        <v>10</v>
      </c>
      <c r="G609">
        <v>0.82499999999999996</v>
      </c>
      <c r="H609" t="s">
        <v>452</v>
      </c>
      <c r="I609">
        <v>0.38450000000000001</v>
      </c>
    </row>
    <row r="610" spans="1:10" x14ac:dyDescent="0.35">
      <c r="A610">
        <v>7</v>
      </c>
      <c r="B610" s="16" t="s">
        <v>466</v>
      </c>
      <c r="C610">
        <v>7.7939999999999995E-2</v>
      </c>
      <c r="D610">
        <v>0.51919999999999999</v>
      </c>
      <c r="E610">
        <v>0.43280000000000002</v>
      </c>
      <c r="F610">
        <v>10</v>
      </c>
      <c r="G610">
        <v>3.3739999999999999E-2</v>
      </c>
      <c r="H610" t="s">
        <v>452</v>
      </c>
      <c r="I610">
        <v>2.4910000000000002E-2</v>
      </c>
    </row>
    <row r="611" spans="1:10" x14ac:dyDescent="0.35">
      <c r="A611">
        <v>8</v>
      </c>
      <c r="B611" s="16" t="s">
        <v>467</v>
      </c>
      <c r="C611">
        <v>0.65169999999999995</v>
      </c>
      <c r="D611">
        <v>1.528</v>
      </c>
      <c r="E611">
        <v>1.958</v>
      </c>
      <c r="F611">
        <v>10</v>
      </c>
      <c r="G611">
        <v>1.276</v>
      </c>
      <c r="H611" t="s">
        <v>452</v>
      </c>
      <c r="I611">
        <v>0.5</v>
      </c>
    </row>
    <row r="612" spans="1:10" x14ac:dyDescent="0.35">
      <c r="A612">
        <v>9</v>
      </c>
      <c r="B612" s="16" t="s">
        <v>469</v>
      </c>
      <c r="C612">
        <v>0.65169999999999995</v>
      </c>
      <c r="D612">
        <v>1.528</v>
      </c>
      <c r="E612">
        <v>1.958</v>
      </c>
      <c r="F612">
        <v>10</v>
      </c>
      <c r="G612">
        <v>1.276</v>
      </c>
      <c r="H612" t="s">
        <v>452</v>
      </c>
      <c r="I612">
        <v>0.5</v>
      </c>
    </row>
    <row r="613" spans="1:10" x14ac:dyDescent="0.35">
      <c r="A613" t="s">
        <v>701</v>
      </c>
      <c r="B613" s="16"/>
    </row>
    <row r="614" spans="1:10" x14ac:dyDescent="0.35">
      <c r="A614" t="s">
        <v>700</v>
      </c>
      <c r="B614" s="16"/>
    </row>
    <row r="615" spans="1:10" x14ac:dyDescent="0.35">
      <c r="A615" t="s">
        <v>470</v>
      </c>
      <c r="B615" s="16"/>
    </row>
    <row r="616" spans="1:10" x14ac:dyDescent="0.35">
      <c r="A616" t="s">
        <v>471</v>
      </c>
      <c r="B616" s="16"/>
    </row>
    <row r="617" spans="1:10" x14ac:dyDescent="0.35">
      <c r="A617" t="s">
        <v>693</v>
      </c>
      <c r="B617" s="16"/>
      <c r="J617">
        <v>23</v>
      </c>
    </row>
    <row r="618" spans="1:10" x14ac:dyDescent="0.35">
      <c r="A618" t="s">
        <v>700</v>
      </c>
      <c r="B618" s="16"/>
    </row>
    <row r="619" spans="1:10" x14ac:dyDescent="0.35">
      <c r="A619" t="s">
        <v>438</v>
      </c>
      <c r="B619" s="16"/>
    </row>
    <row r="620" spans="1:10" x14ac:dyDescent="0.35">
      <c r="A620" t="s">
        <v>439</v>
      </c>
      <c r="B620" s="16"/>
    </row>
    <row r="621" spans="1:10" x14ac:dyDescent="0.35">
      <c r="A621" t="s">
        <v>441</v>
      </c>
      <c r="B621" s="16"/>
    </row>
    <row r="622" spans="1:10" x14ac:dyDescent="0.35">
      <c r="A622" t="s">
        <v>701</v>
      </c>
      <c r="B622" s="16"/>
    </row>
    <row r="623" spans="1:10" x14ac:dyDescent="0.35">
      <c r="A623" t="s">
        <v>442</v>
      </c>
      <c r="B623" s="16" t="s">
        <v>443</v>
      </c>
      <c r="C623" t="s">
        <v>444</v>
      </c>
      <c r="D623" t="s">
        <v>445</v>
      </c>
      <c r="E623" t="s">
        <v>445</v>
      </c>
      <c r="F623" t="s">
        <v>446</v>
      </c>
      <c r="G623" t="s">
        <v>447</v>
      </c>
      <c r="H623" t="s">
        <v>448</v>
      </c>
      <c r="I623" t="s">
        <v>448</v>
      </c>
    </row>
    <row r="624" spans="1:10" x14ac:dyDescent="0.35">
      <c r="A624" t="s">
        <v>450</v>
      </c>
      <c r="B624" s="16" t="s">
        <v>451</v>
      </c>
      <c r="C624" t="s">
        <v>452</v>
      </c>
      <c r="D624" t="s">
        <v>453</v>
      </c>
      <c r="E624" t="s">
        <v>454</v>
      </c>
      <c r="F624" t="s">
        <v>455</v>
      </c>
      <c r="G624" t="s">
        <v>456</v>
      </c>
      <c r="H624" t="s">
        <v>457</v>
      </c>
      <c r="I624" t="s">
        <v>458</v>
      </c>
    </row>
    <row r="625" spans="1:9" x14ac:dyDescent="0.35">
      <c r="A625" t="s">
        <v>702</v>
      </c>
      <c r="B625" s="16" t="s">
        <v>703</v>
      </c>
      <c r="C625" t="s">
        <v>704</v>
      </c>
      <c r="D625" t="s">
        <v>704</v>
      </c>
      <c r="E625" t="s">
        <v>704</v>
      </c>
      <c r="F625" t="s">
        <v>705</v>
      </c>
      <c r="G625" t="s">
        <v>704</v>
      </c>
      <c r="H625" t="s">
        <v>704</v>
      </c>
      <c r="I625" t="s">
        <v>704</v>
      </c>
    </row>
    <row r="626" spans="1:9" x14ac:dyDescent="0.35">
      <c r="A626">
        <v>1</v>
      </c>
      <c r="B626" s="16">
        <v>1</v>
      </c>
      <c r="C626">
        <v>0.70620000000000005</v>
      </c>
      <c r="D626">
        <v>0.67249999999999999</v>
      </c>
      <c r="E626">
        <v>0.67249999999999999</v>
      </c>
      <c r="F626">
        <v>11</v>
      </c>
      <c r="G626">
        <v>0.47489999999999999</v>
      </c>
      <c r="H626">
        <v>0.2944</v>
      </c>
      <c r="I626">
        <v>0.2621</v>
      </c>
    </row>
    <row r="627" spans="1:9" x14ac:dyDescent="0.35">
      <c r="A627">
        <v>2</v>
      </c>
      <c r="B627" s="16">
        <v>2</v>
      </c>
      <c r="C627">
        <v>0.39939999999999998</v>
      </c>
      <c r="D627">
        <v>0.82899999999999996</v>
      </c>
      <c r="E627">
        <v>0.82899999999999996</v>
      </c>
      <c r="F627">
        <v>11</v>
      </c>
      <c r="G627">
        <v>0.33110000000000001</v>
      </c>
      <c r="H627">
        <v>0.20519999999999999</v>
      </c>
      <c r="I627">
        <v>0.1827</v>
      </c>
    </row>
    <row r="628" spans="1:9" x14ac:dyDescent="0.35">
      <c r="A628">
        <v>3</v>
      </c>
      <c r="B628" s="16">
        <v>3</v>
      </c>
      <c r="C628">
        <v>8.3320000000000009E-3</v>
      </c>
      <c r="D628">
        <v>0.89349999999999996</v>
      </c>
      <c r="E628">
        <v>0.89349999999999996</v>
      </c>
      <c r="F628">
        <v>11</v>
      </c>
      <c r="G628">
        <v>7.4450000000000002E-3</v>
      </c>
      <c r="H628">
        <v>4.6160000000000003E-3</v>
      </c>
      <c r="I628">
        <v>4.1079999999999997E-3</v>
      </c>
    </row>
    <row r="629" spans="1:9" x14ac:dyDescent="0.35">
      <c r="A629">
        <v>4</v>
      </c>
      <c r="B629" s="16">
        <v>4</v>
      </c>
      <c r="C629">
        <v>0.19700000000000001</v>
      </c>
      <c r="D629">
        <v>0.65920000000000001</v>
      </c>
      <c r="E629">
        <v>0.65920000000000001</v>
      </c>
      <c r="F629">
        <v>11</v>
      </c>
      <c r="G629">
        <v>0.12989999999999999</v>
      </c>
      <c r="H629">
        <v>8.0509999999999998E-2</v>
      </c>
      <c r="I629">
        <v>7.1669999999999998E-2</v>
      </c>
    </row>
    <row r="630" spans="1:9" x14ac:dyDescent="0.35">
      <c r="A630">
        <v>5</v>
      </c>
      <c r="B630" s="16">
        <v>5</v>
      </c>
      <c r="C630">
        <v>0.21510000000000001</v>
      </c>
      <c r="D630">
        <v>1.0940000000000001</v>
      </c>
      <c r="E630">
        <v>1.0940000000000001</v>
      </c>
      <c r="F630">
        <v>11</v>
      </c>
      <c r="G630">
        <v>0.23530000000000001</v>
      </c>
      <c r="H630">
        <v>0.1459</v>
      </c>
      <c r="I630">
        <v>0.12989999999999999</v>
      </c>
    </row>
    <row r="631" spans="1:9" x14ac:dyDescent="0.35">
      <c r="A631">
        <v>6</v>
      </c>
      <c r="B631" s="16">
        <v>6</v>
      </c>
      <c r="C631">
        <v>0.32650000000000001</v>
      </c>
      <c r="D631">
        <v>1.131</v>
      </c>
      <c r="E631">
        <v>1.131</v>
      </c>
      <c r="F631">
        <v>11</v>
      </c>
      <c r="G631">
        <v>0.36930000000000002</v>
      </c>
      <c r="H631">
        <v>0.22889999999999999</v>
      </c>
      <c r="I631">
        <v>0.20380000000000001</v>
      </c>
    </row>
    <row r="632" spans="1:9" x14ac:dyDescent="0.35">
      <c r="A632">
        <v>7</v>
      </c>
      <c r="B632" s="16">
        <v>7</v>
      </c>
      <c r="C632">
        <v>0.15429999999999999</v>
      </c>
      <c r="D632">
        <v>0.2908</v>
      </c>
      <c r="E632">
        <v>0.2908</v>
      </c>
      <c r="F632">
        <v>11</v>
      </c>
      <c r="G632">
        <v>4.487E-2</v>
      </c>
      <c r="H632">
        <v>2.7820000000000001E-2</v>
      </c>
      <c r="I632">
        <v>2.4760000000000001E-2</v>
      </c>
    </row>
    <row r="633" spans="1:9" x14ac:dyDescent="0.35">
      <c r="A633">
        <v>8</v>
      </c>
      <c r="B633" s="16">
        <v>8</v>
      </c>
      <c r="C633">
        <v>1.8460000000000001E-2</v>
      </c>
      <c r="D633">
        <v>1.087</v>
      </c>
      <c r="E633">
        <v>1.087</v>
      </c>
      <c r="F633">
        <v>11</v>
      </c>
      <c r="G633">
        <v>2.0060000000000001E-2</v>
      </c>
      <c r="H633">
        <v>1.244E-2</v>
      </c>
      <c r="I633">
        <v>1.107E-2</v>
      </c>
    </row>
    <row r="634" spans="1:9" x14ac:dyDescent="0.35">
      <c r="A634">
        <v>9</v>
      </c>
      <c r="B634" s="16">
        <v>9</v>
      </c>
      <c r="C634">
        <v>3.0049999999999999E-4</v>
      </c>
      <c r="D634">
        <v>0.72719999999999996</v>
      </c>
      <c r="E634">
        <v>0.72719999999999996</v>
      </c>
      <c r="F634">
        <v>11</v>
      </c>
      <c r="G634">
        <v>2.185E-4</v>
      </c>
      <c r="H634">
        <v>1.3549999999999999E-4</v>
      </c>
      <c r="I634">
        <v>1.206E-4</v>
      </c>
    </row>
    <row r="635" spans="1:9" x14ac:dyDescent="0.35">
      <c r="A635">
        <v>10</v>
      </c>
      <c r="B635" s="16" t="s">
        <v>464</v>
      </c>
      <c r="C635">
        <v>0.49199999999999999</v>
      </c>
      <c r="D635">
        <v>0.40479999999999999</v>
      </c>
      <c r="E635">
        <v>0.40479999999999999</v>
      </c>
      <c r="F635">
        <v>11</v>
      </c>
      <c r="G635">
        <v>0.1991</v>
      </c>
      <c r="H635" t="s">
        <v>452</v>
      </c>
      <c r="I635">
        <v>0.1099</v>
      </c>
    </row>
    <row r="636" spans="1:9" x14ac:dyDescent="0.35">
      <c r="A636">
        <v>11</v>
      </c>
      <c r="B636" s="16" t="s">
        <v>466</v>
      </c>
      <c r="C636">
        <v>0.36969999999999997</v>
      </c>
      <c r="D636">
        <v>0.26619999999999999</v>
      </c>
      <c r="E636">
        <v>0.26619999999999999</v>
      </c>
      <c r="F636">
        <v>11</v>
      </c>
      <c r="G636">
        <v>9.8390000000000005E-2</v>
      </c>
      <c r="H636" t="s">
        <v>452</v>
      </c>
      <c r="I636">
        <v>5.7489999999999999E-2</v>
      </c>
    </row>
    <row r="637" spans="1:9" x14ac:dyDescent="0.35">
      <c r="A637">
        <v>12</v>
      </c>
      <c r="B637" s="16" t="s">
        <v>467</v>
      </c>
      <c r="C637">
        <v>0.70620000000000005</v>
      </c>
      <c r="D637">
        <v>0.67249999999999999</v>
      </c>
      <c r="E637">
        <v>0.67249999999999999</v>
      </c>
      <c r="F637">
        <v>11</v>
      </c>
      <c r="G637">
        <v>0.47489999999999999</v>
      </c>
      <c r="H637" t="s">
        <v>452</v>
      </c>
      <c r="I637">
        <v>0.5</v>
      </c>
    </row>
    <row r="638" spans="1:9" x14ac:dyDescent="0.35">
      <c r="A638">
        <v>13</v>
      </c>
      <c r="B638" s="16" t="s">
        <v>469</v>
      </c>
      <c r="C638">
        <v>0.70620000000000005</v>
      </c>
      <c r="D638">
        <v>0.67249999999999999</v>
      </c>
      <c r="E638">
        <v>0.67249999999999999</v>
      </c>
      <c r="F638">
        <v>11</v>
      </c>
      <c r="G638">
        <v>0.47489999999999999</v>
      </c>
      <c r="H638" t="s">
        <v>452</v>
      </c>
      <c r="I638">
        <v>0.5</v>
      </c>
    </row>
    <row r="639" spans="1:9" x14ac:dyDescent="0.35">
      <c r="A639" t="s">
        <v>701</v>
      </c>
      <c r="B639" s="16"/>
    </row>
    <row r="640" spans="1:9" x14ac:dyDescent="0.35">
      <c r="A640" t="s">
        <v>700</v>
      </c>
      <c r="B640" s="16"/>
    </row>
    <row r="641" spans="1:10" x14ac:dyDescent="0.35">
      <c r="A641" t="s">
        <v>470</v>
      </c>
      <c r="B641" s="16"/>
    </row>
    <row r="642" spans="1:10" x14ac:dyDescent="0.35">
      <c r="A642" t="s">
        <v>471</v>
      </c>
      <c r="B642" s="16"/>
    </row>
    <row r="643" spans="1:10" x14ac:dyDescent="0.35">
      <c r="A643" t="s">
        <v>943</v>
      </c>
      <c r="B643" s="16"/>
      <c r="J643">
        <v>24</v>
      </c>
    </row>
    <row r="644" spans="1:10" x14ac:dyDescent="0.35">
      <c r="A644" t="s">
        <v>700</v>
      </c>
      <c r="B644" s="16"/>
    </row>
    <row r="645" spans="1:10" x14ac:dyDescent="0.35">
      <c r="A645" t="s">
        <v>438</v>
      </c>
      <c r="B645" s="16"/>
    </row>
    <row r="646" spans="1:10" x14ac:dyDescent="0.35">
      <c r="A646" t="s">
        <v>439</v>
      </c>
      <c r="B646" s="16"/>
    </row>
    <row r="647" spans="1:10" x14ac:dyDescent="0.35">
      <c r="A647" t="s">
        <v>441</v>
      </c>
      <c r="B647" s="16"/>
    </row>
    <row r="648" spans="1:10" x14ac:dyDescent="0.35">
      <c r="A648" t="s">
        <v>701</v>
      </c>
      <c r="B648" s="16"/>
    </row>
    <row r="649" spans="1:10" x14ac:dyDescent="0.35">
      <c r="A649" t="s">
        <v>442</v>
      </c>
      <c r="B649" s="16" t="s">
        <v>443</v>
      </c>
      <c r="C649" t="s">
        <v>444</v>
      </c>
      <c r="D649" t="s">
        <v>445</v>
      </c>
      <c r="E649" t="s">
        <v>445</v>
      </c>
      <c r="F649" t="s">
        <v>446</v>
      </c>
      <c r="G649" t="s">
        <v>447</v>
      </c>
      <c r="H649" t="s">
        <v>448</v>
      </c>
      <c r="I649" t="s">
        <v>448</v>
      </c>
    </row>
    <row r="650" spans="1:10" x14ac:dyDescent="0.35">
      <c r="A650" t="s">
        <v>450</v>
      </c>
      <c r="B650" s="16" t="s">
        <v>451</v>
      </c>
      <c r="C650" t="s">
        <v>452</v>
      </c>
      <c r="D650" t="s">
        <v>453</v>
      </c>
      <c r="E650" t="s">
        <v>454</v>
      </c>
      <c r="F650" t="s">
        <v>455</v>
      </c>
      <c r="G650" t="s">
        <v>456</v>
      </c>
      <c r="H650" t="s">
        <v>457</v>
      </c>
      <c r="I650" t="s">
        <v>458</v>
      </c>
    </row>
    <row r="651" spans="1:10" x14ac:dyDescent="0.35">
      <c r="A651" t="s">
        <v>702</v>
      </c>
      <c r="B651" s="16" t="s">
        <v>703</v>
      </c>
      <c r="C651" t="s">
        <v>704</v>
      </c>
      <c r="D651" t="s">
        <v>704</v>
      </c>
      <c r="E651" t="s">
        <v>704</v>
      </c>
      <c r="F651" t="s">
        <v>705</v>
      </c>
      <c r="G651" t="s">
        <v>704</v>
      </c>
      <c r="H651" t="s">
        <v>704</v>
      </c>
      <c r="I651" t="s">
        <v>704</v>
      </c>
    </row>
    <row r="652" spans="1:10" x14ac:dyDescent="0.35">
      <c r="A652">
        <v>1</v>
      </c>
      <c r="B652" s="16" t="s">
        <v>503</v>
      </c>
      <c r="C652">
        <v>8.3159999999999998E-2</v>
      </c>
      <c r="D652">
        <v>1.427</v>
      </c>
      <c r="E652">
        <v>1.454</v>
      </c>
      <c r="F652">
        <v>18</v>
      </c>
      <c r="G652">
        <v>0.12089999999999999</v>
      </c>
      <c r="H652">
        <v>0.86160000000000003</v>
      </c>
      <c r="I652">
        <v>0.151</v>
      </c>
    </row>
    <row r="653" spans="1:10" x14ac:dyDescent="0.35">
      <c r="A653">
        <v>2</v>
      </c>
      <c r="B653" s="16" t="s">
        <v>504</v>
      </c>
      <c r="C653" s="4">
        <v>4.9129999999999996E-7</v>
      </c>
      <c r="D653">
        <v>1.7170000000000001</v>
      </c>
      <c r="E653">
        <v>1.335</v>
      </c>
      <c r="F653">
        <v>18</v>
      </c>
      <c r="G653" s="4">
        <v>6.5590000000000004E-7</v>
      </c>
      <c r="H653" s="4">
        <v>4.6739999999999996E-6</v>
      </c>
      <c r="I653" s="4">
        <v>8.1900000000000001E-7</v>
      </c>
    </row>
    <row r="654" spans="1:10" x14ac:dyDescent="0.35">
      <c r="A654">
        <v>3</v>
      </c>
      <c r="B654" s="16" t="s">
        <v>505</v>
      </c>
      <c r="C654" s="4">
        <v>4.9849999999999999E-5</v>
      </c>
      <c r="D654">
        <v>2.3919999999999999</v>
      </c>
      <c r="E654">
        <v>1.7569999999999999</v>
      </c>
      <c r="F654">
        <v>18</v>
      </c>
      <c r="G654" s="4">
        <v>8.7559999999999995E-5</v>
      </c>
      <c r="H654">
        <v>6.2390000000000004E-4</v>
      </c>
      <c r="I654">
        <v>1.093E-4</v>
      </c>
    </row>
    <row r="655" spans="1:10" x14ac:dyDescent="0.35">
      <c r="A655">
        <v>4</v>
      </c>
      <c r="B655" s="16" t="s">
        <v>506</v>
      </c>
      <c r="C655">
        <v>1.4829999999999999E-2</v>
      </c>
      <c r="D655">
        <v>1.958</v>
      </c>
      <c r="E655">
        <v>1.3029999999999999</v>
      </c>
      <c r="F655">
        <v>18</v>
      </c>
      <c r="G655">
        <v>1.932E-2</v>
      </c>
      <c r="H655">
        <v>0.13769999999999999</v>
      </c>
      <c r="I655">
        <v>2.4129999999999999E-2</v>
      </c>
    </row>
    <row r="656" spans="1:10" x14ac:dyDescent="0.35">
      <c r="A656">
        <v>5</v>
      </c>
      <c r="B656" s="16" t="s">
        <v>507</v>
      </c>
      <c r="C656" s="4">
        <v>4.9309999999999999E-6</v>
      </c>
      <c r="D656">
        <v>1.4159999999999999</v>
      </c>
      <c r="E656">
        <v>1.863</v>
      </c>
      <c r="F656">
        <v>18</v>
      </c>
      <c r="G656" s="4">
        <v>9.1880000000000008E-6</v>
      </c>
      <c r="H656" s="4">
        <v>6.5469999999999995E-5</v>
      </c>
      <c r="I656" s="4">
        <v>1.147E-5</v>
      </c>
    </row>
    <row r="657" spans="1:10" x14ac:dyDescent="0.35">
      <c r="A657">
        <v>6</v>
      </c>
      <c r="B657" s="16" t="s">
        <v>577</v>
      </c>
      <c r="C657" s="4">
        <v>9.0380000000000003E-7</v>
      </c>
      <c r="D657">
        <v>3.43</v>
      </c>
      <c r="E657">
        <v>2.867</v>
      </c>
      <c r="F657">
        <v>18</v>
      </c>
      <c r="G657" s="4">
        <v>2.5909999999999998E-6</v>
      </c>
      <c r="H657" s="4">
        <v>1.8470000000000001E-5</v>
      </c>
      <c r="I657" s="4">
        <v>3.236E-6</v>
      </c>
    </row>
    <row r="658" spans="1:10" x14ac:dyDescent="0.35">
      <c r="A658">
        <v>7</v>
      </c>
      <c r="B658" s="16" t="s">
        <v>578</v>
      </c>
      <c r="C658" s="4">
        <v>1.462E-7</v>
      </c>
      <c r="D658">
        <v>1.625</v>
      </c>
      <c r="E658">
        <v>1.1819999999999999</v>
      </c>
      <c r="F658">
        <v>18</v>
      </c>
      <c r="G658" s="4">
        <v>1.7289999999999999E-7</v>
      </c>
      <c r="H658" s="4">
        <v>1.232E-6</v>
      </c>
      <c r="I658" s="4">
        <v>2.1579999999999999E-7</v>
      </c>
    </row>
    <row r="659" spans="1:10" x14ac:dyDescent="0.35">
      <c r="A659">
        <v>8</v>
      </c>
      <c r="B659" s="16" t="s">
        <v>593</v>
      </c>
      <c r="C659" s="4">
        <v>2.8950000000000001E-8</v>
      </c>
      <c r="D659">
        <v>2.7690000000000001</v>
      </c>
      <c r="E659">
        <v>2.1720000000000002</v>
      </c>
      <c r="F659">
        <v>18</v>
      </c>
      <c r="G659" s="4">
        <v>6.2880000000000005E-8</v>
      </c>
      <c r="H659" s="4">
        <v>4.4799999999999999E-7</v>
      </c>
      <c r="I659" s="4">
        <v>7.8510000000000006E-8</v>
      </c>
    </row>
    <row r="660" spans="1:10" x14ac:dyDescent="0.35">
      <c r="A660">
        <v>9</v>
      </c>
      <c r="B660" s="16" t="s">
        <v>464</v>
      </c>
      <c r="C660">
        <v>0.6371</v>
      </c>
      <c r="D660">
        <v>1.1220000000000001</v>
      </c>
      <c r="E660">
        <v>1.0369999999999999</v>
      </c>
      <c r="F660">
        <v>18</v>
      </c>
      <c r="G660">
        <v>0.66049999999999998</v>
      </c>
      <c r="H660" t="s">
        <v>452</v>
      </c>
      <c r="I660">
        <v>0.82479999999999998</v>
      </c>
    </row>
    <row r="661" spans="1:10" x14ac:dyDescent="0.35">
      <c r="A661">
        <v>10</v>
      </c>
      <c r="B661" s="16" t="s">
        <v>466</v>
      </c>
      <c r="C661">
        <v>0.19589999999999999</v>
      </c>
      <c r="D661">
        <v>0.75019999999999998</v>
      </c>
      <c r="E661">
        <v>0.55859999999999999</v>
      </c>
      <c r="F661">
        <v>18</v>
      </c>
      <c r="G661">
        <v>0.1094</v>
      </c>
      <c r="H661" t="s">
        <v>452</v>
      </c>
      <c r="I661">
        <v>0.43809999999999999</v>
      </c>
    </row>
    <row r="662" spans="1:10" x14ac:dyDescent="0.35">
      <c r="A662">
        <v>11</v>
      </c>
      <c r="B662" s="16" t="s">
        <v>467</v>
      </c>
      <c r="C662">
        <v>0.6371</v>
      </c>
      <c r="D662">
        <v>1.123</v>
      </c>
      <c r="E662">
        <v>1.0389999999999999</v>
      </c>
      <c r="F662">
        <v>18</v>
      </c>
      <c r="G662">
        <v>0.66210000000000002</v>
      </c>
      <c r="H662" t="s">
        <v>452</v>
      </c>
      <c r="I662">
        <v>0.82520000000000004</v>
      </c>
    </row>
    <row r="663" spans="1:10" x14ac:dyDescent="0.35">
      <c r="A663">
        <v>12</v>
      </c>
      <c r="B663" s="16" t="s">
        <v>469</v>
      </c>
      <c r="C663">
        <v>0.42459999999999998</v>
      </c>
      <c r="D663">
        <v>1.28</v>
      </c>
      <c r="E663">
        <v>1.1499999999999999</v>
      </c>
      <c r="F663">
        <v>18</v>
      </c>
      <c r="G663">
        <v>0.48820000000000002</v>
      </c>
      <c r="H663" t="s">
        <v>452</v>
      </c>
      <c r="I663">
        <v>0.77680000000000005</v>
      </c>
    </row>
    <row r="664" spans="1:10" x14ac:dyDescent="0.35">
      <c r="A664" t="s">
        <v>701</v>
      </c>
      <c r="B664" s="16"/>
    </row>
    <row r="665" spans="1:10" x14ac:dyDescent="0.35">
      <c r="A665" t="s">
        <v>700</v>
      </c>
      <c r="B665" s="16"/>
    </row>
    <row r="666" spans="1:10" x14ac:dyDescent="0.35">
      <c r="A666" t="s">
        <v>470</v>
      </c>
      <c r="B666" s="16"/>
    </row>
    <row r="667" spans="1:10" x14ac:dyDescent="0.35">
      <c r="A667" t="s">
        <v>471</v>
      </c>
      <c r="B667" s="16"/>
    </row>
    <row r="668" spans="1:10" x14ac:dyDescent="0.35">
      <c r="A668" t="s">
        <v>944</v>
      </c>
      <c r="B668" s="16"/>
      <c r="J668">
        <v>25</v>
      </c>
    </row>
    <row r="669" spans="1:10" x14ac:dyDescent="0.35">
      <c r="A669" t="s">
        <v>700</v>
      </c>
      <c r="B669" s="16"/>
    </row>
    <row r="670" spans="1:10" x14ac:dyDescent="0.35">
      <c r="A670" t="s">
        <v>438</v>
      </c>
      <c r="B670" s="16"/>
    </row>
    <row r="671" spans="1:10" x14ac:dyDescent="0.35">
      <c r="A671" t="s">
        <v>439</v>
      </c>
      <c r="B671" s="16"/>
    </row>
    <row r="672" spans="1:10" x14ac:dyDescent="0.35">
      <c r="A672" t="s">
        <v>441</v>
      </c>
      <c r="B672" s="16"/>
    </row>
    <row r="673" spans="1:9" x14ac:dyDescent="0.35">
      <c r="A673" t="s">
        <v>701</v>
      </c>
      <c r="B673" s="16"/>
    </row>
    <row r="674" spans="1:9" x14ac:dyDescent="0.35">
      <c r="A674" t="s">
        <v>442</v>
      </c>
      <c r="B674" s="16" t="s">
        <v>443</v>
      </c>
      <c r="C674" t="s">
        <v>444</v>
      </c>
      <c r="D674" t="s">
        <v>445</v>
      </c>
      <c r="E674" t="s">
        <v>445</v>
      </c>
      <c r="F674" t="s">
        <v>446</v>
      </c>
      <c r="G674" t="s">
        <v>447</v>
      </c>
      <c r="H674" t="s">
        <v>448</v>
      </c>
      <c r="I674" t="s">
        <v>448</v>
      </c>
    </row>
    <row r="675" spans="1:9" x14ac:dyDescent="0.35">
      <c r="A675" t="s">
        <v>450</v>
      </c>
      <c r="B675" s="16" t="s">
        <v>451</v>
      </c>
      <c r="C675" t="s">
        <v>452</v>
      </c>
      <c r="D675" t="s">
        <v>453</v>
      </c>
      <c r="E675" t="s">
        <v>454</v>
      </c>
      <c r="F675" t="s">
        <v>455</v>
      </c>
      <c r="G675" t="s">
        <v>456</v>
      </c>
      <c r="H675" t="s">
        <v>457</v>
      </c>
      <c r="I675" t="s">
        <v>458</v>
      </c>
    </row>
    <row r="676" spans="1:9" x14ac:dyDescent="0.35">
      <c r="A676" t="s">
        <v>702</v>
      </c>
      <c r="B676" s="16" t="s">
        <v>703</v>
      </c>
      <c r="C676" t="s">
        <v>704</v>
      </c>
      <c r="D676" t="s">
        <v>704</v>
      </c>
      <c r="E676" t="s">
        <v>704</v>
      </c>
      <c r="F676" t="s">
        <v>705</v>
      </c>
      <c r="G676" t="s">
        <v>704</v>
      </c>
      <c r="H676" t="s">
        <v>704</v>
      </c>
      <c r="I676" t="s">
        <v>704</v>
      </c>
    </row>
    <row r="677" spans="1:9" x14ac:dyDescent="0.35">
      <c r="A677">
        <v>1</v>
      </c>
      <c r="B677" s="16">
        <v>1</v>
      </c>
      <c r="C677">
        <v>5.2179999999999997E-2</v>
      </c>
      <c r="D677">
        <v>1.0049999999999999</v>
      </c>
      <c r="E677">
        <v>1.0049999999999999</v>
      </c>
      <c r="F677">
        <v>14</v>
      </c>
      <c r="G677">
        <v>5.2420000000000001E-2</v>
      </c>
      <c r="H677">
        <v>1.34E-2</v>
      </c>
      <c r="I677">
        <v>1.2699999999999999E-2</v>
      </c>
    </row>
    <row r="678" spans="1:9" x14ac:dyDescent="0.35">
      <c r="A678">
        <v>2</v>
      </c>
      <c r="B678" s="16">
        <v>2</v>
      </c>
      <c r="C678">
        <v>0.1757</v>
      </c>
      <c r="D678">
        <v>1.5820000000000001</v>
      </c>
      <c r="E678">
        <v>1.5820000000000001</v>
      </c>
      <c r="F678">
        <v>14</v>
      </c>
      <c r="G678">
        <v>0.27800000000000002</v>
      </c>
      <c r="H678">
        <v>7.1050000000000002E-2</v>
      </c>
      <c r="I678">
        <v>6.7349999999999993E-2</v>
      </c>
    </row>
    <row r="679" spans="1:9" x14ac:dyDescent="0.35">
      <c r="A679">
        <v>3</v>
      </c>
      <c r="B679" s="16">
        <v>3</v>
      </c>
      <c r="C679">
        <v>8.3110000000000003E-2</v>
      </c>
      <c r="D679">
        <v>1.3720000000000001</v>
      </c>
      <c r="E679">
        <v>1.3720000000000001</v>
      </c>
      <c r="F679">
        <v>14</v>
      </c>
      <c r="G679">
        <v>0.114</v>
      </c>
      <c r="H679">
        <v>2.9139999999999999E-2</v>
      </c>
      <c r="I679">
        <v>2.7619999999999999E-2</v>
      </c>
    </row>
    <row r="680" spans="1:9" x14ac:dyDescent="0.35">
      <c r="A680">
        <v>4</v>
      </c>
      <c r="B680" s="16">
        <v>4</v>
      </c>
      <c r="C680">
        <v>0.379</v>
      </c>
      <c r="D680">
        <v>1.1659999999999999</v>
      </c>
      <c r="E680">
        <v>1.1659999999999999</v>
      </c>
      <c r="F680">
        <v>14</v>
      </c>
      <c r="G680">
        <v>0.44190000000000002</v>
      </c>
      <c r="H680">
        <v>0.113</v>
      </c>
      <c r="I680">
        <v>0.1071</v>
      </c>
    </row>
    <row r="681" spans="1:9" x14ac:dyDescent="0.35">
      <c r="A681">
        <v>5</v>
      </c>
      <c r="B681" s="16">
        <v>5</v>
      </c>
      <c r="C681">
        <v>0.52580000000000005</v>
      </c>
      <c r="D681">
        <v>1.1220000000000001</v>
      </c>
      <c r="E681">
        <v>1.1220000000000001</v>
      </c>
      <c r="F681">
        <v>14</v>
      </c>
      <c r="G681">
        <v>0.58979999999999999</v>
      </c>
      <c r="H681">
        <v>0.15079999999999999</v>
      </c>
      <c r="I681">
        <v>0.1429</v>
      </c>
    </row>
    <row r="682" spans="1:9" x14ac:dyDescent="0.35">
      <c r="A682">
        <v>6</v>
      </c>
      <c r="B682" s="16">
        <v>6</v>
      </c>
      <c r="C682">
        <v>4.7859999999999998E-4</v>
      </c>
      <c r="D682">
        <v>1.149</v>
      </c>
      <c r="E682">
        <v>1.149</v>
      </c>
      <c r="F682">
        <v>14</v>
      </c>
      <c r="G682">
        <v>5.5000000000000003E-4</v>
      </c>
      <c r="H682">
        <v>1.406E-4</v>
      </c>
      <c r="I682">
        <v>1.3329999999999999E-4</v>
      </c>
    </row>
    <row r="683" spans="1:9" x14ac:dyDescent="0.35">
      <c r="A683">
        <v>7</v>
      </c>
      <c r="B683" s="16">
        <v>7</v>
      </c>
      <c r="C683">
        <v>0.53680000000000005</v>
      </c>
      <c r="D683">
        <v>1.216</v>
      </c>
      <c r="E683">
        <v>1.216</v>
      </c>
      <c r="F683">
        <v>14</v>
      </c>
      <c r="G683">
        <v>0.65249999999999997</v>
      </c>
      <c r="H683">
        <v>0.1668</v>
      </c>
      <c r="I683">
        <v>0.15809999999999999</v>
      </c>
    </row>
    <row r="684" spans="1:9" x14ac:dyDescent="0.35">
      <c r="A684">
        <v>8</v>
      </c>
      <c r="B684" s="16">
        <v>8</v>
      </c>
      <c r="C684">
        <v>0.4375</v>
      </c>
      <c r="D684">
        <v>1.6120000000000001</v>
      </c>
      <c r="E684">
        <v>1.6120000000000001</v>
      </c>
      <c r="F684">
        <v>14</v>
      </c>
      <c r="G684">
        <v>0.70540000000000003</v>
      </c>
      <c r="H684">
        <v>0.18029999999999999</v>
      </c>
      <c r="I684">
        <v>0.1709</v>
      </c>
    </row>
    <row r="685" spans="1:9" x14ac:dyDescent="0.35">
      <c r="A685">
        <v>9</v>
      </c>
      <c r="B685" s="16">
        <v>9</v>
      </c>
      <c r="C685">
        <v>7.1170000000000001E-3</v>
      </c>
      <c r="D685">
        <v>0.996</v>
      </c>
      <c r="E685">
        <v>0.996</v>
      </c>
      <c r="F685">
        <v>14</v>
      </c>
      <c r="G685">
        <v>7.0879999999999997E-3</v>
      </c>
      <c r="H685">
        <v>1.812E-3</v>
      </c>
      <c r="I685">
        <v>1.7179999999999999E-3</v>
      </c>
    </row>
    <row r="686" spans="1:9" x14ac:dyDescent="0.35">
      <c r="A686">
        <v>10</v>
      </c>
      <c r="B686" s="16">
        <v>10</v>
      </c>
      <c r="C686">
        <v>0.53680000000000005</v>
      </c>
      <c r="D686">
        <v>1.7350000000000001</v>
      </c>
      <c r="E686">
        <v>1.7350000000000001</v>
      </c>
      <c r="F686">
        <v>14</v>
      </c>
      <c r="G686">
        <v>0.93149999999999999</v>
      </c>
      <c r="H686">
        <v>0.23810000000000001</v>
      </c>
      <c r="I686">
        <v>0.22570000000000001</v>
      </c>
    </row>
    <row r="687" spans="1:9" x14ac:dyDescent="0.35">
      <c r="A687">
        <v>11</v>
      </c>
      <c r="B687" s="16">
        <v>11</v>
      </c>
      <c r="C687">
        <v>1.5779999999999999E-2</v>
      </c>
      <c r="D687">
        <v>1.387</v>
      </c>
      <c r="E687">
        <v>1.387</v>
      </c>
      <c r="F687">
        <v>14</v>
      </c>
      <c r="G687">
        <v>2.189E-2</v>
      </c>
      <c r="H687">
        <v>5.5960000000000003E-3</v>
      </c>
      <c r="I687">
        <v>5.3049999999999998E-3</v>
      </c>
    </row>
    <row r="688" spans="1:9" x14ac:dyDescent="0.35">
      <c r="A688">
        <v>12</v>
      </c>
      <c r="B688" s="16">
        <v>12</v>
      </c>
      <c r="C688">
        <v>8.0979999999999996E-2</v>
      </c>
      <c r="D688">
        <v>1.446</v>
      </c>
      <c r="E688">
        <v>1.446</v>
      </c>
      <c r="F688">
        <v>14</v>
      </c>
      <c r="G688">
        <v>0.1171</v>
      </c>
      <c r="H688">
        <v>2.9929999999999998E-2</v>
      </c>
      <c r="I688">
        <v>2.8369999999999999E-2</v>
      </c>
    </row>
    <row r="689" spans="1:10" x14ac:dyDescent="0.35">
      <c r="A689">
        <v>13</v>
      </c>
      <c r="B689" s="16" t="s">
        <v>464</v>
      </c>
      <c r="C689">
        <v>0.35060000000000002</v>
      </c>
      <c r="D689">
        <v>0.6129</v>
      </c>
      <c r="E689">
        <v>0.6129</v>
      </c>
      <c r="F689">
        <v>14</v>
      </c>
      <c r="G689">
        <v>0.21490000000000001</v>
      </c>
      <c r="H689" t="s">
        <v>452</v>
      </c>
      <c r="I689">
        <v>5.2069999999999998E-2</v>
      </c>
    </row>
    <row r="690" spans="1:10" x14ac:dyDescent="0.35">
      <c r="A690">
        <v>14</v>
      </c>
      <c r="B690" s="16" t="s">
        <v>466</v>
      </c>
      <c r="C690">
        <v>0.64390000000000003</v>
      </c>
      <c r="D690">
        <v>0.48149999999999998</v>
      </c>
      <c r="E690">
        <v>0.48149999999999998</v>
      </c>
      <c r="F690">
        <v>14</v>
      </c>
      <c r="G690">
        <v>0.31</v>
      </c>
      <c r="H690" t="s">
        <v>452</v>
      </c>
      <c r="I690">
        <v>7.3429999999999995E-2</v>
      </c>
    </row>
    <row r="691" spans="1:10" x14ac:dyDescent="0.35">
      <c r="A691">
        <v>15</v>
      </c>
      <c r="B691" s="16" t="s">
        <v>467</v>
      </c>
      <c r="C691">
        <v>0.93020000000000003</v>
      </c>
      <c r="D691">
        <v>1.095</v>
      </c>
      <c r="E691">
        <v>1.095</v>
      </c>
      <c r="F691">
        <v>14</v>
      </c>
      <c r="G691">
        <v>1.018</v>
      </c>
      <c r="H691" t="s">
        <v>452</v>
      </c>
      <c r="I691">
        <v>0.39129999999999998</v>
      </c>
    </row>
    <row r="692" spans="1:10" x14ac:dyDescent="0.35">
      <c r="A692">
        <v>16</v>
      </c>
      <c r="B692" s="16" t="s">
        <v>469</v>
      </c>
      <c r="C692">
        <v>0.75609999999999999</v>
      </c>
      <c r="D692">
        <v>1.202</v>
      </c>
      <c r="E692">
        <v>1.202</v>
      </c>
      <c r="F692">
        <v>14</v>
      </c>
      <c r="G692">
        <v>0.90880000000000005</v>
      </c>
      <c r="H692" t="s">
        <v>452</v>
      </c>
      <c r="I692">
        <v>0.36459999999999998</v>
      </c>
    </row>
    <row r="693" spans="1:10" x14ac:dyDescent="0.35">
      <c r="A693" t="s">
        <v>701</v>
      </c>
      <c r="B693" s="16"/>
    </row>
    <row r="694" spans="1:10" x14ac:dyDescent="0.35">
      <c r="A694" t="s">
        <v>700</v>
      </c>
      <c r="B694" s="16"/>
    </row>
    <row r="695" spans="1:10" x14ac:dyDescent="0.35">
      <c r="A695" t="s">
        <v>470</v>
      </c>
      <c r="B695" s="16"/>
    </row>
    <row r="696" spans="1:10" x14ac:dyDescent="0.35">
      <c r="A696" t="s">
        <v>471</v>
      </c>
      <c r="B696" s="16"/>
    </row>
    <row r="697" spans="1:10" x14ac:dyDescent="0.35">
      <c r="A697" t="s">
        <v>945</v>
      </c>
      <c r="B697" s="16"/>
      <c r="J697">
        <v>26</v>
      </c>
    </row>
    <row r="698" spans="1:10" x14ac:dyDescent="0.35">
      <c r="A698" t="s">
        <v>700</v>
      </c>
      <c r="B698" s="16"/>
    </row>
    <row r="699" spans="1:10" x14ac:dyDescent="0.35">
      <c r="A699" t="s">
        <v>438</v>
      </c>
      <c r="B699" s="16"/>
    </row>
    <row r="700" spans="1:10" x14ac:dyDescent="0.35">
      <c r="A700" t="s">
        <v>439</v>
      </c>
      <c r="B700" s="16"/>
    </row>
    <row r="701" spans="1:10" x14ac:dyDescent="0.35">
      <c r="A701" t="s">
        <v>441</v>
      </c>
      <c r="B701" s="16"/>
    </row>
    <row r="702" spans="1:10" x14ac:dyDescent="0.35">
      <c r="A702" t="s">
        <v>701</v>
      </c>
      <c r="B702" s="16"/>
    </row>
    <row r="703" spans="1:10" x14ac:dyDescent="0.35">
      <c r="A703" t="s">
        <v>442</v>
      </c>
      <c r="B703" s="16" t="s">
        <v>443</v>
      </c>
      <c r="C703" t="s">
        <v>444</v>
      </c>
      <c r="D703" t="s">
        <v>445</v>
      </c>
      <c r="E703" t="s">
        <v>445</v>
      </c>
      <c r="F703" t="s">
        <v>446</v>
      </c>
      <c r="G703" t="s">
        <v>447</v>
      </c>
      <c r="H703" t="s">
        <v>448</v>
      </c>
      <c r="I703" t="s">
        <v>448</v>
      </c>
    </row>
    <row r="704" spans="1:10" x14ac:dyDescent="0.35">
      <c r="A704" t="s">
        <v>450</v>
      </c>
      <c r="B704" s="16" t="s">
        <v>451</v>
      </c>
      <c r="C704" t="s">
        <v>452</v>
      </c>
      <c r="D704" t="s">
        <v>453</v>
      </c>
      <c r="E704" t="s">
        <v>454</v>
      </c>
      <c r="F704" t="s">
        <v>455</v>
      </c>
      <c r="G704" t="s">
        <v>456</v>
      </c>
      <c r="H704" t="s">
        <v>457</v>
      </c>
      <c r="I704" t="s">
        <v>458</v>
      </c>
    </row>
    <row r="705" spans="1:9" x14ac:dyDescent="0.35">
      <c r="A705" t="s">
        <v>702</v>
      </c>
      <c r="B705" s="16" t="s">
        <v>703</v>
      </c>
      <c r="C705" t="s">
        <v>704</v>
      </c>
      <c r="D705" t="s">
        <v>704</v>
      </c>
      <c r="E705" t="s">
        <v>704</v>
      </c>
      <c r="F705" t="s">
        <v>705</v>
      </c>
      <c r="G705" t="s">
        <v>704</v>
      </c>
      <c r="H705" t="s">
        <v>704</v>
      </c>
      <c r="I705" t="s">
        <v>704</v>
      </c>
    </row>
    <row r="706" spans="1:9" x14ac:dyDescent="0.35">
      <c r="A706">
        <v>1</v>
      </c>
      <c r="B706" s="16">
        <v>1</v>
      </c>
      <c r="C706" s="4">
        <v>4.0290000000000002E-5</v>
      </c>
      <c r="D706">
        <v>0.80100000000000005</v>
      </c>
      <c r="E706">
        <v>0.94010000000000005</v>
      </c>
      <c r="F706">
        <v>13</v>
      </c>
      <c r="G706" s="4">
        <v>3.7880000000000003E-5</v>
      </c>
      <c r="H706">
        <v>1.9579999999999999E-4</v>
      </c>
      <c r="I706" s="4">
        <v>9.8469999999999997E-5</v>
      </c>
    </row>
    <row r="707" spans="1:9" x14ac:dyDescent="0.35">
      <c r="A707">
        <v>2</v>
      </c>
      <c r="B707" s="16">
        <v>2</v>
      </c>
      <c r="C707">
        <v>9.6460000000000004E-2</v>
      </c>
      <c r="D707">
        <v>1.0069999999999999</v>
      </c>
      <c r="E707">
        <v>0.70189999999999997</v>
      </c>
      <c r="F707">
        <v>13</v>
      </c>
      <c r="G707">
        <v>6.7710000000000006E-2</v>
      </c>
      <c r="H707">
        <v>0.35010000000000002</v>
      </c>
      <c r="I707">
        <v>0.17599999999999999</v>
      </c>
    </row>
    <row r="708" spans="1:9" x14ac:dyDescent="0.35">
      <c r="A708">
        <v>3</v>
      </c>
      <c r="B708" s="16">
        <v>3</v>
      </c>
      <c r="C708">
        <v>1.1730000000000001E-4</v>
      </c>
      <c r="D708">
        <v>1.522</v>
      </c>
      <c r="E708">
        <v>1.2589999999999999</v>
      </c>
      <c r="F708">
        <v>13</v>
      </c>
      <c r="G708">
        <v>1.4760000000000001E-4</v>
      </c>
      <c r="H708">
        <v>7.6320000000000001E-4</v>
      </c>
      <c r="I708">
        <v>3.837E-4</v>
      </c>
    </row>
    <row r="709" spans="1:9" x14ac:dyDescent="0.35">
      <c r="A709">
        <v>4</v>
      </c>
      <c r="B709" s="16">
        <v>4</v>
      </c>
      <c r="C709">
        <v>1.1730000000000001E-4</v>
      </c>
      <c r="D709">
        <v>1.508</v>
      </c>
      <c r="E709">
        <v>1.0029999999999999</v>
      </c>
      <c r="F709">
        <v>13</v>
      </c>
      <c r="G709">
        <v>1.177E-4</v>
      </c>
      <c r="H709">
        <v>6.0840000000000004E-4</v>
      </c>
      <c r="I709">
        <v>3.0590000000000001E-4</v>
      </c>
    </row>
    <row r="710" spans="1:9" x14ac:dyDescent="0.35">
      <c r="A710">
        <v>5</v>
      </c>
      <c r="B710" s="16">
        <v>5</v>
      </c>
      <c r="C710">
        <v>7.4649999999999998E-4</v>
      </c>
      <c r="D710">
        <v>0.57820000000000005</v>
      </c>
      <c r="E710">
        <v>1.131</v>
      </c>
      <c r="F710">
        <v>13</v>
      </c>
      <c r="G710">
        <v>8.4409999999999997E-4</v>
      </c>
      <c r="H710">
        <v>4.3639999999999998E-3</v>
      </c>
      <c r="I710">
        <v>2.1940000000000002E-3</v>
      </c>
    </row>
    <row r="711" spans="1:9" x14ac:dyDescent="0.35">
      <c r="A711">
        <v>6</v>
      </c>
      <c r="B711" s="16">
        <v>6</v>
      </c>
      <c r="C711">
        <v>0.45390000000000003</v>
      </c>
      <c r="D711">
        <v>0.42120000000000002</v>
      </c>
      <c r="E711">
        <v>0.27410000000000001</v>
      </c>
      <c r="F711">
        <v>13</v>
      </c>
      <c r="G711">
        <v>0.1244</v>
      </c>
      <c r="H711">
        <v>0.64339999999999997</v>
      </c>
      <c r="I711">
        <v>0.32350000000000001</v>
      </c>
    </row>
    <row r="712" spans="1:9" x14ac:dyDescent="0.35">
      <c r="A712">
        <v>7</v>
      </c>
      <c r="B712" s="16">
        <v>7</v>
      </c>
      <c r="C712">
        <v>1.1730000000000001E-4</v>
      </c>
      <c r="D712">
        <v>1.17</v>
      </c>
      <c r="E712">
        <v>0.98950000000000005</v>
      </c>
      <c r="F712">
        <v>13</v>
      </c>
      <c r="G712">
        <v>1.161E-4</v>
      </c>
      <c r="H712">
        <v>6.001E-4</v>
      </c>
      <c r="I712">
        <v>3.0170000000000002E-4</v>
      </c>
    </row>
    <row r="713" spans="1:9" x14ac:dyDescent="0.35">
      <c r="A713">
        <v>8</v>
      </c>
      <c r="B713" s="16">
        <v>8</v>
      </c>
      <c r="C713" s="4">
        <v>4.8559999999999998E-6</v>
      </c>
      <c r="D713">
        <v>1.3720000000000001</v>
      </c>
      <c r="E713">
        <v>1.367</v>
      </c>
      <c r="F713">
        <v>13</v>
      </c>
      <c r="G713" s="4">
        <v>6.6370000000000002E-6</v>
      </c>
      <c r="H713" s="4">
        <v>3.4319999999999997E-5</v>
      </c>
      <c r="I713" s="4">
        <v>1.7260000000000001E-5</v>
      </c>
    </row>
    <row r="714" spans="1:9" x14ac:dyDescent="0.35">
      <c r="A714">
        <v>9</v>
      </c>
      <c r="B714" s="16">
        <v>9</v>
      </c>
      <c r="C714" s="4">
        <v>1.912E-9</v>
      </c>
      <c r="D714">
        <v>2.3359999999999999</v>
      </c>
      <c r="E714">
        <v>2.86</v>
      </c>
      <c r="F714">
        <v>13</v>
      </c>
      <c r="G714" s="4">
        <v>5.469E-9</v>
      </c>
      <c r="H714" s="4">
        <v>2.8279999999999999E-8</v>
      </c>
      <c r="I714" s="4">
        <v>1.4219999999999999E-8</v>
      </c>
    </row>
    <row r="715" spans="1:9" x14ac:dyDescent="0.35">
      <c r="A715">
        <v>10</v>
      </c>
      <c r="B715" s="16" t="s">
        <v>464</v>
      </c>
      <c r="C715">
        <v>0.92810000000000004</v>
      </c>
      <c r="D715">
        <v>0.38269999999999998</v>
      </c>
      <c r="E715">
        <v>0.20610000000000001</v>
      </c>
      <c r="F715">
        <v>13</v>
      </c>
      <c r="G715">
        <v>0.1913</v>
      </c>
      <c r="H715" t="s">
        <v>452</v>
      </c>
      <c r="I715">
        <v>0.49719999999999998</v>
      </c>
    </row>
    <row r="716" spans="1:9" x14ac:dyDescent="0.35">
      <c r="A716">
        <v>11</v>
      </c>
      <c r="B716" s="16" t="s">
        <v>466</v>
      </c>
      <c r="C716">
        <v>4.4110000000000003E-2</v>
      </c>
      <c r="D716">
        <v>0.2671</v>
      </c>
      <c r="E716">
        <v>0.30659999999999998</v>
      </c>
      <c r="F716">
        <v>13</v>
      </c>
      <c r="G716">
        <v>1.353E-2</v>
      </c>
      <c r="H716" t="s">
        <v>452</v>
      </c>
      <c r="I716">
        <v>6.5360000000000001E-2</v>
      </c>
    </row>
    <row r="717" spans="1:9" x14ac:dyDescent="0.35">
      <c r="A717">
        <v>12</v>
      </c>
      <c r="B717" s="16" t="s">
        <v>467</v>
      </c>
      <c r="C717">
        <v>0.92810000000000004</v>
      </c>
      <c r="D717">
        <v>0.38900000000000001</v>
      </c>
      <c r="E717">
        <v>0.20860000000000001</v>
      </c>
      <c r="F717">
        <v>13</v>
      </c>
      <c r="G717">
        <v>0.19359999999999999</v>
      </c>
      <c r="H717" t="s">
        <v>452</v>
      </c>
      <c r="I717">
        <v>0.50190000000000001</v>
      </c>
    </row>
    <row r="718" spans="1:9" x14ac:dyDescent="0.35">
      <c r="A718">
        <v>13</v>
      </c>
      <c r="B718" s="16" t="s">
        <v>469</v>
      </c>
      <c r="C718">
        <v>0.92810000000000004</v>
      </c>
      <c r="D718">
        <v>0.42349999999999999</v>
      </c>
      <c r="E718">
        <v>0.25890000000000002</v>
      </c>
      <c r="F718">
        <v>13</v>
      </c>
      <c r="G718">
        <v>0.24030000000000001</v>
      </c>
      <c r="H718" t="s">
        <v>452</v>
      </c>
      <c r="I718">
        <v>0.55410000000000004</v>
      </c>
    </row>
    <row r="719" spans="1:9" x14ac:dyDescent="0.35">
      <c r="A719" t="s">
        <v>701</v>
      </c>
      <c r="B719" s="16"/>
    </row>
    <row r="720" spans="1:9" x14ac:dyDescent="0.35">
      <c r="A720" t="s">
        <v>700</v>
      </c>
      <c r="B720" s="16"/>
    </row>
    <row r="721" spans="1:10" x14ac:dyDescent="0.35">
      <c r="A721" t="s">
        <v>470</v>
      </c>
      <c r="B721" s="16"/>
    </row>
    <row r="722" spans="1:10" x14ac:dyDescent="0.35">
      <c r="A722" t="s">
        <v>471</v>
      </c>
      <c r="B722" s="16"/>
    </row>
    <row r="723" spans="1:10" x14ac:dyDescent="0.35">
      <c r="A723" t="s">
        <v>946</v>
      </c>
      <c r="B723" s="16"/>
      <c r="J723">
        <v>27</v>
      </c>
    </row>
    <row r="724" spans="1:10" x14ac:dyDescent="0.35">
      <c r="A724" t="s">
        <v>700</v>
      </c>
      <c r="B724" s="16"/>
    </row>
    <row r="725" spans="1:10" x14ac:dyDescent="0.35">
      <c r="A725" t="s">
        <v>438</v>
      </c>
      <c r="B725" s="16"/>
    </row>
    <row r="726" spans="1:10" x14ac:dyDescent="0.35">
      <c r="A726" t="s">
        <v>439</v>
      </c>
      <c r="B726" s="16"/>
    </row>
    <row r="727" spans="1:10" x14ac:dyDescent="0.35">
      <c r="A727" t="s">
        <v>441</v>
      </c>
      <c r="B727" s="16"/>
    </row>
    <row r="728" spans="1:10" x14ac:dyDescent="0.35">
      <c r="A728" t="s">
        <v>701</v>
      </c>
      <c r="B728" s="16"/>
    </row>
    <row r="729" spans="1:10" x14ac:dyDescent="0.35">
      <c r="A729" t="s">
        <v>442</v>
      </c>
      <c r="B729" s="16" t="s">
        <v>443</v>
      </c>
      <c r="C729" t="s">
        <v>444</v>
      </c>
      <c r="D729" t="s">
        <v>445</v>
      </c>
      <c r="E729" t="s">
        <v>445</v>
      </c>
      <c r="F729" t="s">
        <v>446</v>
      </c>
      <c r="G729" t="s">
        <v>447</v>
      </c>
      <c r="H729" t="s">
        <v>448</v>
      </c>
      <c r="I729" t="s">
        <v>448</v>
      </c>
    </row>
    <row r="730" spans="1:10" x14ac:dyDescent="0.35">
      <c r="A730" t="s">
        <v>450</v>
      </c>
      <c r="B730" s="16" t="s">
        <v>451</v>
      </c>
      <c r="C730" t="s">
        <v>452</v>
      </c>
      <c r="D730" t="s">
        <v>453</v>
      </c>
      <c r="E730" t="s">
        <v>454</v>
      </c>
      <c r="F730" t="s">
        <v>455</v>
      </c>
      <c r="G730" t="s">
        <v>456</v>
      </c>
      <c r="H730" t="s">
        <v>457</v>
      </c>
      <c r="I730" t="s">
        <v>458</v>
      </c>
    </row>
    <row r="731" spans="1:10" x14ac:dyDescent="0.35">
      <c r="A731" t="s">
        <v>702</v>
      </c>
      <c r="B731" s="16" t="s">
        <v>703</v>
      </c>
      <c r="C731" t="s">
        <v>704</v>
      </c>
      <c r="D731" t="s">
        <v>704</v>
      </c>
      <c r="E731" t="s">
        <v>704</v>
      </c>
      <c r="F731" t="s">
        <v>705</v>
      </c>
      <c r="G731" t="s">
        <v>704</v>
      </c>
      <c r="H731" t="s">
        <v>704</v>
      </c>
      <c r="I731" t="s">
        <v>704</v>
      </c>
    </row>
    <row r="732" spans="1:10" x14ac:dyDescent="0.35">
      <c r="A732">
        <v>1</v>
      </c>
      <c r="B732" s="16" t="s">
        <v>479</v>
      </c>
      <c r="C732">
        <v>7.5020000000000003E-2</v>
      </c>
      <c r="D732">
        <v>1.8680000000000001</v>
      </c>
      <c r="E732">
        <v>1.105</v>
      </c>
      <c r="F732">
        <v>10</v>
      </c>
      <c r="G732">
        <v>8.2860000000000003E-2</v>
      </c>
      <c r="H732">
        <v>9.3619999999999995E-2</v>
      </c>
      <c r="I732">
        <v>7.8990000000000005E-2</v>
      </c>
    </row>
    <row r="733" spans="1:10" x14ac:dyDescent="0.35">
      <c r="A733">
        <v>2</v>
      </c>
      <c r="B733" s="16" t="s">
        <v>481</v>
      </c>
      <c r="C733">
        <v>0.70689999999999997</v>
      </c>
      <c r="D733">
        <v>1.0940000000000001</v>
      </c>
      <c r="E733">
        <v>0.95850000000000002</v>
      </c>
      <c r="F733">
        <v>10</v>
      </c>
      <c r="G733">
        <v>0.67759999999999998</v>
      </c>
      <c r="H733">
        <v>0.76549999999999996</v>
      </c>
      <c r="I733">
        <v>0.64590000000000003</v>
      </c>
    </row>
    <row r="734" spans="1:10" x14ac:dyDescent="0.35">
      <c r="A734">
        <v>3</v>
      </c>
      <c r="B734" s="16" t="s">
        <v>483</v>
      </c>
      <c r="C734">
        <v>4.7059999999999998E-2</v>
      </c>
      <c r="D734">
        <v>1.8180000000000001</v>
      </c>
      <c r="E734">
        <v>1.2729999999999999</v>
      </c>
      <c r="F734">
        <v>10</v>
      </c>
      <c r="G734">
        <v>5.9909999999999998E-2</v>
      </c>
      <c r="H734">
        <v>6.7680000000000004E-2</v>
      </c>
      <c r="I734">
        <v>5.7099999999999998E-2</v>
      </c>
    </row>
    <row r="735" spans="1:10" x14ac:dyDescent="0.35">
      <c r="A735">
        <v>4</v>
      </c>
      <c r="B735" s="16" t="s">
        <v>485</v>
      </c>
      <c r="C735">
        <v>7.9929999999999997E-4</v>
      </c>
      <c r="D735">
        <v>0.86480000000000001</v>
      </c>
      <c r="E735">
        <v>1.268</v>
      </c>
      <c r="F735">
        <v>10</v>
      </c>
      <c r="G735">
        <v>1.0139999999999999E-3</v>
      </c>
      <c r="H735">
        <v>1.145E-3</v>
      </c>
      <c r="I735">
        <v>9.6610000000000001E-4</v>
      </c>
    </row>
    <row r="736" spans="1:10" x14ac:dyDescent="0.35">
      <c r="A736">
        <v>5</v>
      </c>
      <c r="B736" s="16" t="s">
        <v>487</v>
      </c>
      <c r="C736">
        <v>6.2870000000000001E-3</v>
      </c>
      <c r="D736">
        <v>1.8580000000000001</v>
      </c>
      <c r="E736">
        <v>1.9259999999999999</v>
      </c>
      <c r="F736">
        <v>10</v>
      </c>
      <c r="G736">
        <v>1.2109999999999999E-2</v>
      </c>
      <c r="H736">
        <v>1.3679999999999999E-2</v>
      </c>
      <c r="I736">
        <v>1.154E-2</v>
      </c>
    </row>
    <row r="737" spans="1:10" x14ac:dyDescent="0.35">
      <c r="A737">
        <v>6</v>
      </c>
      <c r="B737" s="16" t="s">
        <v>526</v>
      </c>
      <c r="C737">
        <v>4.7059999999999998E-2</v>
      </c>
      <c r="D737">
        <v>1.7909999999999999</v>
      </c>
      <c r="E737">
        <v>1.097</v>
      </c>
      <c r="F737">
        <v>10</v>
      </c>
      <c r="G737">
        <v>5.1639999999999998E-2</v>
      </c>
      <c r="H737">
        <v>5.8340000000000003E-2</v>
      </c>
      <c r="I737">
        <v>4.922E-2</v>
      </c>
    </row>
    <row r="738" spans="1:10" x14ac:dyDescent="0.35">
      <c r="A738">
        <v>7</v>
      </c>
      <c r="B738" s="16" t="s">
        <v>464</v>
      </c>
      <c r="C738">
        <v>0.47349999999999998</v>
      </c>
      <c r="D738">
        <v>0.49519999999999997</v>
      </c>
      <c r="E738">
        <v>0.3463</v>
      </c>
      <c r="F738">
        <v>10</v>
      </c>
      <c r="G738">
        <v>0.16400000000000001</v>
      </c>
      <c r="H738" t="s">
        <v>452</v>
      </c>
      <c r="I738">
        <v>0.15629999999999999</v>
      </c>
    </row>
    <row r="739" spans="1:10" x14ac:dyDescent="0.35">
      <c r="A739">
        <v>8</v>
      </c>
      <c r="B739" s="16" t="s">
        <v>466</v>
      </c>
      <c r="C739">
        <v>0.55030000000000001</v>
      </c>
      <c r="D739">
        <v>0.35949999999999999</v>
      </c>
      <c r="E739">
        <v>0.27710000000000001</v>
      </c>
      <c r="F739">
        <v>10</v>
      </c>
      <c r="G739">
        <v>0.1525</v>
      </c>
      <c r="H739" t="s">
        <v>452</v>
      </c>
      <c r="I739">
        <v>0.1469</v>
      </c>
    </row>
    <row r="740" spans="1:10" x14ac:dyDescent="0.35">
      <c r="A740">
        <v>9</v>
      </c>
      <c r="B740" s="16" t="s">
        <v>467</v>
      </c>
      <c r="C740">
        <v>0.70689999999999997</v>
      </c>
      <c r="D740">
        <v>1.0940000000000001</v>
      </c>
      <c r="E740">
        <v>0.95850000000000002</v>
      </c>
      <c r="F740">
        <v>10</v>
      </c>
      <c r="G740">
        <v>0.67759999999999998</v>
      </c>
      <c r="H740" t="s">
        <v>452</v>
      </c>
      <c r="I740">
        <v>0.5</v>
      </c>
    </row>
    <row r="741" spans="1:10" x14ac:dyDescent="0.35">
      <c r="A741">
        <v>10</v>
      </c>
      <c r="B741" s="16" t="s">
        <v>469</v>
      </c>
      <c r="C741">
        <v>0.70689999999999997</v>
      </c>
      <c r="D741">
        <v>1.0940000000000001</v>
      </c>
      <c r="E741">
        <v>0.95850000000000002</v>
      </c>
      <c r="F741">
        <v>10</v>
      </c>
      <c r="G741">
        <v>0.67759999999999998</v>
      </c>
      <c r="H741" t="s">
        <v>452</v>
      </c>
      <c r="I741">
        <v>0.5</v>
      </c>
    </row>
    <row r="742" spans="1:10" x14ac:dyDescent="0.35">
      <c r="A742" t="s">
        <v>701</v>
      </c>
      <c r="B742" s="16"/>
    </row>
    <row r="743" spans="1:10" x14ac:dyDescent="0.35">
      <c r="A743" t="s">
        <v>700</v>
      </c>
      <c r="B743" s="16"/>
    </row>
    <row r="744" spans="1:10" x14ac:dyDescent="0.35">
      <c r="A744" t="s">
        <v>470</v>
      </c>
      <c r="B744" s="16"/>
    </row>
    <row r="745" spans="1:10" x14ac:dyDescent="0.35">
      <c r="A745" t="s">
        <v>471</v>
      </c>
      <c r="B745" s="16"/>
    </row>
    <row r="746" spans="1:10" x14ac:dyDescent="0.35">
      <c r="A746" t="s">
        <v>947</v>
      </c>
      <c r="B746" s="16"/>
      <c r="J746">
        <v>28</v>
      </c>
    </row>
    <row r="747" spans="1:10" x14ac:dyDescent="0.35">
      <c r="A747" t="s">
        <v>700</v>
      </c>
      <c r="B747" s="16"/>
    </row>
    <row r="748" spans="1:10" x14ac:dyDescent="0.35">
      <c r="A748" t="s">
        <v>438</v>
      </c>
      <c r="B748" s="16"/>
    </row>
    <row r="749" spans="1:10" x14ac:dyDescent="0.35">
      <c r="A749" t="s">
        <v>439</v>
      </c>
      <c r="B749" s="16"/>
    </row>
    <row r="750" spans="1:10" x14ac:dyDescent="0.35">
      <c r="A750" t="s">
        <v>441</v>
      </c>
      <c r="B750" s="16"/>
    </row>
    <row r="751" spans="1:10" x14ac:dyDescent="0.35">
      <c r="A751" t="s">
        <v>701</v>
      </c>
      <c r="B751" s="16"/>
    </row>
    <row r="752" spans="1:10" x14ac:dyDescent="0.35">
      <c r="A752" t="s">
        <v>442</v>
      </c>
      <c r="B752" s="16" t="s">
        <v>443</v>
      </c>
      <c r="C752" t="s">
        <v>444</v>
      </c>
      <c r="D752" t="s">
        <v>445</v>
      </c>
      <c r="E752" t="s">
        <v>445</v>
      </c>
      <c r="F752" t="s">
        <v>446</v>
      </c>
      <c r="G752" t="s">
        <v>447</v>
      </c>
      <c r="H752" t="s">
        <v>448</v>
      </c>
      <c r="I752" t="s">
        <v>448</v>
      </c>
    </row>
    <row r="753" spans="1:9" x14ac:dyDescent="0.35">
      <c r="A753" t="s">
        <v>450</v>
      </c>
      <c r="B753" s="16" t="s">
        <v>451</v>
      </c>
      <c r="C753" t="s">
        <v>452</v>
      </c>
      <c r="D753" t="s">
        <v>453</v>
      </c>
      <c r="E753" t="s">
        <v>454</v>
      </c>
      <c r="F753" t="s">
        <v>455</v>
      </c>
      <c r="G753" t="s">
        <v>456</v>
      </c>
      <c r="H753" t="s">
        <v>457</v>
      </c>
      <c r="I753" t="s">
        <v>458</v>
      </c>
    </row>
    <row r="754" spans="1:9" x14ac:dyDescent="0.35">
      <c r="A754" t="s">
        <v>702</v>
      </c>
      <c r="B754" s="16" t="s">
        <v>703</v>
      </c>
      <c r="C754" t="s">
        <v>704</v>
      </c>
      <c r="D754" t="s">
        <v>704</v>
      </c>
      <c r="E754" t="s">
        <v>704</v>
      </c>
      <c r="F754" t="s">
        <v>705</v>
      </c>
      <c r="G754" t="s">
        <v>704</v>
      </c>
      <c r="H754" t="s">
        <v>704</v>
      </c>
      <c r="I754" t="s">
        <v>704</v>
      </c>
    </row>
    <row r="755" spans="1:9" x14ac:dyDescent="0.35">
      <c r="A755">
        <v>1</v>
      </c>
      <c r="B755" s="16">
        <v>1</v>
      </c>
      <c r="C755">
        <v>1.065E-2</v>
      </c>
      <c r="D755">
        <v>1.7450000000000001</v>
      </c>
      <c r="E755">
        <v>1.3939999999999999</v>
      </c>
      <c r="F755">
        <v>8</v>
      </c>
      <c r="G755">
        <v>1.485E-2</v>
      </c>
      <c r="H755">
        <v>2.8379999999999998E-3</v>
      </c>
      <c r="I755">
        <v>2.7929999999999999E-3</v>
      </c>
    </row>
    <row r="756" spans="1:9" x14ac:dyDescent="0.35">
      <c r="A756">
        <v>2</v>
      </c>
      <c r="B756" s="16">
        <v>2</v>
      </c>
      <c r="C756">
        <v>0.31180000000000002</v>
      </c>
      <c r="D756">
        <v>0.92979999999999996</v>
      </c>
      <c r="E756">
        <v>0.65139999999999998</v>
      </c>
      <c r="F756">
        <v>8</v>
      </c>
      <c r="G756">
        <v>0.2031</v>
      </c>
      <c r="H756">
        <v>3.8809999999999997E-2</v>
      </c>
      <c r="I756">
        <v>3.8190000000000002E-2</v>
      </c>
    </row>
    <row r="757" spans="1:9" x14ac:dyDescent="0.35">
      <c r="A757">
        <v>3</v>
      </c>
      <c r="B757" s="16">
        <v>3</v>
      </c>
      <c r="C757">
        <v>0.60519999999999996</v>
      </c>
      <c r="D757">
        <v>0.94499999999999995</v>
      </c>
      <c r="E757">
        <v>0.97470000000000001</v>
      </c>
      <c r="F757">
        <v>8</v>
      </c>
      <c r="G757">
        <v>0.58989999999999998</v>
      </c>
      <c r="H757">
        <v>0.11269999999999999</v>
      </c>
      <c r="I757">
        <v>0.1109</v>
      </c>
    </row>
    <row r="758" spans="1:9" x14ac:dyDescent="0.35">
      <c r="A758">
        <v>4</v>
      </c>
      <c r="B758" s="16">
        <v>4</v>
      </c>
      <c r="C758">
        <v>1.065E-2</v>
      </c>
      <c r="D758">
        <v>1.069</v>
      </c>
      <c r="E758">
        <v>1.0880000000000001</v>
      </c>
      <c r="F758">
        <v>8</v>
      </c>
      <c r="G758">
        <v>1.159E-2</v>
      </c>
      <c r="H758">
        <v>2.215E-3</v>
      </c>
      <c r="I758">
        <v>2.1789999999999999E-3</v>
      </c>
    </row>
    <row r="759" spans="1:9" x14ac:dyDescent="0.35">
      <c r="A759">
        <v>5</v>
      </c>
      <c r="B759" s="16">
        <v>5</v>
      </c>
      <c r="C759">
        <v>0.8498</v>
      </c>
      <c r="D759">
        <v>1.0820000000000001</v>
      </c>
      <c r="E759">
        <v>0.7712</v>
      </c>
      <c r="F759">
        <v>8</v>
      </c>
      <c r="G759">
        <v>0.65539999999999998</v>
      </c>
      <c r="H759">
        <v>0.12520000000000001</v>
      </c>
      <c r="I759">
        <v>0.1232</v>
      </c>
    </row>
    <row r="760" spans="1:9" x14ac:dyDescent="0.35">
      <c r="A760">
        <v>6</v>
      </c>
      <c r="B760" s="16">
        <v>6</v>
      </c>
      <c r="C760">
        <v>0.20219999999999999</v>
      </c>
      <c r="D760">
        <v>0.92710000000000004</v>
      </c>
      <c r="E760">
        <v>0.78120000000000001</v>
      </c>
      <c r="F760">
        <v>8</v>
      </c>
      <c r="G760">
        <v>0.15790000000000001</v>
      </c>
      <c r="H760">
        <v>3.0179999999999998E-2</v>
      </c>
      <c r="I760">
        <v>2.9690000000000001E-2</v>
      </c>
    </row>
    <row r="761" spans="1:9" x14ac:dyDescent="0.35">
      <c r="A761">
        <v>7</v>
      </c>
      <c r="B761" s="16">
        <v>7</v>
      </c>
      <c r="C761">
        <v>0.38719999999999999</v>
      </c>
      <c r="D761">
        <v>0.58140000000000003</v>
      </c>
      <c r="E761">
        <v>0.64139999999999997</v>
      </c>
      <c r="F761">
        <v>8</v>
      </c>
      <c r="G761">
        <v>0.24840000000000001</v>
      </c>
      <c r="H761">
        <v>4.7449999999999999E-2</v>
      </c>
      <c r="I761">
        <v>4.6690000000000002E-2</v>
      </c>
    </row>
    <row r="762" spans="1:9" x14ac:dyDescent="0.35">
      <c r="A762">
        <v>8</v>
      </c>
      <c r="B762" s="16">
        <v>8</v>
      </c>
      <c r="C762">
        <v>2.7799999999999998E-2</v>
      </c>
      <c r="D762">
        <v>1.5640000000000001</v>
      </c>
      <c r="E762">
        <v>1.538</v>
      </c>
      <c r="F762">
        <v>8</v>
      </c>
      <c r="G762">
        <v>4.274E-2</v>
      </c>
      <c r="H762">
        <v>8.1670000000000006E-3</v>
      </c>
      <c r="I762">
        <v>8.0359999999999997E-3</v>
      </c>
    </row>
    <row r="763" spans="1:9" x14ac:dyDescent="0.35">
      <c r="A763">
        <v>9</v>
      </c>
      <c r="B763" s="16">
        <v>9</v>
      </c>
      <c r="C763">
        <v>0.60519999999999996</v>
      </c>
      <c r="D763">
        <v>0.93989999999999996</v>
      </c>
      <c r="E763">
        <v>0.80479999999999996</v>
      </c>
      <c r="F763">
        <v>8</v>
      </c>
      <c r="G763">
        <v>0.48709999999999998</v>
      </c>
      <c r="H763">
        <v>9.3060000000000004E-2</v>
      </c>
      <c r="I763">
        <v>9.1569999999999999E-2</v>
      </c>
    </row>
    <row r="764" spans="1:9" x14ac:dyDescent="0.35">
      <c r="A764">
        <v>10</v>
      </c>
      <c r="B764" s="16">
        <v>10</v>
      </c>
      <c r="C764">
        <v>0.40870000000000001</v>
      </c>
      <c r="D764">
        <v>0.84319999999999995</v>
      </c>
      <c r="E764">
        <v>0.74199999999999999</v>
      </c>
      <c r="F764">
        <v>8</v>
      </c>
      <c r="G764">
        <v>0.30330000000000001</v>
      </c>
      <c r="H764">
        <v>5.7939999999999998E-2</v>
      </c>
      <c r="I764">
        <v>5.7020000000000001E-2</v>
      </c>
    </row>
    <row r="765" spans="1:9" x14ac:dyDescent="0.35">
      <c r="A765">
        <v>11</v>
      </c>
      <c r="B765" s="16">
        <v>11</v>
      </c>
      <c r="C765">
        <v>0.8498</v>
      </c>
      <c r="D765">
        <v>1.123</v>
      </c>
      <c r="E765">
        <v>0.98480000000000001</v>
      </c>
      <c r="F765">
        <v>8</v>
      </c>
      <c r="G765">
        <v>0.83689999999999998</v>
      </c>
      <c r="H765">
        <v>0.15989999999999999</v>
      </c>
      <c r="I765">
        <v>0.1573</v>
      </c>
    </row>
    <row r="766" spans="1:9" x14ac:dyDescent="0.35">
      <c r="A766">
        <v>12</v>
      </c>
      <c r="B766" s="16">
        <v>12</v>
      </c>
      <c r="C766">
        <v>1.065E-2</v>
      </c>
      <c r="D766">
        <v>1.234</v>
      </c>
      <c r="E766">
        <v>1.6379999999999999</v>
      </c>
      <c r="F766">
        <v>8</v>
      </c>
      <c r="G766">
        <v>1.745E-2</v>
      </c>
      <c r="H766">
        <v>3.3340000000000002E-3</v>
      </c>
      <c r="I766">
        <v>3.2810000000000001E-3</v>
      </c>
    </row>
    <row r="767" spans="1:9" x14ac:dyDescent="0.35">
      <c r="A767">
        <v>13</v>
      </c>
      <c r="B767" s="16">
        <v>13</v>
      </c>
      <c r="C767">
        <v>1.065E-2</v>
      </c>
      <c r="D767">
        <v>1.1259999999999999</v>
      </c>
      <c r="E767">
        <v>1.026</v>
      </c>
      <c r="F767">
        <v>8</v>
      </c>
      <c r="G767">
        <v>1.093E-2</v>
      </c>
      <c r="H767">
        <v>2.088E-3</v>
      </c>
      <c r="I767">
        <v>2.0539999999999998E-3</v>
      </c>
    </row>
    <row r="768" spans="1:9" x14ac:dyDescent="0.35">
      <c r="A768">
        <v>14</v>
      </c>
      <c r="B768" s="16">
        <v>14</v>
      </c>
      <c r="C768">
        <v>0.8498</v>
      </c>
      <c r="D768">
        <v>0.98140000000000005</v>
      </c>
      <c r="E768">
        <v>1.0720000000000001</v>
      </c>
      <c r="F768">
        <v>8</v>
      </c>
      <c r="G768">
        <v>0.91139999999999999</v>
      </c>
      <c r="H768">
        <v>0.1741</v>
      </c>
      <c r="I768">
        <v>0.1714</v>
      </c>
    </row>
    <row r="769" spans="1:10" x14ac:dyDescent="0.35">
      <c r="A769">
        <v>15</v>
      </c>
      <c r="B769" s="16">
        <v>15</v>
      </c>
      <c r="C769">
        <v>0.12920000000000001</v>
      </c>
      <c r="D769">
        <v>0.71099999999999997</v>
      </c>
      <c r="E769">
        <v>0.68689999999999996</v>
      </c>
      <c r="F769">
        <v>8</v>
      </c>
      <c r="G769">
        <v>8.8719999999999993E-2</v>
      </c>
      <c r="H769">
        <v>1.695E-2</v>
      </c>
      <c r="I769">
        <v>1.668E-2</v>
      </c>
    </row>
    <row r="770" spans="1:10" x14ac:dyDescent="0.35">
      <c r="A770">
        <v>16</v>
      </c>
      <c r="B770" s="16">
        <v>16</v>
      </c>
      <c r="C770">
        <v>0.31180000000000002</v>
      </c>
      <c r="D770">
        <v>0.84050000000000002</v>
      </c>
      <c r="E770">
        <v>0.62419999999999998</v>
      </c>
      <c r="F770">
        <v>8</v>
      </c>
      <c r="G770">
        <v>0.19470000000000001</v>
      </c>
      <c r="H770">
        <v>3.7190000000000001E-2</v>
      </c>
      <c r="I770">
        <v>3.6600000000000001E-2</v>
      </c>
    </row>
    <row r="771" spans="1:10" x14ac:dyDescent="0.35">
      <c r="A771">
        <v>17</v>
      </c>
      <c r="B771" s="16">
        <v>17</v>
      </c>
      <c r="C771">
        <v>3.5520000000000003E-2</v>
      </c>
      <c r="D771">
        <v>1.252</v>
      </c>
      <c r="E771">
        <v>0.61680000000000001</v>
      </c>
      <c r="F771">
        <v>8</v>
      </c>
      <c r="G771">
        <v>2.1909999999999999E-2</v>
      </c>
      <c r="H771">
        <v>4.1859999999999996E-3</v>
      </c>
      <c r="I771">
        <v>4.1190000000000003E-3</v>
      </c>
    </row>
    <row r="772" spans="1:10" x14ac:dyDescent="0.35">
      <c r="A772">
        <v>18</v>
      </c>
      <c r="B772" s="16">
        <v>18</v>
      </c>
      <c r="C772">
        <v>0.60519999999999996</v>
      </c>
      <c r="D772">
        <v>0.8165</v>
      </c>
      <c r="E772">
        <v>0.72330000000000005</v>
      </c>
      <c r="F772">
        <v>8</v>
      </c>
      <c r="G772">
        <v>0.43780000000000002</v>
      </c>
      <c r="H772">
        <v>8.3640000000000006E-2</v>
      </c>
      <c r="I772">
        <v>8.2299999999999998E-2</v>
      </c>
    </row>
    <row r="773" spans="1:10" x14ac:dyDescent="0.35">
      <c r="A773">
        <v>19</v>
      </c>
      <c r="B773" s="16" t="s">
        <v>464</v>
      </c>
      <c r="C773">
        <v>0.31180000000000002</v>
      </c>
      <c r="D773">
        <v>0.30890000000000001</v>
      </c>
      <c r="E773">
        <v>0.27250000000000002</v>
      </c>
      <c r="F773">
        <v>8</v>
      </c>
      <c r="G773">
        <v>8.498E-2</v>
      </c>
      <c r="H773" t="s">
        <v>452</v>
      </c>
      <c r="I773">
        <v>1.5980000000000001E-2</v>
      </c>
    </row>
    <row r="774" spans="1:10" x14ac:dyDescent="0.35">
      <c r="A774">
        <v>20</v>
      </c>
      <c r="B774" s="16" t="s">
        <v>466</v>
      </c>
      <c r="C774">
        <v>0.2535</v>
      </c>
      <c r="D774">
        <v>0.26469999999999999</v>
      </c>
      <c r="E774">
        <v>0.20200000000000001</v>
      </c>
      <c r="F774">
        <v>8</v>
      </c>
      <c r="G774">
        <v>5.1200000000000002E-2</v>
      </c>
      <c r="H774" t="s">
        <v>452</v>
      </c>
      <c r="I774">
        <v>9.6869999999999994E-3</v>
      </c>
    </row>
    <row r="775" spans="1:10" x14ac:dyDescent="0.35">
      <c r="A775">
        <v>21</v>
      </c>
      <c r="B775" s="16" t="s">
        <v>467</v>
      </c>
      <c r="C775">
        <v>0.31180000000000002</v>
      </c>
      <c r="D775">
        <v>0.4929</v>
      </c>
      <c r="E775">
        <v>0.49370000000000003</v>
      </c>
      <c r="F775">
        <v>8</v>
      </c>
      <c r="G775">
        <v>0.15390000000000001</v>
      </c>
      <c r="H775" t="s">
        <v>452</v>
      </c>
      <c r="I775">
        <v>6.019E-2</v>
      </c>
    </row>
    <row r="776" spans="1:10" x14ac:dyDescent="0.35">
      <c r="A776">
        <v>22</v>
      </c>
      <c r="B776" s="16" t="s">
        <v>469</v>
      </c>
      <c r="C776">
        <v>0.31180000000000002</v>
      </c>
      <c r="D776">
        <v>0.47389999999999999</v>
      </c>
      <c r="E776">
        <v>0.46310000000000001</v>
      </c>
      <c r="F776">
        <v>8</v>
      </c>
      <c r="G776">
        <v>0.1444</v>
      </c>
      <c r="H776" t="s">
        <v>452</v>
      </c>
      <c r="I776">
        <v>3.5549999999999998E-2</v>
      </c>
    </row>
    <row r="777" spans="1:10" x14ac:dyDescent="0.35">
      <c r="A777" t="s">
        <v>701</v>
      </c>
      <c r="B777" s="16"/>
    </row>
    <row r="778" spans="1:10" x14ac:dyDescent="0.35">
      <c r="A778" t="s">
        <v>700</v>
      </c>
      <c r="B778" s="16"/>
    </row>
    <row r="779" spans="1:10" x14ac:dyDescent="0.35">
      <c r="A779" t="s">
        <v>470</v>
      </c>
      <c r="B779" s="16"/>
    </row>
    <row r="780" spans="1:10" x14ac:dyDescent="0.35">
      <c r="A780" t="s">
        <v>471</v>
      </c>
      <c r="B780" s="16"/>
    </row>
    <row r="781" spans="1:10" x14ac:dyDescent="0.35">
      <c r="A781" t="s">
        <v>948</v>
      </c>
      <c r="B781" s="16"/>
      <c r="J781">
        <v>29</v>
      </c>
    </row>
    <row r="782" spans="1:10" x14ac:dyDescent="0.35">
      <c r="A782" t="s">
        <v>700</v>
      </c>
      <c r="B782" s="16"/>
    </row>
    <row r="783" spans="1:10" x14ac:dyDescent="0.35">
      <c r="A783" t="s">
        <v>438</v>
      </c>
      <c r="B783" s="16"/>
    </row>
    <row r="784" spans="1:10" x14ac:dyDescent="0.35">
      <c r="A784" t="s">
        <v>439</v>
      </c>
      <c r="B784" s="16"/>
    </row>
    <row r="785" spans="1:9" x14ac:dyDescent="0.35">
      <c r="A785" t="s">
        <v>441</v>
      </c>
      <c r="B785" s="16"/>
    </row>
    <row r="786" spans="1:9" x14ac:dyDescent="0.35">
      <c r="A786" t="s">
        <v>701</v>
      </c>
      <c r="B786" s="16"/>
    </row>
    <row r="787" spans="1:9" x14ac:dyDescent="0.35">
      <c r="A787" t="s">
        <v>442</v>
      </c>
      <c r="B787" s="16" t="s">
        <v>443</v>
      </c>
      <c r="C787" t="s">
        <v>444</v>
      </c>
      <c r="D787" t="s">
        <v>445</v>
      </c>
      <c r="E787" t="s">
        <v>445</v>
      </c>
      <c r="F787" t="s">
        <v>446</v>
      </c>
      <c r="G787" t="s">
        <v>447</v>
      </c>
      <c r="H787" t="s">
        <v>448</v>
      </c>
      <c r="I787" t="s">
        <v>448</v>
      </c>
    </row>
    <row r="788" spans="1:9" x14ac:dyDescent="0.35">
      <c r="A788" t="s">
        <v>450</v>
      </c>
      <c r="B788" s="16" t="s">
        <v>451</v>
      </c>
      <c r="C788" t="s">
        <v>452</v>
      </c>
      <c r="D788" t="s">
        <v>453</v>
      </c>
      <c r="E788" t="s">
        <v>454</v>
      </c>
      <c r="F788" t="s">
        <v>455</v>
      </c>
      <c r="G788" t="s">
        <v>456</v>
      </c>
      <c r="H788" t="s">
        <v>457</v>
      </c>
      <c r="I788" t="s">
        <v>458</v>
      </c>
    </row>
    <row r="789" spans="1:9" x14ac:dyDescent="0.35">
      <c r="A789" t="s">
        <v>702</v>
      </c>
      <c r="B789" s="16" t="s">
        <v>703</v>
      </c>
      <c r="C789" t="s">
        <v>704</v>
      </c>
      <c r="D789" t="s">
        <v>704</v>
      </c>
      <c r="E789" t="s">
        <v>704</v>
      </c>
      <c r="F789" t="s">
        <v>705</v>
      </c>
      <c r="G789" t="s">
        <v>704</v>
      </c>
      <c r="H789" t="s">
        <v>704</v>
      </c>
      <c r="I789" t="s">
        <v>704</v>
      </c>
    </row>
    <row r="790" spans="1:9" x14ac:dyDescent="0.35">
      <c r="A790">
        <v>1</v>
      </c>
      <c r="B790" s="16" t="s">
        <v>663</v>
      </c>
      <c r="C790" s="4">
        <v>7.3250000000000002E-6</v>
      </c>
      <c r="D790">
        <v>2.44</v>
      </c>
      <c r="E790">
        <v>2.44</v>
      </c>
      <c r="F790">
        <v>16</v>
      </c>
      <c r="G790" s="4">
        <v>1.787E-5</v>
      </c>
      <c r="H790" s="4">
        <v>1.024E-5</v>
      </c>
      <c r="I790" s="4">
        <v>9.3950000000000007E-6</v>
      </c>
    </row>
    <row r="791" spans="1:9" x14ac:dyDescent="0.35">
      <c r="A791">
        <v>2</v>
      </c>
      <c r="B791" s="16" t="s">
        <v>664</v>
      </c>
      <c r="C791" s="4">
        <v>1.366E-8</v>
      </c>
      <c r="D791">
        <v>1.994</v>
      </c>
      <c r="E791">
        <v>1.994</v>
      </c>
      <c r="F791">
        <v>16</v>
      </c>
      <c r="G791" s="4">
        <v>2.7240000000000001E-8</v>
      </c>
      <c r="H791" s="4">
        <v>1.5600000000000001E-8</v>
      </c>
      <c r="I791" s="4">
        <v>1.432E-8</v>
      </c>
    </row>
    <row r="792" spans="1:9" x14ac:dyDescent="0.35">
      <c r="A792">
        <v>3</v>
      </c>
      <c r="B792" s="16" t="s">
        <v>665</v>
      </c>
      <c r="C792">
        <v>0.51729999999999998</v>
      </c>
      <c r="D792">
        <v>0.95</v>
      </c>
      <c r="E792">
        <v>0.95</v>
      </c>
      <c r="F792">
        <v>16</v>
      </c>
      <c r="G792">
        <v>0.4914</v>
      </c>
      <c r="H792">
        <v>0.28149999999999997</v>
      </c>
      <c r="I792">
        <v>0.25829999999999997</v>
      </c>
    </row>
    <row r="793" spans="1:9" x14ac:dyDescent="0.35">
      <c r="A793">
        <v>4</v>
      </c>
      <c r="B793" s="16" t="s">
        <v>666</v>
      </c>
      <c r="C793" s="4">
        <v>8.884E-6</v>
      </c>
      <c r="D793">
        <v>1.772</v>
      </c>
      <c r="E793">
        <v>1.772</v>
      </c>
      <c r="F793">
        <v>16</v>
      </c>
      <c r="G793" s="4">
        <v>1.5739999999999998E-5</v>
      </c>
      <c r="H793" s="4">
        <v>9.0180000000000007E-6</v>
      </c>
      <c r="I793" s="4">
        <v>8.2749999999999995E-6</v>
      </c>
    </row>
    <row r="794" spans="1:9" x14ac:dyDescent="0.35">
      <c r="A794">
        <v>5</v>
      </c>
      <c r="B794" s="16" t="s">
        <v>667</v>
      </c>
      <c r="C794">
        <v>5.9679999999999998E-4</v>
      </c>
      <c r="D794">
        <v>1.448</v>
      </c>
      <c r="E794">
        <v>1.448</v>
      </c>
      <c r="F794">
        <v>16</v>
      </c>
      <c r="G794">
        <v>8.6439999999999998E-4</v>
      </c>
      <c r="H794">
        <v>4.9510000000000005E-4</v>
      </c>
      <c r="I794">
        <v>4.5439999999999999E-4</v>
      </c>
    </row>
    <row r="795" spans="1:9" x14ac:dyDescent="0.35">
      <c r="A795">
        <v>6</v>
      </c>
      <c r="B795" s="16" t="s">
        <v>668</v>
      </c>
      <c r="C795">
        <v>2.6169999999999999E-2</v>
      </c>
      <c r="D795">
        <v>1.6759999999999999</v>
      </c>
      <c r="E795">
        <v>1.6759999999999999</v>
      </c>
      <c r="F795">
        <v>16</v>
      </c>
      <c r="G795">
        <v>4.3860000000000003E-2</v>
      </c>
      <c r="H795">
        <v>2.512E-2</v>
      </c>
      <c r="I795">
        <v>2.3050000000000001E-2</v>
      </c>
    </row>
    <row r="796" spans="1:9" x14ac:dyDescent="0.35">
      <c r="A796">
        <v>7</v>
      </c>
      <c r="B796" s="16" t="s">
        <v>669</v>
      </c>
      <c r="C796">
        <v>0.14729999999999999</v>
      </c>
      <c r="D796">
        <v>1.2809999999999999</v>
      </c>
      <c r="E796">
        <v>1.2809999999999999</v>
      </c>
      <c r="F796">
        <v>16</v>
      </c>
      <c r="G796">
        <v>0.18859999999999999</v>
      </c>
      <c r="H796">
        <v>0.108</v>
      </c>
      <c r="I796">
        <v>9.912E-2</v>
      </c>
    </row>
    <row r="797" spans="1:9" x14ac:dyDescent="0.35">
      <c r="A797">
        <v>8</v>
      </c>
      <c r="B797" s="16" t="s">
        <v>670</v>
      </c>
      <c r="C797">
        <v>8.9690000000000006E-2</v>
      </c>
      <c r="D797">
        <v>1.407</v>
      </c>
      <c r="E797">
        <v>1.407</v>
      </c>
      <c r="F797">
        <v>16</v>
      </c>
      <c r="G797">
        <v>0.12620000000000001</v>
      </c>
      <c r="H797">
        <v>7.2300000000000003E-2</v>
      </c>
      <c r="I797">
        <v>6.6350000000000006E-2</v>
      </c>
    </row>
    <row r="798" spans="1:9" x14ac:dyDescent="0.35">
      <c r="A798">
        <v>9</v>
      </c>
      <c r="B798" s="16" t="s">
        <v>671</v>
      </c>
      <c r="C798">
        <v>3.908E-3</v>
      </c>
      <c r="D798">
        <v>1.9610000000000001</v>
      </c>
      <c r="E798">
        <v>1.9610000000000001</v>
      </c>
      <c r="F798">
        <v>16</v>
      </c>
      <c r="G798">
        <v>7.6639999999999998E-3</v>
      </c>
      <c r="H798">
        <v>4.3899999999999998E-3</v>
      </c>
      <c r="I798">
        <v>4.0280000000000003E-3</v>
      </c>
    </row>
    <row r="799" spans="1:9" x14ac:dyDescent="0.35">
      <c r="A799">
        <v>10</v>
      </c>
      <c r="B799" s="16" t="s">
        <v>672</v>
      </c>
      <c r="C799" s="4">
        <v>1.4960000000000001E-5</v>
      </c>
      <c r="D799">
        <v>2.056</v>
      </c>
      <c r="E799">
        <v>2.056</v>
      </c>
      <c r="F799">
        <v>16</v>
      </c>
      <c r="G799" s="4">
        <v>3.0759999999999997E-5</v>
      </c>
      <c r="H799" s="4">
        <v>1.7620000000000001E-5</v>
      </c>
      <c r="I799" s="4">
        <v>1.6169999999999999E-5</v>
      </c>
    </row>
    <row r="800" spans="1:9" x14ac:dyDescent="0.35">
      <c r="A800">
        <v>11</v>
      </c>
      <c r="B800" s="16" t="s">
        <v>673</v>
      </c>
      <c r="C800">
        <v>8.9690000000000006E-2</v>
      </c>
      <c r="D800">
        <v>1.68</v>
      </c>
      <c r="E800">
        <v>1.68</v>
      </c>
      <c r="F800">
        <v>16</v>
      </c>
      <c r="G800">
        <v>0.15060000000000001</v>
      </c>
      <c r="H800">
        <v>8.6290000000000006E-2</v>
      </c>
      <c r="I800">
        <v>7.918E-2</v>
      </c>
    </row>
    <row r="801" spans="1:9" x14ac:dyDescent="0.35">
      <c r="A801">
        <v>12</v>
      </c>
      <c r="B801" s="16" t="s">
        <v>674</v>
      </c>
      <c r="C801">
        <v>0.39879999999999999</v>
      </c>
      <c r="D801">
        <v>1.323</v>
      </c>
      <c r="E801">
        <v>1.323</v>
      </c>
      <c r="F801">
        <v>16</v>
      </c>
      <c r="G801">
        <v>0.52749999999999997</v>
      </c>
      <c r="H801">
        <v>0.30220000000000002</v>
      </c>
      <c r="I801">
        <v>0.27729999999999999</v>
      </c>
    </row>
    <row r="802" spans="1:9" x14ac:dyDescent="0.35">
      <c r="A802">
        <v>13</v>
      </c>
      <c r="B802" s="16" t="s">
        <v>675</v>
      </c>
      <c r="C802">
        <v>2.8079999999999999E-4</v>
      </c>
      <c r="D802">
        <v>1.833</v>
      </c>
      <c r="E802">
        <v>1.833</v>
      </c>
      <c r="F802">
        <v>16</v>
      </c>
      <c r="G802">
        <v>5.1460000000000004E-4</v>
      </c>
      <c r="H802">
        <v>2.9480000000000001E-4</v>
      </c>
      <c r="I802">
        <v>2.7050000000000002E-4</v>
      </c>
    </row>
    <row r="803" spans="1:9" x14ac:dyDescent="0.35">
      <c r="A803">
        <v>14</v>
      </c>
      <c r="B803" s="16" t="s">
        <v>676</v>
      </c>
      <c r="C803">
        <v>2.8079999999999999E-4</v>
      </c>
      <c r="D803">
        <v>1.9750000000000001</v>
      </c>
      <c r="E803">
        <v>1.9750000000000001</v>
      </c>
      <c r="F803">
        <v>16</v>
      </c>
      <c r="G803">
        <v>5.5449999999999998E-4</v>
      </c>
      <c r="H803">
        <v>3.1760000000000002E-4</v>
      </c>
      <c r="I803">
        <v>2.9149999999999998E-4</v>
      </c>
    </row>
    <row r="804" spans="1:9" x14ac:dyDescent="0.35">
      <c r="A804">
        <v>15</v>
      </c>
      <c r="B804" s="16" t="s">
        <v>677</v>
      </c>
      <c r="C804">
        <v>3.56E-2</v>
      </c>
      <c r="D804">
        <v>1.9610000000000001</v>
      </c>
      <c r="E804">
        <v>1.9610000000000001</v>
      </c>
      <c r="F804">
        <v>16</v>
      </c>
      <c r="G804">
        <v>6.9819999999999993E-2</v>
      </c>
      <c r="H804">
        <v>3.9989999999999998E-2</v>
      </c>
      <c r="I804">
        <v>3.6700000000000003E-2</v>
      </c>
    </row>
    <row r="805" spans="1:9" x14ac:dyDescent="0.35">
      <c r="A805">
        <v>16</v>
      </c>
      <c r="B805" s="16" t="s">
        <v>678</v>
      </c>
      <c r="C805">
        <v>3.5710000000000001E-4</v>
      </c>
      <c r="D805">
        <v>1.72</v>
      </c>
      <c r="E805">
        <v>1.72</v>
      </c>
      <c r="F805">
        <v>16</v>
      </c>
      <c r="G805">
        <v>6.1410000000000002E-4</v>
      </c>
      <c r="H805">
        <v>3.5179999999999999E-4</v>
      </c>
      <c r="I805">
        <v>3.2279999999999999E-4</v>
      </c>
    </row>
    <row r="806" spans="1:9" x14ac:dyDescent="0.35">
      <c r="A806">
        <v>17</v>
      </c>
      <c r="B806" s="16" t="s">
        <v>679</v>
      </c>
      <c r="C806">
        <v>7.5829999999999995E-4</v>
      </c>
      <c r="D806">
        <v>1.6950000000000001</v>
      </c>
      <c r="E806">
        <v>1.6950000000000001</v>
      </c>
      <c r="F806">
        <v>16</v>
      </c>
      <c r="G806">
        <v>1.2849999999999999E-3</v>
      </c>
      <c r="H806">
        <v>7.3609999999999995E-4</v>
      </c>
      <c r="I806">
        <v>6.7549999999999999E-4</v>
      </c>
    </row>
    <row r="807" spans="1:9" x14ac:dyDescent="0.35">
      <c r="A807">
        <v>18</v>
      </c>
      <c r="B807" s="16" t="s">
        <v>680</v>
      </c>
      <c r="C807" s="4">
        <v>8.6609999999999999E-5</v>
      </c>
      <c r="D807">
        <v>2.2050000000000001</v>
      </c>
      <c r="E807">
        <v>2.2050000000000001</v>
      </c>
      <c r="F807">
        <v>16</v>
      </c>
      <c r="G807">
        <v>1.9100000000000001E-4</v>
      </c>
      <c r="H807">
        <v>1.094E-4</v>
      </c>
      <c r="I807">
        <v>1.004E-4</v>
      </c>
    </row>
    <row r="808" spans="1:9" x14ac:dyDescent="0.35">
      <c r="A808">
        <v>19</v>
      </c>
      <c r="B808" s="16" t="s">
        <v>681</v>
      </c>
      <c r="C808">
        <v>8.9690000000000006E-2</v>
      </c>
      <c r="D808">
        <v>1.5069999999999999</v>
      </c>
      <c r="E808">
        <v>1.5069999999999999</v>
      </c>
      <c r="F808">
        <v>16</v>
      </c>
      <c r="G808">
        <v>0.13519999999999999</v>
      </c>
      <c r="H808">
        <v>7.7429999999999999E-2</v>
      </c>
      <c r="I808">
        <v>7.1050000000000002E-2</v>
      </c>
    </row>
    <row r="809" spans="1:9" x14ac:dyDescent="0.35">
      <c r="A809">
        <v>20</v>
      </c>
      <c r="B809" s="16" t="s">
        <v>682</v>
      </c>
      <c r="C809">
        <v>3.5710000000000001E-4</v>
      </c>
      <c r="D809">
        <v>2.3149999999999999</v>
      </c>
      <c r="E809">
        <v>2.3149999999999999</v>
      </c>
      <c r="F809">
        <v>16</v>
      </c>
      <c r="G809">
        <v>8.2689999999999999E-4</v>
      </c>
      <c r="H809">
        <v>4.7360000000000002E-4</v>
      </c>
      <c r="I809">
        <v>4.3459999999999999E-4</v>
      </c>
    </row>
    <row r="810" spans="1:9" x14ac:dyDescent="0.35">
      <c r="A810">
        <v>21</v>
      </c>
      <c r="B810" s="16" t="s">
        <v>464</v>
      </c>
      <c r="C810">
        <v>0.30520000000000003</v>
      </c>
      <c r="D810">
        <v>0.51339999999999997</v>
      </c>
      <c r="E810">
        <v>0.51339999999999997</v>
      </c>
      <c r="F810">
        <v>16</v>
      </c>
      <c r="G810">
        <v>0.15670000000000001</v>
      </c>
      <c r="H810" t="s">
        <v>452</v>
      </c>
      <c r="I810">
        <v>8.2369999999999999E-2</v>
      </c>
    </row>
    <row r="811" spans="1:9" x14ac:dyDescent="0.35">
      <c r="A811">
        <v>22</v>
      </c>
      <c r="B811" s="16" t="s">
        <v>466</v>
      </c>
      <c r="C811">
        <v>0.12839999999999999</v>
      </c>
      <c r="D811">
        <v>0.54500000000000004</v>
      </c>
      <c r="E811">
        <v>0.54500000000000004</v>
      </c>
      <c r="F811">
        <v>16</v>
      </c>
      <c r="G811">
        <v>7.0000000000000007E-2</v>
      </c>
      <c r="H811" t="s">
        <v>452</v>
      </c>
      <c r="I811">
        <v>3.8550000000000001E-2</v>
      </c>
    </row>
    <row r="812" spans="1:9" x14ac:dyDescent="0.35">
      <c r="A812">
        <v>23</v>
      </c>
      <c r="B812" s="16" t="s">
        <v>467</v>
      </c>
      <c r="C812">
        <v>0.51729999999999998</v>
      </c>
      <c r="D812">
        <v>0.95</v>
      </c>
      <c r="E812">
        <v>0.95</v>
      </c>
      <c r="F812">
        <v>16</v>
      </c>
      <c r="G812">
        <v>0.4914</v>
      </c>
      <c r="H812" t="s">
        <v>452</v>
      </c>
      <c r="I812">
        <v>0.5</v>
      </c>
    </row>
    <row r="813" spans="1:9" x14ac:dyDescent="0.35">
      <c r="A813">
        <v>24</v>
      </c>
      <c r="B813" s="16" t="s">
        <v>469</v>
      </c>
      <c r="C813">
        <v>0.94220000000000004</v>
      </c>
      <c r="D813">
        <v>0.9284</v>
      </c>
      <c r="E813">
        <v>0.9284</v>
      </c>
      <c r="F813">
        <v>16</v>
      </c>
      <c r="G813">
        <v>0.87480000000000002</v>
      </c>
      <c r="H813" t="s">
        <v>452</v>
      </c>
      <c r="I813">
        <v>0.46189999999999998</v>
      </c>
    </row>
    <row r="814" spans="1:9" x14ac:dyDescent="0.35">
      <c r="A814" t="s">
        <v>701</v>
      </c>
      <c r="B814" s="16"/>
    </row>
    <row r="815" spans="1:9" x14ac:dyDescent="0.35">
      <c r="A815" t="s">
        <v>700</v>
      </c>
      <c r="B815" s="16"/>
    </row>
    <row r="816" spans="1:9" x14ac:dyDescent="0.35">
      <c r="A816" t="s">
        <v>470</v>
      </c>
      <c r="B816" s="16"/>
    </row>
    <row r="817" spans="1:10" x14ac:dyDescent="0.35">
      <c r="A817" t="s">
        <v>471</v>
      </c>
      <c r="B817" s="16"/>
    </row>
    <row r="818" spans="1:10" x14ac:dyDescent="0.35">
      <c r="A818" t="s">
        <v>949</v>
      </c>
      <c r="B818" s="16"/>
      <c r="J818">
        <v>30</v>
      </c>
    </row>
    <row r="819" spans="1:10" x14ac:dyDescent="0.35">
      <c r="A819" t="s">
        <v>700</v>
      </c>
      <c r="B819" s="16"/>
    </row>
    <row r="820" spans="1:10" x14ac:dyDescent="0.35">
      <c r="A820" t="s">
        <v>438</v>
      </c>
      <c r="B820" s="16"/>
    </row>
    <row r="821" spans="1:10" x14ac:dyDescent="0.35">
      <c r="A821" t="s">
        <v>950</v>
      </c>
      <c r="B821" s="16"/>
    </row>
    <row r="822" spans="1:10" x14ac:dyDescent="0.35">
      <c r="A822" t="s">
        <v>951</v>
      </c>
      <c r="B822" s="16"/>
    </row>
    <row r="823" spans="1:10" x14ac:dyDescent="0.35">
      <c r="A823" t="s">
        <v>701</v>
      </c>
      <c r="B823" s="16"/>
    </row>
    <row r="824" spans="1:10" x14ac:dyDescent="0.35">
      <c r="A824" t="s">
        <v>442</v>
      </c>
      <c r="B824" s="16" t="s">
        <v>443</v>
      </c>
      <c r="C824" t="s">
        <v>444</v>
      </c>
      <c r="D824" t="s">
        <v>445</v>
      </c>
      <c r="E824" t="s">
        <v>445</v>
      </c>
      <c r="F824" t="s">
        <v>446</v>
      </c>
      <c r="G824" t="s">
        <v>447</v>
      </c>
      <c r="H824" t="s">
        <v>448</v>
      </c>
      <c r="I824" t="s">
        <v>448</v>
      </c>
    </row>
    <row r="825" spans="1:10" x14ac:dyDescent="0.35">
      <c r="A825" t="s">
        <v>450</v>
      </c>
      <c r="B825" s="16" t="s">
        <v>451</v>
      </c>
      <c r="C825" t="s">
        <v>452</v>
      </c>
      <c r="D825" t="s">
        <v>453</v>
      </c>
      <c r="E825" t="s">
        <v>454</v>
      </c>
      <c r="F825" t="s">
        <v>455</v>
      </c>
      <c r="G825" t="s">
        <v>456</v>
      </c>
      <c r="H825" t="s">
        <v>457</v>
      </c>
      <c r="I825" t="s">
        <v>458</v>
      </c>
    </row>
    <row r="826" spans="1:10" x14ac:dyDescent="0.35">
      <c r="A826" t="s">
        <v>702</v>
      </c>
      <c r="B826" s="16" t="s">
        <v>703</v>
      </c>
      <c r="C826" t="s">
        <v>704</v>
      </c>
      <c r="D826" t="s">
        <v>704</v>
      </c>
      <c r="E826" t="s">
        <v>704</v>
      </c>
      <c r="F826" t="s">
        <v>705</v>
      </c>
      <c r="G826" t="s">
        <v>704</v>
      </c>
      <c r="H826" t="s">
        <v>704</v>
      </c>
      <c r="I826" t="s">
        <v>704</v>
      </c>
    </row>
    <row r="827" spans="1:10" x14ac:dyDescent="0.35">
      <c r="A827">
        <v>1</v>
      </c>
      <c r="B827" s="16">
        <v>1</v>
      </c>
      <c r="C827">
        <v>0.39939999999999998</v>
      </c>
      <c r="D827">
        <v>1.41</v>
      </c>
      <c r="E827">
        <v>1.552</v>
      </c>
      <c r="F827">
        <v>11</v>
      </c>
      <c r="G827">
        <v>0.61990000000000001</v>
      </c>
      <c r="H827" t="s">
        <v>452</v>
      </c>
      <c r="I827">
        <v>0.37709999999999999</v>
      </c>
    </row>
    <row r="828" spans="1:10" x14ac:dyDescent="0.35">
      <c r="A828">
        <v>2</v>
      </c>
      <c r="B828" s="16">
        <v>2</v>
      </c>
      <c r="C828" s="4">
        <v>4.8449999999999999E-5</v>
      </c>
      <c r="D828">
        <v>1.6060000000000001</v>
      </c>
      <c r="E828">
        <v>1.544</v>
      </c>
      <c r="F828">
        <v>11</v>
      </c>
      <c r="G828">
        <v>0</v>
      </c>
      <c r="H828" t="s">
        <v>452</v>
      </c>
      <c r="I828">
        <v>0</v>
      </c>
    </row>
    <row r="829" spans="1:10" x14ac:dyDescent="0.35">
      <c r="A829">
        <v>3</v>
      </c>
      <c r="B829" s="16">
        <v>3</v>
      </c>
      <c r="C829">
        <v>4.922E-2</v>
      </c>
      <c r="D829">
        <v>1.0409999999999999</v>
      </c>
      <c r="E829">
        <v>1.0409999999999999</v>
      </c>
      <c r="F829">
        <v>11</v>
      </c>
      <c r="G829">
        <v>0</v>
      </c>
      <c r="H829" t="s">
        <v>452</v>
      </c>
      <c r="I829">
        <v>0</v>
      </c>
    </row>
    <row r="830" spans="1:10" x14ac:dyDescent="0.35">
      <c r="A830">
        <v>4</v>
      </c>
      <c r="B830" s="16">
        <v>4</v>
      </c>
      <c r="C830" s="4">
        <v>5.8420000000000001E-6</v>
      </c>
      <c r="D830">
        <v>2.9430000000000001</v>
      </c>
      <c r="E830">
        <v>2.7530000000000001</v>
      </c>
      <c r="F830">
        <v>11</v>
      </c>
      <c r="G830">
        <v>0</v>
      </c>
      <c r="H830" t="s">
        <v>452</v>
      </c>
      <c r="I830">
        <v>0</v>
      </c>
    </row>
    <row r="831" spans="1:10" x14ac:dyDescent="0.35">
      <c r="A831">
        <v>5</v>
      </c>
      <c r="B831" s="16">
        <v>5</v>
      </c>
      <c r="C831" s="4">
        <v>5.8420000000000001E-6</v>
      </c>
      <c r="D831">
        <v>2.5390000000000001</v>
      </c>
      <c r="E831">
        <v>1.5860000000000001</v>
      </c>
      <c r="F831">
        <v>11</v>
      </c>
      <c r="G831">
        <v>0</v>
      </c>
      <c r="H831" t="s">
        <v>452</v>
      </c>
      <c r="I831">
        <v>0</v>
      </c>
    </row>
    <row r="832" spans="1:10" x14ac:dyDescent="0.35">
      <c r="A832">
        <v>6</v>
      </c>
      <c r="B832" s="16">
        <v>6</v>
      </c>
      <c r="C832">
        <v>3.3E-3</v>
      </c>
      <c r="D832">
        <v>1.522</v>
      </c>
      <c r="E832">
        <v>2.4359999999999999</v>
      </c>
      <c r="F832">
        <v>11</v>
      </c>
      <c r="G832">
        <v>0</v>
      </c>
      <c r="H832" t="s">
        <v>452</v>
      </c>
      <c r="I832">
        <v>0</v>
      </c>
    </row>
    <row r="833" spans="1:10" x14ac:dyDescent="0.35">
      <c r="A833">
        <v>7</v>
      </c>
      <c r="B833" s="16">
        <v>7</v>
      </c>
      <c r="C833">
        <v>0.32650000000000001</v>
      </c>
      <c r="D833">
        <v>1.6830000000000001</v>
      </c>
      <c r="E833">
        <v>1.181</v>
      </c>
      <c r="F833">
        <v>11</v>
      </c>
      <c r="G833">
        <v>0.3856</v>
      </c>
      <c r="H833" t="s">
        <v>452</v>
      </c>
      <c r="I833">
        <v>0.23449999999999999</v>
      </c>
    </row>
    <row r="834" spans="1:10" x14ac:dyDescent="0.35">
      <c r="A834">
        <v>8</v>
      </c>
      <c r="B834" s="16">
        <v>8</v>
      </c>
      <c r="C834">
        <v>2.5180000000000001E-2</v>
      </c>
      <c r="D834">
        <v>1.1779999999999999</v>
      </c>
      <c r="E834">
        <v>1.395</v>
      </c>
      <c r="F834">
        <v>11</v>
      </c>
      <c r="G834">
        <v>0</v>
      </c>
      <c r="H834" t="s">
        <v>452</v>
      </c>
      <c r="I834">
        <v>0</v>
      </c>
    </row>
    <row r="835" spans="1:10" x14ac:dyDescent="0.35">
      <c r="A835">
        <v>9</v>
      </c>
      <c r="B835" s="16">
        <v>9</v>
      </c>
      <c r="C835">
        <v>1.8460000000000001E-2</v>
      </c>
      <c r="D835">
        <v>1.28</v>
      </c>
      <c r="E835">
        <v>1.522</v>
      </c>
      <c r="F835">
        <v>11</v>
      </c>
      <c r="G835">
        <v>0</v>
      </c>
      <c r="H835" t="s">
        <v>452</v>
      </c>
      <c r="I835">
        <v>0</v>
      </c>
    </row>
    <row r="836" spans="1:10" x14ac:dyDescent="0.35">
      <c r="A836">
        <v>10</v>
      </c>
      <c r="B836" s="16">
        <v>10</v>
      </c>
      <c r="C836">
        <v>1.8249999999999999E-4</v>
      </c>
      <c r="D836">
        <v>1.2030000000000001</v>
      </c>
      <c r="E836">
        <v>2.25</v>
      </c>
      <c r="F836">
        <v>11</v>
      </c>
      <c r="G836">
        <v>0</v>
      </c>
      <c r="H836" t="s">
        <v>452</v>
      </c>
      <c r="I836">
        <v>0</v>
      </c>
    </row>
    <row r="837" spans="1:10" x14ac:dyDescent="0.35">
      <c r="A837">
        <v>11</v>
      </c>
      <c r="B837" s="16" t="s">
        <v>464</v>
      </c>
      <c r="C837">
        <v>0.61499999999999999</v>
      </c>
      <c r="D837">
        <v>0.72030000000000005</v>
      </c>
      <c r="E837">
        <v>0.70069999999999999</v>
      </c>
      <c r="F837">
        <v>11</v>
      </c>
      <c r="G837">
        <v>0.43090000000000001</v>
      </c>
      <c r="H837" t="s">
        <v>452</v>
      </c>
      <c r="I837">
        <v>0.27629999999999999</v>
      </c>
    </row>
    <row r="838" spans="1:10" x14ac:dyDescent="0.35">
      <c r="A838">
        <v>12</v>
      </c>
      <c r="B838" s="16" t="s">
        <v>466</v>
      </c>
      <c r="C838">
        <v>0.49199999999999999</v>
      </c>
      <c r="D838">
        <v>0.4597</v>
      </c>
      <c r="E838">
        <v>0.51690000000000003</v>
      </c>
      <c r="F838">
        <v>11</v>
      </c>
      <c r="G838">
        <v>0.25430000000000003</v>
      </c>
      <c r="H838" t="s">
        <v>452</v>
      </c>
      <c r="I838">
        <v>0.18390000000000001</v>
      </c>
    </row>
    <row r="839" spans="1:10" x14ac:dyDescent="0.35">
      <c r="A839">
        <v>13</v>
      </c>
      <c r="B839" s="16" t="s">
        <v>467</v>
      </c>
      <c r="C839">
        <v>0.39939999999999998</v>
      </c>
      <c r="D839">
        <v>1.41</v>
      </c>
      <c r="E839">
        <v>1.552</v>
      </c>
      <c r="F839">
        <v>11</v>
      </c>
      <c r="G839">
        <v>0.61990000000000001</v>
      </c>
      <c r="H839" t="s">
        <v>452</v>
      </c>
      <c r="I839">
        <v>0.5</v>
      </c>
    </row>
    <row r="840" spans="1:10" x14ac:dyDescent="0.35">
      <c r="A840">
        <v>14</v>
      </c>
      <c r="B840" s="16" t="s">
        <v>469</v>
      </c>
      <c r="C840">
        <v>0.61499999999999999</v>
      </c>
      <c r="D840">
        <v>1.165</v>
      </c>
      <c r="E840">
        <v>1.038</v>
      </c>
      <c r="F840">
        <v>11</v>
      </c>
      <c r="G840">
        <v>0.63849999999999996</v>
      </c>
      <c r="H840" t="s">
        <v>452</v>
      </c>
      <c r="I840">
        <v>0.38840000000000002</v>
      </c>
    </row>
    <row r="841" spans="1:10" x14ac:dyDescent="0.35">
      <c r="A841" t="s">
        <v>701</v>
      </c>
      <c r="B841" s="16"/>
    </row>
    <row r="842" spans="1:10" x14ac:dyDescent="0.35">
      <c r="A842" t="s">
        <v>700</v>
      </c>
      <c r="B842" s="16"/>
    </row>
    <row r="843" spans="1:10" x14ac:dyDescent="0.35">
      <c r="A843" t="s">
        <v>470</v>
      </c>
      <c r="B843" s="16"/>
    </row>
    <row r="844" spans="1:10" x14ac:dyDescent="0.35">
      <c r="A844" t="s">
        <v>471</v>
      </c>
      <c r="B844" s="16"/>
    </row>
    <row r="845" spans="1:10" x14ac:dyDescent="0.35">
      <c r="A845" t="s">
        <v>952</v>
      </c>
      <c r="B845" s="16"/>
      <c r="J845">
        <v>31</v>
      </c>
    </row>
    <row r="846" spans="1:10" x14ac:dyDescent="0.35">
      <c r="A846" t="s">
        <v>700</v>
      </c>
      <c r="B846" s="16"/>
    </row>
    <row r="847" spans="1:10" x14ac:dyDescent="0.35">
      <c r="A847" t="s">
        <v>438</v>
      </c>
      <c r="B847" s="16"/>
    </row>
    <row r="848" spans="1:10" x14ac:dyDescent="0.35">
      <c r="A848" t="s">
        <v>439</v>
      </c>
      <c r="B848" s="16"/>
    </row>
    <row r="849" spans="1:9" x14ac:dyDescent="0.35">
      <c r="A849" t="s">
        <v>441</v>
      </c>
      <c r="B849" s="16"/>
    </row>
    <row r="850" spans="1:9" x14ac:dyDescent="0.35">
      <c r="A850" t="s">
        <v>701</v>
      </c>
      <c r="B850" s="16"/>
    </row>
    <row r="851" spans="1:9" x14ac:dyDescent="0.35">
      <c r="A851" t="s">
        <v>442</v>
      </c>
      <c r="B851" s="16" t="s">
        <v>443</v>
      </c>
      <c r="C851" t="s">
        <v>444</v>
      </c>
      <c r="D851" t="s">
        <v>445</v>
      </c>
      <c r="E851" t="s">
        <v>445</v>
      </c>
      <c r="F851" t="s">
        <v>446</v>
      </c>
      <c r="G851" t="s">
        <v>447</v>
      </c>
      <c r="H851" t="s">
        <v>448</v>
      </c>
      <c r="I851" t="s">
        <v>448</v>
      </c>
    </row>
    <row r="852" spans="1:9" x14ac:dyDescent="0.35">
      <c r="A852" t="s">
        <v>450</v>
      </c>
      <c r="B852" s="16" t="s">
        <v>451</v>
      </c>
      <c r="C852" t="s">
        <v>452</v>
      </c>
      <c r="D852" t="s">
        <v>453</v>
      </c>
      <c r="E852" t="s">
        <v>454</v>
      </c>
      <c r="F852" t="s">
        <v>455</v>
      </c>
      <c r="G852" t="s">
        <v>456</v>
      </c>
      <c r="H852" t="s">
        <v>457</v>
      </c>
      <c r="I852" t="s">
        <v>458</v>
      </c>
    </row>
    <row r="853" spans="1:9" x14ac:dyDescent="0.35">
      <c r="A853" t="s">
        <v>702</v>
      </c>
      <c r="B853" s="16" t="s">
        <v>703</v>
      </c>
      <c r="C853" t="s">
        <v>704</v>
      </c>
      <c r="D853" t="s">
        <v>704</v>
      </c>
      <c r="E853" t="s">
        <v>704</v>
      </c>
      <c r="F853" t="s">
        <v>705</v>
      </c>
      <c r="G853" t="s">
        <v>704</v>
      </c>
      <c r="H853" t="s">
        <v>704</v>
      </c>
      <c r="I853" t="s">
        <v>704</v>
      </c>
    </row>
    <row r="854" spans="1:9" x14ac:dyDescent="0.35">
      <c r="A854">
        <v>1</v>
      </c>
      <c r="B854" s="16" t="s">
        <v>527</v>
      </c>
      <c r="C854" s="4">
        <v>1.4409999999999999E-5</v>
      </c>
      <c r="D854">
        <v>1.032</v>
      </c>
      <c r="E854">
        <v>0.78949999999999998</v>
      </c>
      <c r="F854">
        <v>10</v>
      </c>
      <c r="G854" s="4">
        <v>1.137E-5</v>
      </c>
      <c r="H854" s="4">
        <v>6.2669999999999995E-5</v>
      </c>
      <c r="I854" s="4">
        <v>2.9940000000000001E-5</v>
      </c>
    </row>
    <row r="855" spans="1:9" x14ac:dyDescent="0.35">
      <c r="A855">
        <v>2</v>
      </c>
      <c r="B855" s="16" t="s">
        <v>528</v>
      </c>
      <c r="C855">
        <v>0.1321</v>
      </c>
      <c r="D855">
        <v>1.2809999999999999</v>
      </c>
      <c r="E855">
        <v>0.96960000000000002</v>
      </c>
      <c r="F855">
        <v>10</v>
      </c>
      <c r="G855">
        <v>0.12809999999999999</v>
      </c>
      <c r="H855">
        <v>0.70569999999999999</v>
      </c>
      <c r="I855">
        <v>0.3372</v>
      </c>
    </row>
    <row r="856" spans="1:9" x14ac:dyDescent="0.35">
      <c r="A856">
        <v>3</v>
      </c>
      <c r="B856" s="16" t="s">
        <v>529</v>
      </c>
      <c r="C856">
        <v>2.366E-2</v>
      </c>
      <c r="D856">
        <v>1.335</v>
      </c>
      <c r="E856">
        <v>1.4359999999999999</v>
      </c>
      <c r="F856">
        <v>10</v>
      </c>
      <c r="G856">
        <v>3.3980000000000003E-2</v>
      </c>
      <c r="H856">
        <v>0.18729999999999999</v>
      </c>
      <c r="I856">
        <v>8.9469999999999994E-2</v>
      </c>
    </row>
    <row r="857" spans="1:9" x14ac:dyDescent="0.35">
      <c r="A857">
        <v>4</v>
      </c>
      <c r="B857" s="16" t="s">
        <v>530</v>
      </c>
      <c r="C857">
        <v>2.827E-2</v>
      </c>
      <c r="D857">
        <v>1.4239999999999999</v>
      </c>
      <c r="E857">
        <v>0.68659999999999999</v>
      </c>
      <c r="F857">
        <v>10</v>
      </c>
      <c r="G857">
        <v>1.941E-2</v>
      </c>
      <c r="H857">
        <v>0.107</v>
      </c>
      <c r="I857">
        <v>5.1110000000000003E-2</v>
      </c>
    </row>
    <row r="858" spans="1:9" x14ac:dyDescent="0.35">
      <c r="A858">
        <v>5</v>
      </c>
      <c r="B858" s="16" t="s">
        <v>531</v>
      </c>
      <c r="C858" s="4">
        <v>3.3210000000000002E-7</v>
      </c>
      <c r="D858">
        <v>1.8</v>
      </c>
      <c r="E858">
        <v>1.258</v>
      </c>
      <c r="F858">
        <v>10</v>
      </c>
      <c r="G858" s="4">
        <v>4.178E-7</v>
      </c>
      <c r="H858" s="4">
        <v>2.3020000000000002E-6</v>
      </c>
      <c r="I858" s="4">
        <v>1.1000000000000001E-6</v>
      </c>
    </row>
    <row r="859" spans="1:9" x14ac:dyDescent="0.35">
      <c r="A859">
        <v>6</v>
      </c>
      <c r="B859" s="16" t="s">
        <v>464</v>
      </c>
      <c r="C859">
        <v>0.38590000000000002</v>
      </c>
      <c r="D859">
        <v>0.87509999999999999</v>
      </c>
      <c r="E859">
        <v>0.51390000000000002</v>
      </c>
      <c r="F859">
        <v>10</v>
      </c>
      <c r="G859">
        <v>0.1983</v>
      </c>
      <c r="H859" t="s">
        <v>452</v>
      </c>
      <c r="I859">
        <v>0.5222</v>
      </c>
    </row>
    <row r="860" spans="1:9" x14ac:dyDescent="0.35">
      <c r="A860">
        <v>7</v>
      </c>
      <c r="B860" s="16" t="s">
        <v>466</v>
      </c>
      <c r="C860">
        <v>0.61950000000000005</v>
      </c>
      <c r="D860">
        <v>0.4793</v>
      </c>
      <c r="E860">
        <v>0.26350000000000001</v>
      </c>
      <c r="F860">
        <v>10</v>
      </c>
      <c r="G860">
        <v>0.16320000000000001</v>
      </c>
      <c r="H860" t="s">
        <v>452</v>
      </c>
      <c r="I860">
        <v>0.47360000000000002</v>
      </c>
    </row>
    <row r="861" spans="1:9" x14ac:dyDescent="0.35">
      <c r="A861">
        <v>8</v>
      </c>
      <c r="B861" s="16" t="s">
        <v>467</v>
      </c>
      <c r="C861">
        <v>0.33650000000000002</v>
      </c>
      <c r="D861">
        <v>1.079</v>
      </c>
      <c r="E861">
        <v>0.64690000000000003</v>
      </c>
      <c r="F861">
        <v>10</v>
      </c>
      <c r="G861">
        <v>0.2177</v>
      </c>
      <c r="H861" t="s">
        <v>452</v>
      </c>
      <c r="I861">
        <v>0.59609999999999996</v>
      </c>
    </row>
    <row r="862" spans="1:9" x14ac:dyDescent="0.35">
      <c r="A862">
        <v>9</v>
      </c>
      <c r="B862" s="16" t="s">
        <v>469</v>
      </c>
      <c r="C862">
        <v>0.38590000000000002</v>
      </c>
      <c r="D862">
        <v>0.93379999999999996</v>
      </c>
      <c r="E862">
        <v>0.59899999999999998</v>
      </c>
      <c r="F862">
        <v>10</v>
      </c>
      <c r="G862">
        <v>0.23119999999999999</v>
      </c>
      <c r="H862" t="s">
        <v>452</v>
      </c>
      <c r="I862">
        <v>0.56020000000000003</v>
      </c>
    </row>
    <row r="863" spans="1:9" x14ac:dyDescent="0.35">
      <c r="A863" t="s">
        <v>701</v>
      </c>
      <c r="B863" s="16"/>
    </row>
    <row r="864" spans="1:9" x14ac:dyDescent="0.35">
      <c r="A864" t="s">
        <v>700</v>
      </c>
      <c r="B864" s="16"/>
    </row>
    <row r="865" spans="1:10" x14ac:dyDescent="0.35">
      <c r="A865" t="s">
        <v>470</v>
      </c>
      <c r="B865" s="16"/>
    </row>
    <row r="866" spans="1:10" x14ac:dyDescent="0.35">
      <c r="A866" t="s">
        <v>471</v>
      </c>
      <c r="B866" s="16"/>
    </row>
    <row r="867" spans="1:10" x14ac:dyDescent="0.35">
      <c r="A867" t="s">
        <v>953</v>
      </c>
      <c r="B867" s="16"/>
      <c r="J867">
        <v>32</v>
      </c>
    </row>
    <row r="868" spans="1:10" x14ac:dyDescent="0.35">
      <c r="A868" t="s">
        <v>700</v>
      </c>
      <c r="B868" s="16"/>
    </row>
    <row r="869" spans="1:10" x14ac:dyDescent="0.35">
      <c r="A869" t="s">
        <v>438</v>
      </c>
      <c r="B869" s="16"/>
    </row>
    <row r="870" spans="1:10" x14ac:dyDescent="0.35">
      <c r="A870" t="s">
        <v>439</v>
      </c>
      <c r="B870" s="16"/>
    </row>
    <row r="871" spans="1:10" x14ac:dyDescent="0.35">
      <c r="A871" t="s">
        <v>441</v>
      </c>
      <c r="B871" s="16"/>
    </row>
    <row r="872" spans="1:10" x14ac:dyDescent="0.35">
      <c r="A872" t="s">
        <v>701</v>
      </c>
      <c r="B872" s="16"/>
    </row>
    <row r="873" spans="1:10" x14ac:dyDescent="0.35">
      <c r="A873" t="s">
        <v>442</v>
      </c>
      <c r="B873" s="16" t="s">
        <v>443</v>
      </c>
      <c r="C873" t="s">
        <v>444</v>
      </c>
      <c r="D873" t="s">
        <v>445</v>
      </c>
      <c r="E873" t="s">
        <v>445</v>
      </c>
      <c r="F873" t="s">
        <v>446</v>
      </c>
      <c r="G873" t="s">
        <v>447</v>
      </c>
      <c r="H873" t="s">
        <v>448</v>
      </c>
      <c r="I873" t="s">
        <v>448</v>
      </c>
    </row>
    <row r="874" spans="1:10" x14ac:dyDescent="0.35">
      <c r="A874" t="s">
        <v>450</v>
      </c>
      <c r="B874" s="16" t="s">
        <v>451</v>
      </c>
      <c r="C874" t="s">
        <v>452</v>
      </c>
      <c r="D874" t="s">
        <v>453</v>
      </c>
      <c r="E874" t="s">
        <v>454</v>
      </c>
      <c r="F874" t="s">
        <v>455</v>
      </c>
      <c r="G874" t="s">
        <v>456</v>
      </c>
      <c r="H874" t="s">
        <v>457</v>
      </c>
      <c r="I874" t="s">
        <v>458</v>
      </c>
    </row>
    <row r="875" spans="1:10" x14ac:dyDescent="0.35">
      <c r="A875" t="s">
        <v>702</v>
      </c>
      <c r="B875" s="16" t="s">
        <v>703</v>
      </c>
      <c r="C875" t="s">
        <v>704</v>
      </c>
      <c r="D875" t="s">
        <v>704</v>
      </c>
      <c r="E875" t="s">
        <v>704</v>
      </c>
      <c r="F875" t="s">
        <v>705</v>
      </c>
      <c r="G875" t="s">
        <v>704</v>
      </c>
      <c r="H875" t="s">
        <v>704</v>
      </c>
      <c r="I875" t="s">
        <v>704</v>
      </c>
    </row>
    <row r="876" spans="1:10" x14ac:dyDescent="0.35">
      <c r="A876">
        <v>1</v>
      </c>
      <c r="B876" s="16">
        <v>1</v>
      </c>
      <c r="C876">
        <v>1.9429999999999999E-2</v>
      </c>
      <c r="D876">
        <v>1.321</v>
      </c>
      <c r="E876">
        <v>1.177</v>
      </c>
      <c r="F876">
        <v>11</v>
      </c>
      <c r="G876">
        <v>2.2870000000000001E-2</v>
      </c>
      <c r="H876">
        <v>4.616E-2</v>
      </c>
      <c r="I876">
        <v>2.896E-2</v>
      </c>
    </row>
    <row r="877" spans="1:10" x14ac:dyDescent="0.35">
      <c r="A877">
        <v>2</v>
      </c>
      <c r="B877" s="16">
        <v>2</v>
      </c>
      <c r="C877">
        <v>5.1769999999999997E-2</v>
      </c>
      <c r="D877">
        <v>2.2759999999999998</v>
      </c>
      <c r="E877">
        <v>1.907</v>
      </c>
      <c r="F877">
        <v>11</v>
      </c>
      <c r="G877">
        <v>9.8720000000000002E-2</v>
      </c>
      <c r="H877">
        <v>0.1993</v>
      </c>
      <c r="I877">
        <v>0.125</v>
      </c>
    </row>
    <row r="878" spans="1:10" x14ac:dyDescent="0.35">
      <c r="A878">
        <v>3</v>
      </c>
      <c r="B878" s="16">
        <v>3</v>
      </c>
      <c r="C878">
        <v>0.45400000000000001</v>
      </c>
      <c r="D878">
        <v>0.5867</v>
      </c>
      <c r="E878">
        <v>0.73080000000000001</v>
      </c>
      <c r="F878">
        <v>11</v>
      </c>
      <c r="G878">
        <v>0.33169999999999999</v>
      </c>
      <c r="H878">
        <v>0.66959999999999997</v>
      </c>
      <c r="I878">
        <v>0.42009999999999997</v>
      </c>
    </row>
    <row r="879" spans="1:10" x14ac:dyDescent="0.35">
      <c r="A879">
        <v>4</v>
      </c>
      <c r="B879" s="16">
        <v>4</v>
      </c>
      <c r="C879">
        <v>0.1052</v>
      </c>
      <c r="D879">
        <v>0.88529999999999998</v>
      </c>
      <c r="E879">
        <v>0.29949999999999999</v>
      </c>
      <c r="F879">
        <v>11</v>
      </c>
      <c r="G879">
        <v>3.15E-2</v>
      </c>
      <c r="H879">
        <v>6.3579999999999998E-2</v>
      </c>
      <c r="I879">
        <v>3.9890000000000002E-2</v>
      </c>
    </row>
    <row r="880" spans="1:10" x14ac:dyDescent="0.35">
      <c r="A880">
        <v>5</v>
      </c>
      <c r="B880" s="16">
        <v>5</v>
      </c>
      <c r="C880">
        <v>2.9239999999999999E-3</v>
      </c>
      <c r="D880">
        <v>1.726</v>
      </c>
      <c r="E880">
        <v>1.7909999999999999</v>
      </c>
      <c r="F880">
        <v>11</v>
      </c>
      <c r="G880">
        <v>5.2360000000000002E-3</v>
      </c>
      <c r="H880">
        <v>1.057E-2</v>
      </c>
      <c r="I880">
        <v>6.6299999999999996E-3</v>
      </c>
    </row>
    <row r="881" spans="1:10" x14ac:dyDescent="0.35">
      <c r="A881">
        <v>6</v>
      </c>
      <c r="B881" s="16">
        <v>6</v>
      </c>
      <c r="C881">
        <v>3.202E-3</v>
      </c>
      <c r="D881">
        <v>2.1110000000000002</v>
      </c>
      <c r="E881">
        <v>1.5760000000000001</v>
      </c>
      <c r="F881">
        <v>11</v>
      </c>
      <c r="G881">
        <v>5.045E-3</v>
      </c>
      <c r="H881">
        <v>1.018E-2</v>
      </c>
      <c r="I881">
        <v>6.3879999999999996E-3</v>
      </c>
    </row>
    <row r="882" spans="1:10" x14ac:dyDescent="0.35">
      <c r="A882">
        <v>7</v>
      </c>
      <c r="B882" s="16">
        <v>7</v>
      </c>
      <c r="C882" s="4">
        <v>6.9689999999999995E-7</v>
      </c>
      <c r="D882">
        <v>1.69</v>
      </c>
      <c r="E882">
        <v>1.738</v>
      </c>
      <c r="F882">
        <v>11</v>
      </c>
      <c r="G882" s="4">
        <v>1.212E-6</v>
      </c>
      <c r="H882" s="4">
        <v>2.4449999999999999E-6</v>
      </c>
      <c r="I882" s="4">
        <v>1.5340000000000001E-6</v>
      </c>
    </row>
    <row r="883" spans="1:10" x14ac:dyDescent="0.35">
      <c r="A883">
        <v>8</v>
      </c>
      <c r="B883" s="16">
        <v>8</v>
      </c>
      <c r="C883">
        <v>3.0150000000000001E-4</v>
      </c>
      <c r="D883">
        <v>1.2270000000000001</v>
      </c>
      <c r="E883">
        <v>1.123</v>
      </c>
      <c r="F883">
        <v>11</v>
      </c>
      <c r="G883">
        <v>3.3849999999999999E-4</v>
      </c>
      <c r="H883">
        <v>6.8320000000000002E-4</v>
      </c>
      <c r="I883">
        <v>4.2860000000000001E-4</v>
      </c>
    </row>
    <row r="884" spans="1:10" x14ac:dyDescent="0.35">
      <c r="A884">
        <v>9</v>
      </c>
      <c r="B884" s="16" t="s">
        <v>464</v>
      </c>
      <c r="C884">
        <v>0.53559999999999997</v>
      </c>
      <c r="D884">
        <v>0.58320000000000005</v>
      </c>
      <c r="E884">
        <v>0.5494</v>
      </c>
      <c r="F884">
        <v>11</v>
      </c>
      <c r="G884">
        <v>0.29430000000000001</v>
      </c>
      <c r="H884" t="s">
        <v>452</v>
      </c>
      <c r="I884">
        <v>0.37259999999999999</v>
      </c>
    </row>
    <row r="885" spans="1:10" x14ac:dyDescent="0.35">
      <c r="A885">
        <v>10</v>
      </c>
      <c r="B885" s="16" t="s">
        <v>466</v>
      </c>
      <c r="C885">
        <v>0.7046</v>
      </c>
      <c r="D885">
        <v>0.77580000000000005</v>
      </c>
      <c r="E885">
        <v>0.57489999999999997</v>
      </c>
      <c r="F885">
        <v>11</v>
      </c>
      <c r="G885">
        <v>0.40510000000000002</v>
      </c>
      <c r="H885" t="s">
        <v>452</v>
      </c>
      <c r="I885">
        <v>0.44979999999999998</v>
      </c>
    </row>
    <row r="886" spans="1:10" x14ac:dyDescent="0.35">
      <c r="A886">
        <v>11</v>
      </c>
      <c r="B886" s="16" t="s">
        <v>467</v>
      </c>
      <c r="C886">
        <v>0.7046</v>
      </c>
      <c r="D886">
        <v>0.57430000000000003</v>
      </c>
      <c r="E886">
        <v>0.54069999999999996</v>
      </c>
      <c r="F886">
        <v>11</v>
      </c>
      <c r="G886">
        <v>0.38100000000000001</v>
      </c>
      <c r="H886" t="s">
        <v>452</v>
      </c>
      <c r="I886">
        <v>0.45200000000000001</v>
      </c>
    </row>
    <row r="887" spans="1:10" x14ac:dyDescent="0.35">
      <c r="A887">
        <v>12</v>
      </c>
      <c r="B887" s="16" t="s">
        <v>469</v>
      </c>
      <c r="C887">
        <v>0.7046</v>
      </c>
      <c r="D887">
        <v>0.74309999999999998</v>
      </c>
      <c r="E887">
        <v>0.62250000000000005</v>
      </c>
      <c r="F887">
        <v>11</v>
      </c>
      <c r="G887">
        <v>0.43859999999999999</v>
      </c>
      <c r="H887" t="s">
        <v>452</v>
      </c>
      <c r="I887">
        <v>0.47239999999999999</v>
      </c>
    </row>
    <row r="888" spans="1:10" x14ac:dyDescent="0.35">
      <c r="A888" t="s">
        <v>701</v>
      </c>
      <c r="B888" s="16"/>
    </row>
    <row r="889" spans="1:10" x14ac:dyDescent="0.35">
      <c r="A889" t="s">
        <v>700</v>
      </c>
      <c r="B889" s="16"/>
    </row>
    <row r="890" spans="1:10" x14ac:dyDescent="0.35">
      <c r="A890" t="s">
        <v>470</v>
      </c>
      <c r="B890" s="16"/>
    </row>
    <row r="891" spans="1:10" x14ac:dyDescent="0.35">
      <c r="A891" t="s">
        <v>471</v>
      </c>
      <c r="B891" s="16"/>
    </row>
    <row r="892" spans="1:10" x14ac:dyDescent="0.35">
      <c r="A892" t="s">
        <v>637</v>
      </c>
      <c r="B892" s="16"/>
      <c r="J892">
        <v>33</v>
      </c>
    </row>
    <row r="893" spans="1:10" x14ac:dyDescent="0.35">
      <c r="A893" t="s">
        <v>700</v>
      </c>
      <c r="B893" s="16"/>
    </row>
    <row r="894" spans="1:10" x14ac:dyDescent="0.35">
      <c r="A894" t="s">
        <v>438</v>
      </c>
      <c r="B894" s="16"/>
    </row>
    <row r="895" spans="1:10" x14ac:dyDescent="0.35">
      <c r="A895" t="s">
        <v>439</v>
      </c>
      <c r="B895" s="16"/>
    </row>
    <row r="896" spans="1:10" x14ac:dyDescent="0.35">
      <c r="A896" t="s">
        <v>441</v>
      </c>
      <c r="B896" s="16"/>
    </row>
    <row r="897" spans="1:9" x14ac:dyDescent="0.35">
      <c r="A897" t="s">
        <v>701</v>
      </c>
      <c r="B897" s="16"/>
    </row>
    <row r="898" spans="1:9" x14ac:dyDescent="0.35">
      <c r="A898" t="s">
        <v>442</v>
      </c>
      <c r="B898" s="16" t="s">
        <v>443</v>
      </c>
      <c r="C898" t="s">
        <v>444</v>
      </c>
      <c r="D898" t="s">
        <v>445</v>
      </c>
      <c r="E898" t="s">
        <v>445</v>
      </c>
      <c r="F898" t="s">
        <v>446</v>
      </c>
      <c r="G898" t="s">
        <v>447</v>
      </c>
      <c r="H898" t="s">
        <v>448</v>
      </c>
      <c r="I898" t="s">
        <v>448</v>
      </c>
    </row>
    <row r="899" spans="1:9" x14ac:dyDescent="0.35">
      <c r="A899" t="s">
        <v>450</v>
      </c>
      <c r="B899" s="16" t="s">
        <v>451</v>
      </c>
      <c r="C899" t="s">
        <v>452</v>
      </c>
      <c r="D899" t="s">
        <v>453</v>
      </c>
      <c r="E899" t="s">
        <v>454</v>
      </c>
      <c r="F899" t="s">
        <v>455</v>
      </c>
      <c r="G899" t="s">
        <v>456</v>
      </c>
      <c r="H899" t="s">
        <v>457</v>
      </c>
      <c r="I899" t="s">
        <v>458</v>
      </c>
    </row>
    <row r="900" spans="1:9" x14ac:dyDescent="0.35">
      <c r="A900" t="s">
        <v>702</v>
      </c>
      <c r="B900" s="16" t="s">
        <v>703</v>
      </c>
      <c r="C900" t="s">
        <v>704</v>
      </c>
      <c r="D900" t="s">
        <v>704</v>
      </c>
      <c r="E900" t="s">
        <v>704</v>
      </c>
      <c r="F900" t="s">
        <v>705</v>
      </c>
      <c r="G900" t="s">
        <v>704</v>
      </c>
      <c r="H900" t="s">
        <v>704</v>
      </c>
      <c r="I900" t="s">
        <v>704</v>
      </c>
    </row>
    <row r="901" spans="1:9" x14ac:dyDescent="0.35">
      <c r="A901">
        <v>1</v>
      </c>
      <c r="B901" s="16">
        <v>1</v>
      </c>
      <c r="C901">
        <v>2.6589999999999999E-2</v>
      </c>
      <c r="D901">
        <v>0.9</v>
      </c>
      <c r="E901">
        <v>0.63160000000000005</v>
      </c>
      <c r="F901">
        <v>10</v>
      </c>
      <c r="G901">
        <v>1.6789999999999999E-2</v>
      </c>
      <c r="H901">
        <v>7.2059999999999999E-2</v>
      </c>
      <c r="I901">
        <v>4.548E-2</v>
      </c>
    </row>
    <row r="902" spans="1:9" x14ac:dyDescent="0.35">
      <c r="A902">
        <v>2</v>
      </c>
      <c r="B902" s="16">
        <v>2</v>
      </c>
      <c r="C902">
        <v>1.651E-2</v>
      </c>
      <c r="D902">
        <v>0.45550000000000002</v>
      </c>
      <c r="E902">
        <v>0.4612</v>
      </c>
      <c r="F902">
        <v>10</v>
      </c>
      <c r="G902">
        <v>7.6150000000000002E-3</v>
      </c>
      <c r="H902">
        <v>3.2669999999999998E-2</v>
      </c>
      <c r="I902">
        <v>2.0619999999999999E-2</v>
      </c>
    </row>
    <row r="903" spans="1:9" x14ac:dyDescent="0.35">
      <c r="A903">
        <v>3</v>
      </c>
      <c r="B903" s="16">
        <v>3</v>
      </c>
      <c r="C903">
        <v>0.44740000000000002</v>
      </c>
      <c r="D903">
        <v>0.67610000000000003</v>
      </c>
      <c r="E903">
        <v>0.46629999999999999</v>
      </c>
      <c r="F903">
        <v>10</v>
      </c>
      <c r="G903">
        <v>0.20860000000000001</v>
      </c>
      <c r="H903">
        <v>0.8952</v>
      </c>
      <c r="I903">
        <v>0.56510000000000005</v>
      </c>
    </row>
    <row r="904" spans="1:9" x14ac:dyDescent="0.35">
      <c r="A904">
        <v>4</v>
      </c>
      <c r="B904" s="16">
        <v>4</v>
      </c>
      <c r="C904" s="4">
        <v>5.5589999999999996E-6</v>
      </c>
      <c r="D904">
        <v>0.98729999999999996</v>
      </c>
      <c r="E904">
        <v>0.9899</v>
      </c>
      <c r="F904">
        <v>10</v>
      </c>
      <c r="G904" s="4">
        <v>5.502E-6</v>
      </c>
      <c r="H904" s="4">
        <v>2.3609999999999999E-5</v>
      </c>
      <c r="I904" s="4">
        <v>1.49E-5</v>
      </c>
    </row>
    <row r="905" spans="1:9" x14ac:dyDescent="0.35">
      <c r="A905">
        <v>5</v>
      </c>
      <c r="B905" s="16" t="s">
        <v>464</v>
      </c>
      <c r="C905">
        <v>0.44740000000000002</v>
      </c>
      <c r="D905">
        <v>0.42409999999999998</v>
      </c>
      <c r="E905">
        <v>0.3044</v>
      </c>
      <c r="F905">
        <v>10</v>
      </c>
      <c r="G905">
        <v>0.13619999999999999</v>
      </c>
      <c r="H905" t="s">
        <v>452</v>
      </c>
      <c r="I905">
        <v>0.36880000000000002</v>
      </c>
    </row>
    <row r="906" spans="1:9" x14ac:dyDescent="0.35">
      <c r="A906">
        <v>6</v>
      </c>
      <c r="B906" s="16" t="s">
        <v>466</v>
      </c>
      <c r="C906">
        <v>0.21779999999999999</v>
      </c>
      <c r="D906">
        <v>0.1981</v>
      </c>
      <c r="E906">
        <v>0.19719999999999999</v>
      </c>
      <c r="F906">
        <v>10</v>
      </c>
      <c r="G906">
        <v>4.2959999999999998E-2</v>
      </c>
      <c r="H906" t="s">
        <v>452</v>
      </c>
      <c r="I906">
        <v>0.15570000000000001</v>
      </c>
    </row>
    <row r="907" spans="1:9" x14ac:dyDescent="0.35">
      <c r="A907">
        <v>7</v>
      </c>
      <c r="B907" s="16" t="s">
        <v>467</v>
      </c>
      <c r="C907">
        <v>0.44740000000000002</v>
      </c>
      <c r="D907">
        <v>0.67610000000000003</v>
      </c>
      <c r="E907">
        <v>0.46629999999999999</v>
      </c>
      <c r="F907">
        <v>10</v>
      </c>
      <c r="G907">
        <v>0.20860000000000001</v>
      </c>
      <c r="H907" t="s">
        <v>452</v>
      </c>
      <c r="I907">
        <v>0.5</v>
      </c>
    </row>
    <row r="908" spans="1:9" x14ac:dyDescent="0.35">
      <c r="A908">
        <v>8</v>
      </c>
      <c r="B908" s="16" t="s">
        <v>469</v>
      </c>
      <c r="C908">
        <v>0.44740000000000002</v>
      </c>
      <c r="D908">
        <v>0.67610000000000003</v>
      </c>
      <c r="E908">
        <v>0.46629999999999999</v>
      </c>
      <c r="F908">
        <v>10</v>
      </c>
      <c r="G908">
        <v>0.20860000000000001</v>
      </c>
      <c r="H908" t="s">
        <v>452</v>
      </c>
      <c r="I908">
        <v>0.5</v>
      </c>
    </row>
    <row r="909" spans="1:9" x14ac:dyDescent="0.35">
      <c r="A909" t="s">
        <v>701</v>
      </c>
      <c r="B909" s="16"/>
    </row>
    <row r="910" spans="1:9" x14ac:dyDescent="0.35">
      <c r="A910" t="s">
        <v>700</v>
      </c>
      <c r="B910" s="16"/>
    </row>
    <row r="911" spans="1:9" x14ac:dyDescent="0.35">
      <c r="A911" t="s">
        <v>470</v>
      </c>
      <c r="B911" s="16"/>
    </row>
    <row r="912" spans="1:9" x14ac:dyDescent="0.35">
      <c r="A912" t="s">
        <v>471</v>
      </c>
      <c r="B912" s="16"/>
    </row>
    <row r="913" spans="1:10" x14ac:dyDescent="0.35">
      <c r="A913" t="s">
        <v>691</v>
      </c>
      <c r="B913" s="16"/>
      <c r="J913">
        <v>34</v>
      </c>
    </row>
    <row r="914" spans="1:10" x14ac:dyDescent="0.35">
      <c r="A914" t="s">
        <v>700</v>
      </c>
      <c r="B914" s="16"/>
    </row>
    <row r="915" spans="1:10" x14ac:dyDescent="0.35">
      <c r="A915" t="s">
        <v>438</v>
      </c>
      <c r="B915" s="16"/>
    </row>
    <row r="916" spans="1:10" x14ac:dyDescent="0.35">
      <c r="A916" t="s">
        <v>439</v>
      </c>
      <c r="B916" s="16"/>
    </row>
    <row r="917" spans="1:10" x14ac:dyDescent="0.35">
      <c r="A917" t="s">
        <v>441</v>
      </c>
      <c r="B917" s="16"/>
    </row>
    <row r="918" spans="1:10" x14ac:dyDescent="0.35">
      <c r="A918" t="s">
        <v>701</v>
      </c>
      <c r="B918" s="16"/>
    </row>
    <row r="919" spans="1:10" x14ac:dyDescent="0.35">
      <c r="A919" t="s">
        <v>442</v>
      </c>
      <c r="B919" s="16" t="s">
        <v>443</v>
      </c>
      <c r="C919" t="s">
        <v>444</v>
      </c>
      <c r="D919" t="s">
        <v>445</v>
      </c>
      <c r="E919" t="s">
        <v>445</v>
      </c>
      <c r="F919" t="s">
        <v>446</v>
      </c>
      <c r="G919" t="s">
        <v>447</v>
      </c>
      <c r="H919" t="s">
        <v>448</v>
      </c>
      <c r="I919" t="s">
        <v>448</v>
      </c>
    </row>
    <row r="920" spans="1:10" x14ac:dyDescent="0.35">
      <c r="A920" t="s">
        <v>450</v>
      </c>
      <c r="B920" s="16" t="s">
        <v>451</v>
      </c>
      <c r="C920" t="s">
        <v>452</v>
      </c>
      <c r="D920" t="s">
        <v>453</v>
      </c>
      <c r="E920" t="s">
        <v>454</v>
      </c>
      <c r="F920" t="s">
        <v>455</v>
      </c>
      <c r="G920" t="s">
        <v>456</v>
      </c>
      <c r="H920" t="s">
        <v>457</v>
      </c>
      <c r="I920" t="s">
        <v>458</v>
      </c>
    </row>
    <row r="921" spans="1:10" x14ac:dyDescent="0.35">
      <c r="A921" t="s">
        <v>702</v>
      </c>
      <c r="B921" s="16" t="s">
        <v>703</v>
      </c>
      <c r="C921" t="s">
        <v>704</v>
      </c>
      <c r="D921" t="s">
        <v>704</v>
      </c>
      <c r="E921" t="s">
        <v>704</v>
      </c>
      <c r="F921" t="s">
        <v>705</v>
      </c>
      <c r="G921" t="s">
        <v>704</v>
      </c>
      <c r="H921" t="s">
        <v>704</v>
      </c>
      <c r="I921" t="s">
        <v>704</v>
      </c>
    </row>
    <row r="922" spans="1:10" x14ac:dyDescent="0.35">
      <c r="A922">
        <v>1</v>
      </c>
      <c r="B922" s="16" t="s">
        <v>692</v>
      </c>
      <c r="C922">
        <v>2.0599999999999999E-4</v>
      </c>
      <c r="D922">
        <v>0.70669999999999999</v>
      </c>
      <c r="E922">
        <v>0.86519999999999997</v>
      </c>
      <c r="F922">
        <v>14</v>
      </c>
      <c r="G922">
        <v>1.7819999999999999E-4</v>
      </c>
      <c r="H922">
        <v>6.5280000000000004E-4</v>
      </c>
      <c r="I922">
        <v>2.921E-4</v>
      </c>
    </row>
    <row r="923" spans="1:10" x14ac:dyDescent="0.35">
      <c r="A923">
        <v>2</v>
      </c>
      <c r="B923" s="16" t="s">
        <v>491</v>
      </c>
      <c r="C923">
        <v>1.1900000000000001E-2</v>
      </c>
      <c r="D923">
        <v>0.47139999999999999</v>
      </c>
      <c r="E923">
        <v>0.51649999999999996</v>
      </c>
      <c r="F923">
        <v>14</v>
      </c>
      <c r="G923">
        <v>6.1469999999999997E-3</v>
      </c>
      <c r="H923">
        <v>2.2519999999999998E-2</v>
      </c>
      <c r="I923">
        <v>1.008E-2</v>
      </c>
    </row>
    <row r="924" spans="1:10" x14ac:dyDescent="0.35">
      <c r="A924">
        <v>3</v>
      </c>
      <c r="B924" s="16" t="s">
        <v>492</v>
      </c>
      <c r="C924" s="4">
        <v>6.8019999999999999E-10</v>
      </c>
      <c r="D924">
        <v>0.93659999999999999</v>
      </c>
      <c r="E924">
        <v>1.0900000000000001</v>
      </c>
      <c r="F924">
        <v>14</v>
      </c>
      <c r="G924" s="4">
        <v>7.4149999999999997E-10</v>
      </c>
      <c r="H924" s="4">
        <v>2.7160000000000001E-9</v>
      </c>
      <c r="I924" s="4">
        <v>1.215E-9</v>
      </c>
    </row>
    <row r="925" spans="1:10" x14ac:dyDescent="0.35">
      <c r="A925">
        <v>4</v>
      </c>
      <c r="B925" s="16" t="s">
        <v>493</v>
      </c>
      <c r="C925">
        <v>0.56910000000000005</v>
      </c>
      <c r="D925">
        <v>0.4526</v>
      </c>
      <c r="E925">
        <v>0.46060000000000001</v>
      </c>
      <c r="F925">
        <v>14</v>
      </c>
      <c r="G925">
        <v>0.2621</v>
      </c>
      <c r="H925">
        <v>0.96030000000000004</v>
      </c>
      <c r="I925">
        <v>0.42970000000000003</v>
      </c>
    </row>
    <row r="926" spans="1:10" x14ac:dyDescent="0.35">
      <c r="A926">
        <v>5</v>
      </c>
      <c r="B926" s="16" t="s">
        <v>494</v>
      </c>
      <c r="C926" s="4">
        <v>1.983E-7</v>
      </c>
      <c r="D926">
        <v>1.2150000000000001</v>
      </c>
      <c r="E926">
        <v>1.179</v>
      </c>
      <c r="F926">
        <v>14</v>
      </c>
      <c r="G926" s="4">
        <v>2.339E-7</v>
      </c>
      <c r="H926" s="4">
        <v>8.5669999999999999E-7</v>
      </c>
      <c r="I926" s="4">
        <v>3.833E-7</v>
      </c>
    </row>
    <row r="927" spans="1:10" x14ac:dyDescent="0.35">
      <c r="A927">
        <v>6</v>
      </c>
      <c r="B927" s="16" t="s">
        <v>495</v>
      </c>
      <c r="C927" s="4">
        <v>1.314E-5</v>
      </c>
      <c r="D927">
        <v>0.82399999999999995</v>
      </c>
      <c r="E927">
        <v>0.71299999999999997</v>
      </c>
      <c r="F927">
        <v>14</v>
      </c>
      <c r="G927" s="4">
        <v>9.3710000000000006E-6</v>
      </c>
      <c r="H927" s="4">
        <v>3.4329999999999998E-5</v>
      </c>
      <c r="I927" s="4">
        <v>1.5359999999999999E-5</v>
      </c>
    </row>
    <row r="928" spans="1:10" x14ac:dyDescent="0.35">
      <c r="A928">
        <v>7</v>
      </c>
      <c r="B928" s="16" t="s">
        <v>496</v>
      </c>
      <c r="C928" s="4">
        <v>1.192E-7</v>
      </c>
      <c r="D928">
        <v>1.2150000000000001</v>
      </c>
      <c r="E928">
        <v>1.1950000000000001</v>
      </c>
      <c r="F928">
        <v>14</v>
      </c>
      <c r="G928" s="4">
        <v>1.4250000000000001E-7</v>
      </c>
      <c r="H928" s="4">
        <v>5.2180000000000003E-7</v>
      </c>
      <c r="I928" s="4">
        <v>2.3349999999999999E-7</v>
      </c>
    </row>
    <row r="929" spans="1:10" x14ac:dyDescent="0.35">
      <c r="A929">
        <v>8</v>
      </c>
      <c r="B929" s="16" t="s">
        <v>497</v>
      </c>
      <c r="C929">
        <v>3.6200000000000002E-4</v>
      </c>
      <c r="D929">
        <v>1.165</v>
      </c>
      <c r="E929">
        <v>1.1379999999999999</v>
      </c>
      <c r="F929">
        <v>14</v>
      </c>
      <c r="G929">
        <v>4.1189999999999998E-4</v>
      </c>
      <c r="H929">
        <v>1.5089999999999999E-3</v>
      </c>
      <c r="I929">
        <v>6.7520000000000004E-4</v>
      </c>
    </row>
    <row r="930" spans="1:10" x14ac:dyDescent="0.35">
      <c r="A930">
        <v>9</v>
      </c>
      <c r="B930" s="16" t="s">
        <v>498</v>
      </c>
      <c r="C930" s="4">
        <v>2.5479999999999999E-11</v>
      </c>
      <c r="D930">
        <v>0.88380000000000003</v>
      </c>
      <c r="E930">
        <v>0.80249999999999999</v>
      </c>
      <c r="F930">
        <v>14</v>
      </c>
      <c r="G930" s="4">
        <v>2.0450000000000001E-11</v>
      </c>
      <c r="H930" s="4">
        <v>7.4910000000000003E-11</v>
      </c>
      <c r="I930" s="4">
        <v>3.3519999999999998E-11</v>
      </c>
    </row>
    <row r="931" spans="1:10" x14ac:dyDescent="0.35">
      <c r="A931">
        <v>10</v>
      </c>
      <c r="B931" s="16" t="s">
        <v>499</v>
      </c>
      <c r="C931" s="4">
        <v>1.7609999999999999E-5</v>
      </c>
      <c r="D931">
        <v>0.85770000000000002</v>
      </c>
      <c r="E931">
        <v>0.89800000000000002</v>
      </c>
      <c r="F931">
        <v>14</v>
      </c>
      <c r="G931" s="4">
        <v>1.5809999999999999E-5</v>
      </c>
      <c r="H931" s="4">
        <v>5.7930000000000003E-5</v>
      </c>
      <c r="I931" s="4">
        <v>2.5919999999999999E-5</v>
      </c>
    </row>
    <row r="932" spans="1:10" x14ac:dyDescent="0.35">
      <c r="A932">
        <v>11</v>
      </c>
      <c r="B932" s="16" t="s">
        <v>500</v>
      </c>
      <c r="C932">
        <v>4.411E-3</v>
      </c>
      <c r="D932">
        <v>0.84240000000000004</v>
      </c>
      <c r="E932">
        <v>0.92589999999999995</v>
      </c>
      <c r="F932">
        <v>14</v>
      </c>
      <c r="G932">
        <v>4.084E-3</v>
      </c>
      <c r="H932">
        <v>1.4959999999999999E-2</v>
      </c>
      <c r="I932">
        <v>6.6950000000000004E-3</v>
      </c>
    </row>
    <row r="933" spans="1:10" x14ac:dyDescent="0.35">
      <c r="A933">
        <v>12</v>
      </c>
      <c r="B933" s="16" t="s">
        <v>464</v>
      </c>
      <c r="C933">
        <v>0.96830000000000005</v>
      </c>
      <c r="D933">
        <v>0.34839999999999999</v>
      </c>
      <c r="E933">
        <v>0.34810000000000002</v>
      </c>
      <c r="F933">
        <v>14</v>
      </c>
      <c r="G933">
        <v>0.33710000000000001</v>
      </c>
      <c r="H933" t="s">
        <v>452</v>
      </c>
      <c r="I933">
        <v>0.55249999999999999</v>
      </c>
    </row>
    <row r="934" spans="1:10" x14ac:dyDescent="0.35">
      <c r="A934">
        <v>13</v>
      </c>
      <c r="B934" s="16" t="s">
        <v>466</v>
      </c>
      <c r="C934">
        <v>3.8670000000000003E-2</v>
      </c>
      <c r="D934">
        <v>0.1356</v>
      </c>
      <c r="E934">
        <v>0.1318</v>
      </c>
      <c r="F934">
        <v>14</v>
      </c>
      <c r="G934">
        <v>5.0980000000000001E-3</v>
      </c>
      <c r="H934" t="s">
        <v>452</v>
      </c>
      <c r="I934">
        <v>1.8329999999999999E-2</v>
      </c>
    </row>
    <row r="935" spans="1:10" x14ac:dyDescent="0.35">
      <c r="A935">
        <v>14</v>
      </c>
      <c r="B935" s="16" t="s">
        <v>467</v>
      </c>
      <c r="C935">
        <v>0.96830000000000005</v>
      </c>
      <c r="D935">
        <v>0.38179999999999997</v>
      </c>
      <c r="E935">
        <v>0.36809999999999998</v>
      </c>
      <c r="F935">
        <v>14</v>
      </c>
      <c r="G935">
        <v>0.35649999999999998</v>
      </c>
      <c r="H935" t="s">
        <v>452</v>
      </c>
      <c r="I935">
        <v>0.5706</v>
      </c>
    </row>
    <row r="936" spans="1:10" x14ac:dyDescent="0.35">
      <c r="A936">
        <v>15</v>
      </c>
      <c r="B936" s="16" t="s">
        <v>469</v>
      </c>
      <c r="C936">
        <v>0.96830000000000005</v>
      </c>
      <c r="D936">
        <v>0.3916</v>
      </c>
      <c r="E936">
        <v>0.38040000000000002</v>
      </c>
      <c r="F936">
        <v>14</v>
      </c>
      <c r="G936">
        <v>0.36830000000000002</v>
      </c>
      <c r="H936" t="s">
        <v>452</v>
      </c>
      <c r="I936">
        <v>0.5786</v>
      </c>
    </row>
    <row r="937" spans="1:10" x14ac:dyDescent="0.35">
      <c r="A937" t="s">
        <v>701</v>
      </c>
      <c r="B937" s="16"/>
    </row>
    <row r="938" spans="1:10" x14ac:dyDescent="0.35">
      <c r="A938" t="s">
        <v>700</v>
      </c>
      <c r="B938" s="16"/>
    </row>
    <row r="939" spans="1:10" x14ac:dyDescent="0.35">
      <c r="A939" t="s">
        <v>470</v>
      </c>
      <c r="B939" s="16"/>
    </row>
    <row r="940" spans="1:10" x14ac:dyDescent="0.35">
      <c r="A940" t="s">
        <v>471</v>
      </c>
      <c r="B940" s="16"/>
    </row>
    <row r="941" spans="1:10" x14ac:dyDescent="0.35">
      <c r="A941" t="s">
        <v>954</v>
      </c>
      <c r="B941" s="16"/>
      <c r="J941">
        <v>35</v>
      </c>
    </row>
    <row r="942" spans="1:10" x14ac:dyDescent="0.35">
      <c r="A942" t="s">
        <v>700</v>
      </c>
      <c r="B942" s="16"/>
    </row>
    <row r="943" spans="1:10" x14ac:dyDescent="0.35">
      <c r="A943" t="s">
        <v>438</v>
      </c>
      <c r="B943" s="16"/>
    </row>
    <row r="944" spans="1:10" x14ac:dyDescent="0.35">
      <c r="A944" t="s">
        <v>439</v>
      </c>
      <c r="B944" s="16"/>
    </row>
    <row r="945" spans="1:9" x14ac:dyDescent="0.35">
      <c r="A945" t="s">
        <v>441</v>
      </c>
      <c r="B945" s="16"/>
    </row>
    <row r="946" spans="1:9" x14ac:dyDescent="0.35">
      <c r="A946" t="s">
        <v>701</v>
      </c>
      <c r="B946" s="16"/>
    </row>
    <row r="947" spans="1:9" x14ac:dyDescent="0.35">
      <c r="A947" t="s">
        <v>442</v>
      </c>
      <c r="B947" s="16" t="s">
        <v>443</v>
      </c>
      <c r="C947" t="s">
        <v>444</v>
      </c>
      <c r="D947" t="s">
        <v>445</v>
      </c>
      <c r="E947" t="s">
        <v>445</v>
      </c>
      <c r="F947" t="s">
        <v>446</v>
      </c>
      <c r="G947" t="s">
        <v>447</v>
      </c>
      <c r="H947" t="s">
        <v>448</v>
      </c>
      <c r="I947" t="s">
        <v>448</v>
      </c>
    </row>
    <row r="948" spans="1:9" x14ac:dyDescent="0.35">
      <c r="A948" t="s">
        <v>450</v>
      </c>
      <c r="B948" s="16" t="s">
        <v>451</v>
      </c>
      <c r="C948" t="s">
        <v>452</v>
      </c>
      <c r="D948" t="s">
        <v>453</v>
      </c>
      <c r="E948" t="s">
        <v>454</v>
      </c>
      <c r="F948" t="s">
        <v>455</v>
      </c>
      <c r="G948" t="s">
        <v>456</v>
      </c>
      <c r="H948" t="s">
        <v>457</v>
      </c>
      <c r="I948" t="s">
        <v>458</v>
      </c>
    </row>
    <row r="949" spans="1:9" x14ac:dyDescent="0.35">
      <c r="A949" t="s">
        <v>702</v>
      </c>
      <c r="B949" s="16" t="s">
        <v>703</v>
      </c>
      <c r="C949" t="s">
        <v>704</v>
      </c>
      <c r="D949" t="s">
        <v>704</v>
      </c>
      <c r="E949" t="s">
        <v>704</v>
      </c>
      <c r="F949" t="s">
        <v>705</v>
      </c>
      <c r="G949" t="s">
        <v>704</v>
      </c>
      <c r="H949" t="s">
        <v>704</v>
      </c>
      <c r="I949" t="s">
        <v>704</v>
      </c>
    </row>
    <row r="950" spans="1:9" x14ac:dyDescent="0.35">
      <c r="A950">
        <v>1</v>
      </c>
      <c r="B950" s="16" t="s">
        <v>532</v>
      </c>
      <c r="C950" s="4">
        <v>3.4989999999999998E-8</v>
      </c>
      <c r="D950">
        <v>2.2480000000000002</v>
      </c>
      <c r="E950">
        <v>2.6379999999999999</v>
      </c>
      <c r="F950">
        <v>10</v>
      </c>
      <c r="G950" s="4">
        <v>9.2319999999999996E-8</v>
      </c>
      <c r="H950" s="4">
        <v>2.5899999999999999E-5</v>
      </c>
      <c r="I950" s="4">
        <v>7.8619999999999999E-7</v>
      </c>
    </row>
    <row r="951" spans="1:9" x14ac:dyDescent="0.35">
      <c r="A951">
        <v>2</v>
      </c>
      <c r="B951" s="16" t="s">
        <v>533</v>
      </c>
      <c r="C951" s="4">
        <v>5.2079999999999999E-6</v>
      </c>
      <c r="D951">
        <v>1.7190000000000001</v>
      </c>
      <c r="E951">
        <v>1.4950000000000001</v>
      </c>
      <c r="F951">
        <v>10</v>
      </c>
      <c r="G951" s="4">
        <v>7.7840000000000004E-6</v>
      </c>
      <c r="H951">
        <v>2.183E-3</v>
      </c>
      <c r="I951" s="4">
        <v>6.6279999999999996E-5</v>
      </c>
    </row>
    <row r="952" spans="1:9" x14ac:dyDescent="0.35">
      <c r="A952">
        <v>3</v>
      </c>
      <c r="B952" s="16" t="s">
        <v>534</v>
      </c>
      <c r="C952" s="4">
        <v>1.8920000000000001E-6</v>
      </c>
      <c r="D952">
        <v>2.4630000000000001</v>
      </c>
      <c r="E952">
        <v>2.5990000000000002</v>
      </c>
      <c r="F952">
        <v>10</v>
      </c>
      <c r="G952" s="4">
        <v>4.9180000000000002E-6</v>
      </c>
      <c r="H952">
        <v>1.379E-3</v>
      </c>
      <c r="I952" s="4">
        <v>4.1879999999999999E-5</v>
      </c>
    </row>
    <row r="953" spans="1:9" x14ac:dyDescent="0.35">
      <c r="A953">
        <v>4</v>
      </c>
      <c r="B953" s="16" t="s">
        <v>535</v>
      </c>
      <c r="C953">
        <v>2.8089999999999999E-3</v>
      </c>
      <c r="D953">
        <v>1.0980000000000001</v>
      </c>
      <c r="E953">
        <v>0.85529999999999995</v>
      </c>
      <c r="F953">
        <v>10</v>
      </c>
      <c r="G953">
        <v>2.4020000000000001E-3</v>
      </c>
      <c r="H953">
        <v>0.67379999999999995</v>
      </c>
      <c r="I953">
        <v>2.0459999999999999E-2</v>
      </c>
    </row>
    <row r="954" spans="1:9" x14ac:dyDescent="0.35">
      <c r="A954">
        <v>5</v>
      </c>
      <c r="B954" s="16" t="s">
        <v>536</v>
      </c>
      <c r="C954" s="4">
        <v>5.2079999999999999E-6</v>
      </c>
      <c r="D954">
        <v>1.4590000000000001</v>
      </c>
      <c r="E954">
        <v>1.5720000000000001</v>
      </c>
      <c r="F954">
        <v>10</v>
      </c>
      <c r="G954" s="4">
        <v>8.1850000000000004E-6</v>
      </c>
      <c r="H954">
        <v>2.2959999999999999E-3</v>
      </c>
      <c r="I954" s="4">
        <v>6.97E-5</v>
      </c>
    </row>
    <row r="955" spans="1:9" x14ac:dyDescent="0.35">
      <c r="A955">
        <v>6</v>
      </c>
      <c r="B955" s="16" t="s">
        <v>537</v>
      </c>
      <c r="C955" s="4">
        <v>5.596E-5</v>
      </c>
      <c r="D955">
        <v>1.873</v>
      </c>
      <c r="E955">
        <v>1.7789999999999999</v>
      </c>
      <c r="F955">
        <v>10</v>
      </c>
      <c r="G955" s="4">
        <v>9.9539999999999999E-5</v>
      </c>
      <c r="H955">
        <v>2.792E-2</v>
      </c>
      <c r="I955">
        <v>8.4769999999999995E-4</v>
      </c>
    </row>
    <row r="956" spans="1:9" x14ac:dyDescent="0.35">
      <c r="A956">
        <v>7</v>
      </c>
      <c r="B956" s="16" t="s">
        <v>538</v>
      </c>
      <c r="C956">
        <v>4.5600000000000003E-4</v>
      </c>
      <c r="D956">
        <v>1.746</v>
      </c>
      <c r="E956">
        <v>1.6890000000000001</v>
      </c>
      <c r="F956">
        <v>10</v>
      </c>
      <c r="G956">
        <v>7.7039999999999997E-4</v>
      </c>
      <c r="H956">
        <v>0.21609999999999999</v>
      </c>
      <c r="I956">
        <v>6.561E-3</v>
      </c>
    </row>
    <row r="957" spans="1:9" x14ac:dyDescent="0.35">
      <c r="A957">
        <v>8</v>
      </c>
      <c r="B957" s="16" t="s">
        <v>539</v>
      </c>
      <c r="C957" s="4">
        <v>1.8920000000000001E-6</v>
      </c>
      <c r="D957">
        <v>1.734</v>
      </c>
      <c r="E957">
        <v>1.3009999999999999</v>
      </c>
      <c r="F957">
        <v>10</v>
      </c>
      <c r="G957" s="4">
        <v>2.4609999999999998E-6</v>
      </c>
      <c r="H957">
        <v>6.9030000000000003E-4</v>
      </c>
      <c r="I957" s="4">
        <v>2.0959999999999999E-5</v>
      </c>
    </row>
    <row r="958" spans="1:9" x14ac:dyDescent="0.35">
      <c r="A958">
        <v>9</v>
      </c>
      <c r="B958" s="16" t="s">
        <v>540</v>
      </c>
      <c r="C958" s="4">
        <v>3.4430000000000001E-5</v>
      </c>
      <c r="D958">
        <v>2.04</v>
      </c>
      <c r="E958">
        <v>1.5129999999999999</v>
      </c>
      <c r="F958">
        <v>10</v>
      </c>
      <c r="G958" s="4">
        <v>5.2110000000000001E-5</v>
      </c>
      <c r="H958">
        <v>1.4619999999999999E-2</v>
      </c>
      <c r="I958">
        <v>4.437E-4</v>
      </c>
    </row>
    <row r="959" spans="1:9" x14ac:dyDescent="0.35">
      <c r="A959">
        <v>10</v>
      </c>
      <c r="B959" s="16" t="s">
        <v>541</v>
      </c>
      <c r="C959" s="4">
        <v>9.8740000000000007E-5</v>
      </c>
      <c r="D959">
        <v>1.387</v>
      </c>
      <c r="E959">
        <v>1.7030000000000001</v>
      </c>
      <c r="F959">
        <v>10</v>
      </c>
      <c r="G959">
        <v>1.682E-4</v>
      </c>
      <c r="H959">
        <v>4.7169999999999997E-2</v>
      </c>
      <c r="I959">
        <v>1.4319999999999999E-3</v>
      </c>
    </row>
    <row r="960" spans="1:9" x14ac:dyDescent="0.35">
      <c r="A960">
        <v>11</v>
      </c>
      <c r="B960" s="16" t="s">
        <v>542</v>
      </c>
      <c r="C960" s="4">
        <v>3.2230000000000001E-5</v>
      </c>
      <c r="D960">
        <v>1.4910000000000001</v>
      </c>
      <c r="E960">
        <v>1.5289999999999999</v>
      </c>
      <c r="F960">
        <v>10</v>
      </c>
      <c r="G960" s="4">
        <v>4.9270000000000001E-5</v>
      </c>
      <c r="H960">
        <v>1.3820000000000001E-2</v>
      </c>
      <c r="I960">
        <v>4.1950000000000001E-4</v>
      </c>
    </row>
    <row r="961" spans="1:10" x14ac:dyDescent="0.35">
      <c r="A961">
        <v>12</v>
      </c>
      <c r="B961" s="16" t="s">
        <v>464</v>
      </c>
      <c r="C961">
        <v>0.22819999999999999</v>
      </c>
      <c r="D961">
        <v>0.60350000000000004</v>
      </c>
      <c r="E961">
        <v>0.49909999999999999</v>
      </c>
      <c r="F961">
        <v>10</v>
      </c>
      <c r="G961">
        <v>0.1139</v>
      </c>
      <c r="H961" t="s">
        <v>452</v>
      </c>
      <c r="I961">
        <v>0.96960000000000002</v>
      </c>
    </row>
    <row r="962" spans="1:10" x14ac:dyDescent="0.35">
      <c r="A962">
        <v>13</v>
      </c>
      <c r="B962" s="16" t="s">
        <v>466</v>
      </c>
      <c r="C962">
        <v>0.22819999999999999</v>
      </c>
      <c r="D962">
        <v>0.53369999999999995</v>
      </c>
      <c r="E962">
        <v>0.4844</v>
      </c>
      <c r="F962">
        <v>10</v>
      </c>
      <c r="G962">
        <v>0.1105</v>
      </c>
      <c r="H962" t="s">
        <v>452</v>
      </c>
      <c r="I962">
        <v>0.96870000000000001</v>
      </c>
    </row>
    <row r="963" spans="1:10" x14ac:dyDescent="0.35">
      <c r="A963">
        <v>14</v>
      </c>
      <c r="B963" s="16" t="s">
        <v>467</v>
      </c>
      <c r="C963">
        <v>0.22819999999999999</v>
      </c>
      <c r="D963">
        <v>0.62109999999999999</v>
      </c>
      <c r="E963">
        <v>0.5242</v>
      </c>
      <c r="F963">
        <v>10</v>
      </c>
      <c r="G963">
        <v>0.1196</v>
      </c>
      <c r="H963" t="s">
        <v>452</v>
      </c>
      <c r="I963">
        <v>0.9728</v>
      </c>
    </row>
    <row r="964" spans="1:10" x14ac:dyDescent="0.35">
      <c r="A964">
        <v>15</v>
      </c>
      <c r="B964" s="16" t="s">
        <v>469</v>
      </c>
      <c r="C964">
        <v>0.68269999999999997</v>
      </c>
      <c r="D964">
        <v>0.85029999999999994</v>
      </c>
      <c r="E964">
        <v>0.75139999999999996</v>
      </c>
      <c r="F964">
        <v>10</v>
      </c>
      <c r="G964">
        <v>0.51300000000000001</v>
      </c>
      <c r="H964" t="s">
        <v>452</v>
      </c>
      <c r="I964">
        <v>0.99350000000000005</v>
      </c>
    </row>
    <row r="965" spans="1:10" x14ac:dyDescent="0.35">
      <c r="A965" t="s">
        <v>701</v>
      </c>
      <c r="B965" s="16"/>
    </row>
    <row r="966" spans="1:10" x14ac:dyDescent="0.35">
      <c r="A966" t="s">
        <v>700</v>
      </c>
      <c r="B966" s="16"/>
    </row>
    <row r="967" spans="1:10" x14ac:dyDescent="0.35">
      <c r="A967" t="s">
        <v>470</v>
      </c>
      <c r="B967" s="16"/>
    </row>
    <row r="968" spans="1:10" x14ac:dyDescent="0.35">
      <c r="A968" t="s">
        <v>471</v>
      </c>
      <c r="B968" s="16"/>
    </row>
    <row r="969" spans="1:10" x14ac:dyDescent="0.35">
      <c r="A969" t="s">
        <v>955</v>
      </c>
      <c r="B969" s="16"/>
      <c r="J969">
        <v>36</v>
      </c>
    </row>
    <row r="970" spans="1:10" x14ac:dyDescent="0.35">
      <c r="A970" t="s">
        <v>700</v>
      </c>
      <c r="B970" s="16"/>
    </row>
    <row r="971" spans="1:10" x14ac:dyDescent="0.35">
      <c r="A971" t="s">
        <v>438</v>
      </c>
      <c r="B971" s="16"/>
    </row>
    <row r="972" spans="1:10" x14ac:dyDescent="0.35">
      <c r="A972" t="s">
        <v>439</v>
      </c>
      <c r="B972" s="16"/>
    </row>
    <row r="973" spans="1:10" x14ac:dyDescent="0.35">
      <c r="A973" t="s">
        <v>441</v>
      </c>
      <c r="B973" s="16"/>
    </row>
    <row r="974" spans="1:10" x14ac:dyDescent="0.35">
      <c r="A974" t="s">
        <v>701</v>
      </c>
      <c r="B974" s="16"/>
    </row>
    <row r="975" spans="1:10" x14ac:dyDescent="0.35">
      <c r="A975" t="s">
        <v>442</v>
      </c>
      <c r="B975" s="16" t="s">
        <v>443</v>
      </c>
      <c r="C975" t="s">
        <v>444</v>
      </c>
      <c r="D975" t="s">
        <v>445</v>
      </c>
      <c r="E975" t="s">
        <v>445</v>
      </c>
      <c r="F975" t="s">
        <v>446</v>
      </c>
      <c r="G975" t="s">
        <v>447</v>
      </c>
      <c r="H975" t="s">
        <v>448</v>
      </c>
      <c r="I975" t="s">
        <v>448</v>
      </c>
    </row>
    <row r="976" spans="1:10" x14ac:dyDescent="0.35">
      <c r="A976" t="s">
        <v>450</v>
      </c>
      <c r="B976" s="16" t="s">
        <v>451</v>
      </c>
      <c r="C976" t="s">
        <v>452</v>
      </c>
      <c r="D976" t="s">
        <v>453</v>
      </c>
      <c r="E976" t="s">
        <v>454</v>
      </c>
      <c r="F976" t="s">
        <v>455</v>
      </c>
      <c r="G976" t="s">
        <v>456</v>
      </c>
      <c r="H976" t="s">
        <v>457</v>
      </c>
      <c r="I976" t="s">
        <v>458</v>
      </c>
    </row>
    <row r="977" spans="1:10" x14ac:dyDescent="0.35">
      <c r="A977" t="s">
        <v>702</v>
      </c>
      <c r="B977" s="16" t="s">
        <v>703</v>
      </c>
      <c r="C977" t="s">
        <v>704</v>
      </c>
      <c r="D977" t="s">
        <v>704</v>
      </c>
      <c r="E977" t="s">
        <v>704</v>
      </c>
      <c r="F977" t="s">
        <v>705</v>
      </c>
      <c r="G977" t="s">
        <v>704</v>
      </c>
      <c r="H977" t="s">
        <v>704</v>
      </c>
      <c r="I977" t="s">
        <v>704</v>
      </c>
    </row>
    <row r="978" spans="1:10" x14ac:dyDescent="0.35">
      <c r="A978">
        <v>1</v>
      </c>
      <c r="B978" s="16" t="s">
        <v>543</v>
      </c>
      <c r="C978" s="4">
        <v>7.3410000000000002E-9</v>
      </c>
      <c r="D978">
        <v>2.1</v>
      </c>
      <c r="E978">
        <v>2.1560000000000001</v>
      </c>
      <c r="F978">
        <v>10</v>
      </c>
      <c r="G978" s="4">
        <v>1.5819999999999999E-8</v>
      </c>
      <c r="H978" s="4">
        <v>3.2819999999999999E-7</v>
      </c>
      <c r="I978" s="4">
        <v>1.7709999999999999E-7</v>
      </c>
    </row>
    <row r="979" spans="1:10" x14ac:dyDescent="0.35">
      <c r="A979">
        <v>2</v>
      </c>
      <c r="B979" s="16" t="s">
        <v>544</v>
      </c>
      <c r="C979">
        <v>3.7189999999999999E-4</v>
      </c>
      <c r="D979">
        <v>0.84699999999999998</v>
      </c>
      <c r="E979">
        <v>1.002</v>
      </c>
      <c r="F979">
        <v>10</v>
      </c>
      <c r="G979">
        <v>3.7270000000000001E-4</v>
      </c>
      <c r="H979">
        <v>7.7279999999999996E-3</v>
      </c>
      <c r="I979">
        <v>4.1700000000000001E-3</v>
      </c>
    </row>
    <row r="980" spans="1:10" x14ac:dyDescent="0.35">
      <c r="A980">
        <v>3</v>
      </c>
      <c r="B980" s="16" t="s">
        <v>545</v>
      </c>
      <c r="C980">
        <v>3.2969999999999999E-2</v>
      </c>
      <c r="D980">
        <v>1.282</v>
      </c>
      <c r="E980">
        <v>1.4470000000000001</v>
      </c>
      <c r="F980">
        <v>10</v>
      </c>
      <c r="G980">
        <v>4.7710000000000002E-2</v>
      </c>
      <c r="H980">
        <v>0.98950000000000005</v>
      </c>
      <c r="I980">
        <v>0.53390000000000004</v>
      </c>
    </row>
    <row r="981" spans="1:10" x14ac:dyDescent="0.35">
      <c r="A981">
        <v>4</v>
      </c>
      <c r="B981" s="16" t="s">
        <v>546</v>
      </c>
      <c r="C981" s="4">
        <v>7.8319999999999996E-5</v>
      </c>
      <c r="D981">
        <v>1.1220000000000001</v>
      </c>
      <c r="E981">
        <v>1.7350000000000001</v>
      </c>
      <c r="F981">
        <v>10</v>
      </c>
      <c r="G981">
        <v>1.359E-4</v>
      </c>
      <c r="H981">
        <v>2.8170000000000001E-3</v>
      </c>
      <c r="I981">
        <v>1.5200000000000001E-3</v>
      </c>
    </row>
    <row r="982" spans="1:10" x14ac:dyDescent="0.35">
      <c r="A982">
        <v>5</v>
      </c>
      <c r="B982" s="16" t="s">
        <v>464</v>
      </c>
      <c r="C982">
        <v>3.2969999999999999E-2</v>
      </c>
      <c r="D982">
        <v>1.073</v>
      </c>
      <c r="E982">
        <v>1.248</v>
      </c>
      <c r="F982">
        <v>10</v>
      </c>
      <c r="G982">
        <v>4.1140000000000003E-2</v>
      </c>
      <c r="H982" t="s">
        <v>452</v>
      </c>
      <c r="I982">
        <v>0.46039999999999998</v>
      </c>
    </row>
    <row r="983" spans="1:10" x14ac:dyDescent="0.35">
      <c r="A983">
        <v>6</v>
      </c>
      <c r="B983" s="16" t="s">
        <v>466</v>
      </c>
      <c r="C983">
        <v>0.36840000000000001</v>
      </c>
      <c r="D983">
        <v>0.39579999999999999</v>
      </c>
      <c r="E983">
        <v>0.69510000000000005</v>
      </c>
      <c r="F983">
        <v>10</v>
      </c>
      <c r="G983">
        <v>0.25609999999999999</v>
      </c>
      <c r="H983" t="s">
        <v>452</v>
      </c>
      <c r="I983">
        <v>0.84150000000000003</v>
      </c>
    </row>
    <row r="984" spans="1:10" x14ac:dyDescent="0.35">
      <c r="A984">
        <v>7</v>
      </c>
      <c r="B984" s="16" t="s">
        <v>467</v>
      </c>
      <c r="C984">
        <v>3.2969999999999999E-2</v>
      </c>
      <c r="D984">
        <v>1.282</v>
      </c>
      <c r="E984">
        <v>1.4470000000000001</v>
      </c>
      <c r="F984">
        <v>10</v>
      </c>
      <c r="G984">
        <v>4.7710000000000002E-2</v>
      </c>
      <c r="H984" t="s">
        <v>452</v>
      </c>
      <c r="I984">
        <v>0.5</v>
      </c>
    </row>
    <row r="985" spans="1:10" x14ac:dyDescent="0.35">
      <c r="A985">
        <v>8</v>
      </c>
      <c r="B985" s="16" t="s">
        <v>469</v>
      </c>
      <c r="C985">
        <v>3.2969999999999999E-2</v>
      </c>
      <c r="D985">
        <v>1.282</v>
      </c>
      <c r="E985">
        <v>1.4470000000000001</v>
      </c>
      <c r="F985">
        <v>10</v>
      </c>
      <c r="G985">
        <v>4.7710000000000002E-2</v>
      </c>
      <c r="H985" t="s">
        <v>452</v>
      </c>
      <c r="I985">
        <v>0.5</v>
      </c>
    </row>
    <row r="986" spans="1:10" x14ac:dyDescent="0.35">
      <c r="A986" t="s">
        <v>701</v>
      </c>
      <c r="B986" s="16"/>
    </row>
    <row r="987" spans="1:10" x14ac:dyDescent="0.35">
      <c r="A987" t="s">
        <v>700</v>
      </c>
      <c r="B987" s="16"/>
    </row>
    <row r="988" spans="1:10" x14ac:dyDescent="0.35">
      <c r="A988" t="s">
        <v>470</v>
      </c>
      <c r="B988" s="16"/>
    </row>
    <row r="989" spans="1:10" x14ac:dyDescent="0.35">
      <c r="A989" t="s">
        <v>471</v>
      </c>
      <c r="B989" s="16"/>
    </row>
    <row r="990" spans="1:10" x14ac:dyDescent="0.35">
      <c r="A990" t="s">
        <v>690</v>
      </c>
      <c r="B990" s="16"/>
      <c r="J990">
        <v>37</v>
      </c>
    </row>
    <row r="991" spans="1:10" x14ac:dyDescent="0.35">
      <c r="A991" t="s">
        <v>700</v>
      </c>
      <c r="B991" s="16"/>
    </row>
    <row r="992" spans="1:10" x14ac:dyDescent="0.35">
      <c r="A992" t="s">
        <v>438</v>
      </c>
      <c r="B992" s="16"/>
    </row>
    <row r="993" spans="1:9" x14ac:dyDescent="0.35">
      <c r="A993" t="s">
        <v>439</v>
      </c>
      <c r="B993" s="16"/>
    </row>
    <row r="994" spans="1:9" x14ac:dyDescent="0.35">
      <c r="A994" t="s">
        <v>441</v>
      </c>
      <c r="B994" s="16"/>
    </row>
    <row r="995" spans="1:9" x14ac:dyDescent="0.35">
      <c r="A995" t="s">
        <v>701</v>
      </c>
      <c r="B995" s="16"/>
    </row>
    <row r="996" spans="1:9" x14ac:dyDescent="0.35">
      <c r="A996" t="s">
        <v>442</v>
      </c>
      <c r="B996" s="16" t="s">
        <v>443</v>
      </c>
      <c r="C996" t="s">
        <v>444</v>
      </c>
      <c r="D996" t="s">
        <v>445</v>
      </c>
      <c r="E996" t="s">
        <v>445</v>
      </c>
      <c r="F996" t="s">
        <v>446</v>
      </c>
      <c r="G996" t="s">
        <v>447</v>
      </c>
      <c r="H996" t="s">
        <v>448</v>
      </c>
      <c r="I996" t="s">
        <v>448</v>
      </c>
    </row>
    <row r="997" spans="1:9" x14ac:dyDescent="0.35">
      <c r="A997" t="s">
        <v>450</v>
      </c>
      <c r="B997" s="16" t="s">
        <v>451</v>
      </c>
      <c r="C997" t="s">
        <v>452</v>
      </c>
      <c r="D997" t="s">
        <v>453</v>
      </c>
      <c r="E997" t="s">
        <v>454</v>
      </c>
      <c r="F997" t="s">
        <v>455</v>
      </c>
      <c r="G997" t="s">
        <v>456</v>
      </c>
      <c r="H997" t="s">
        <v>457</v>
      </c>
      <c r="I997" t="s">
        <v>458</v>
      </c>
    </row>
    <row r="998" spans="1:9" x14ac:dyDescent="0.35">
      <c r="A998" t="s">
        <v>702</v>
      </c>
      <c r="B998" s="16" t="s">
        <v>703</v>
      </c>
      <c r="C998" t="s">
        <v>704</v>
      </c>
      <c r="D998" t="s">
        <v>704</v>
      </c>
      <c r="E998" t="s">
        <v>704</v>
      </c>
      <c r="F998" t="s">
        <v>705</v>
      </c>
      <c r="G998" t="s">
        <v>704</v>
      </c>
      <c r="H998" t="s">
        <v>704</v>
      </c>
      <c r="I998" t="s">
        <v>704</v>
      </c>
    </row>
    <row r="999" spans="1:9" x14ac:dyDescent="0.35">
      <c r="A999">
        <v>1</v>
      </c>
      <c r="B999" s="16">
        <v>1</v>
      </c>
      <c r="C999" s="4">
        <v>1.579E-5</v>
      </c>
      <c r="D999">
        <v>2.0099999999999998</v>
      </c>
      <c r="E999">
        <v>1.911</v>
      </c>
      <c r="F999">
        <v>10</v>
      </c>
      <c r="G999" s="4">
        <v>3.0159999999999999E-5</v>
      </c>
      <c r="H999">
        <v>2.8709999999999999E-4</v>
      </c>
      <c r="I999">
        <v>1.0509999999999999E-4</v>
      </c>
    </row>
    <row r="1000" spans="1:9" x14ac:dyDescent="0.35">
      <c r="A1000">
        <v>2</v>
      </c>
      <c r="B1000" s="16">
        <v>2</v>
      </c>
      <c r="C1000" s="4">
        <v>9.8599999999999996E-7</v>
      </c>
      <c r="D1000">
        <v>1.57</v>
      </c>
      <c r="E1000">
        <v>1.482</v>
      </c>
      <c r="F1000">
        <v>10</v>
      </c>
      <c r="G1000" s="4">
        <v>1.4619999999999999E-6</v>
      </c>
      <c r="H1000" s="4">
        <v>1.3910000000000001E-5</v>
      </c>
      <c r="I1000" s="4">
        <v>5.0900000000000004E-6</v>
      </c>
    </row>
    <row r="1001" spans="1:9" x14ac:dyDescent="0.35">
      <c r="A1001">
        <v>3</v>
      </c>
      <c r="B1001" s="16">
        <v>3</v>
      </c>
      <c r="C1001">
        <v>2.7539999999999999E-2</v>
      </c>
      <c r="D1001">
        <v>1.917</v>
      </c>
      <c r="E1001">
        <v>1.65</v>
      </c>
      <c r="F1001">
        <v>10</v>
      </c>
      <c r="G1001">
        <v>4.5429999999999998E-2</v>
      </c>
      <c r="H1001">
        <v>0.43240000000000001</v>
      </c>
      <c r="I1001">
        <v>0.15820000000000001</v>
      </c>
    </row>
    <row r="1002" spans="1:9" x14ac:dyDescent="0.35">
      <c r="A1002">
        <v>4</v>
      </c>
      <c r="B1002" s="16">
        <v>4</v>
      </c>
      <c r="C1002">
        <v>8.2140000000000008E-3</v>
      </c>
      <c r="D1002">
        <v>1.272</v>
      </c>
      <c r="E1002">
        <v>1.4079999999999999</v>
      </c>
      <c r="F1002">
        <v>10</v>
      </c>
      <c r="G1002">
        <v>1.157E-2</v>
      </c>
      <c r="H1002">
        <v>0.1101</v>
      </c>
      <c r="I1002">
        <v>4.0289999999999999E-2</v>
      </c>
    </row>
    <row r="1003" spans="1:9" x14ac:dyDescent="0.35">
      <c r="A1003">
        <v>5</v>
      </c>
      <c r="B1003" s="16">
        <v>5</v>
      </c>
      <c r="C1003">
        <v>0.24410000000000001</v>
      </c>
      <c r="D1003">
        <v>0.39439999999999997</v>
      </c>
      <c r="E1003">
        <v>0.1968</v>
      </c>
      <c r="F1003">
        <v>10</v>
      </c>
      <c r="G1003">
        <v>4.8039999999999999E-2</v>
      </c>
      <c r="H1003">
        <v>0.4572</v>
      </c>
      <c r="I1003">
        <v>0.1673</v>
      </c>
    </row>
    <row r="1004" spans="1:9" x14ac:dyDescent="0.35">
      <c r="A1004">
        <v>6</v>
      </c>
      <c r="B1004" s="16" t="s">
        <v>464</v>
      </c>
      <c r="C1004">
        <v>0.47349999999999998</v>
      </c>
      <c r="D1004">
        <v>0.30080000000000001</v>
      </c>
      <c r="E1004">
        <v>0.38450000000000001</v>
      </c>
      <c r="F1004">
        <v>10</v>
      </c>
      <c r="G1004">
        <v>0.182</v>
      </c>
      <c r="H1004" t="s">
        <v>452</v>
      </c>
      <c r="I1004">
        <v>0.6341</v>
      </c>
    </row>
    <row r="1005" spans="1:9" x14ac:dyDescent="0.35">
      <c r="A1005">
        <v>7</v>
      </c>
      <c r="B1005" s="16" t="s">
        <v>466</v>
      </c>
      <c r="C1005">
        <v>0.1135</v>
      </c>
      <c r="D1005">
        <v>0.34720000000000001</v>
      </c>
      <c r="E1005">
        <v>0.27800000000000002</v>
      </c>
      <c r="F1005">
        <v>10</v>
      </c>
      <c r="G1005">
        <v>3.1550000000000002E-2</v>
      </c>
      <c r="H1005" t="s">
        <v>452</v>
      </c>
      <c r="I1005">
        <v>0.23089999999999999</v>
      </c>
    </row>
    <row r="1006" spans="1:9" x14ac:dyDescent="0.35">
      <c r="A1006">
        <v>8</v>
      </c>
      <c r="B1006" s="16" t="s">
        <v>467</v>
      </c>
      <c r="C1006">
        <v>0.68269999999999997</v>
      </c>
      <c r="D1006">
        <v>0.29149999999999998</v>
      </c>
      <c r="E1006">
        <v>0.40570000000000001</v>
      </c>
      <c r="F1006">
        <v>10</v>
      </c>
      <c r="G1006">
        <v>0.27700000000000002</v>
      </c>
      <c r="H1006" t="s">
        <v>452</v>
      </c>
      <c r="I1006">
        <v>0.74770000000000003</v>
      </c>
    </row>
    <row r="1007" spans="1:9" x14ac:dyDescent="0.35">
      <c r="A1007">
        <v>9</v>
      </c>
      <c r="B1007" s="16" t="s">
        <v>469</v>
      </c>
      <c r="C1007">
        <v>0.28949999999999998</v>
      </c>
      <c r="D1007">
        <v>0.37119999999999997</v>
      </c>
      <c r="E1007">
        <v>0.49619999999999997</v>
      </c>
      <c r="F1007">
        <v>10</v>
      </c>
      <c r="G1007">
        <v>0.14360000000000001</v>
      </c>
      <c r="H1007" t="s">
        <v>452</v>
      </c>
      <c r="I1007">
        <v>0.5776</v>
      </c>
    </row>
    <row r="1008" spans="1:9" x14ac:dyDescent="0.35">
      <c r="A1008" t="s">
        <v>701</v>
      </c>
      <c r="B1008" s="16"/>
    </row>
    <row r="1009" spans="1:10" x14ac:dyDescent="0.35">
      <c r="A1009" t="s">
        <v>700</v>
      </c>
      <c r="B1009" s="16"/>
    </row>
    <row r="1010" spans="1:10" x14ac:dyDescent="0.35">
      <c r="A1010" t="s">
        <v>470</v>
      </c>
      <c r="B1010" s="16"/>
    </row>
    <row r="1011" spans="1:10" x14ac:dyDescent="0.35">
      <c r="A1011" t="s">
        <v>471</v>
      </c>
      <c r="B1011" s="16"/>
    </row>
    <row r="1012" spans="1:10" x14ac:dyDescent="0.35">
      <c r="A1012" t="s">
        <v>956</v>
      </c>
      <c r="B1012" s="16"/>
      <c r="J1012">
        <v>38</v>
      </c>
    </row>
    <row r="1013" spans="1:10" x14ac:dyDescent="0.35">
      <c r="A1013" t="s">
        <v>700</v>
      </c>
      <c r="B1013" s="16"/>
    </row>
    <row r="1014" spans="1:10" x14ac:dyDescent="0.35">
      <c r="A1014" t="s">
        <v>438</v>
      </c>
      <c r="B1014" s="16"/>
    </row>
    <row r="1015" spans="1:10" x14ac:dyDescent="0.35">
      <c r="A1015" t="s">
        <v>439</v>
      </c>
      <c r="B1015" s="16"/>
    </row>
    <row r="1016" spans="1:10" x14ac:dyDescent="0.35">
      <c r="A1016" t="s">
        <v>441</v>
      </c>
      <c r="B1016" s="16"/>
    </row>
    <row r="1017" spans="1:10" x14ac:dyDescent="0.35">
      <c r="A1017" t="s">
        <v>701</v>
      </c>
      <c r="B1017" s="16"/>
    </row>
    <row r="1018" spans="1:10" x14ac:dyDescent="0.35">
      <c r="A1018" t="s">
        <v>442</v>
      </c>
      <c r="B1018" s="16" t="s">
        <v>443</v>
      </c>
      <c r="C1018" t="s">
        <v>444</v>
      </c>
      <c r="D1018" t="s">
        <v>445</v>
      </c>
      <c r="E1018" t="s">
        <v>445</v>
      </c>
      <c r="F1018" t="s">
        <v>446</v>
      </c>
      <c r="G1018" t="s">
        <v>447</v>
      </c>
      <c r="H1018" t="s">
        <v>448</v>
      </c>
      <c r="I1018" t="s">
        <v>448</v>
      </c>
    </row>
    <row r="1019" spans="1:10" x14ac:dyDescent="0.35">
      <c r="A1019" t="s">
        <v>450</v>
      </c>
      <c r="B1019" s="16" t="s">
        <v>451</v>
      </c>
      <c r="C1019" t="s">
        <v>452</v>
      </c>
      <c r="D1019" t="s">
        <v>453</v>
      </c>
      <c r="E1019" t="s">
        <v>454</v>
      </c>
      <c r="F1019" t="s">
        <v>455</v>
      </c>
      <c r="G1019" t="s">
        <v>456</v>
      </c>
      <c r="H1019" t="s">
        <v>457</v>
      </c>
      <c r="I1019" t="s">
        <v>458</v>
      </c>
    </row>
    <row r="1020" spans="1:10" x14ac:dyDescent="0.35">
      <c r="A1020" t="s">
        <v>702</v>
      </c>
      <c r="B1020" s="16" t="s">
        <v>703</v>
      </c>
      <c r="C1020" t="s">
        <v>704</v>
      </c>
      <c r="D1020" t="s">
        <v>704</v>
      </c>
      <c r="E1020" t="s">
        <v>704</v>
      </c>
      <c r="F1020" t="s">
        <v>705</v>
      </c>
      <c r="G1020" t="s">
        <v>704</v>
      </c>
      <c r="H1020" t="s">
        <v>704</v>
      </c>
      <c r="I1020" t="s">
        <v>704</v>
      </c>
    </row>
    <row r="1021" spans="1:10" x14ac:dyDescent="0.35">
      <c r="A1021">
        <v>1</v>
      </c>
      <c r="B1021" s="16" t="s">
        <v>547</v>
      </c>
      <c r="C1021">
        <v>0.44</v>
      </c>
      <c r="D1021">
        <v>0.65039999999999998</v>
      </c>
      <c r="E1021">
        <v>0.50690000000000002</v>
      </c>
      <c r="F1021">
        <v>10</v>
      </c>
      <c r="G1021">
        <v>0.223</v>
      </c>
      <c r="H1021">
        <v>0.58030000000000004</v>
      </c>
      <c r="I1021">
        <v>0.4461</v>
      </c>
    </row>
    <row r="1022" spans="1:10" x14ac:dyDescent="0.35">
      <c r="A1022">
        <v>2</v>
      </c>
      <c r="B1022" s="16" t="s">
        <v>548</v>
      </c>
      <c r="C1022">
        <v>0.2223</v>
      </c>
      <c r="D1022">
        <v>0.48299999999999998</v>
      </c>
      <c r="E1022">
        <v>0.7258</v>
      </c>
      <c r="F1022">
        <v>10</v>
      </c>
      <c r="G1022">
        <v>0.1613</v>
      </c>
      <c r="H1022">
        <v>0.41970000000000002</v>
      </c>
      <c r="I1022">
        <v>0.3226</v>
      </c>
    </row>
    <row r="1023" spans="1:10" x14ac:dyDescent="0.35">
      <c r="A1023">
        <v>3</v>
      </c>
      <c r="B1023" s="16" t="s">
        <v>549</v>
      </c>
      <c r="C1023" s="4">
        <v>4.0940000000000001E-9</v>
      </c>
      <c r="D1023">
        <v>2.0409999999999999</v>
      </c>
      <c r="E1023">
        <v>1.984</v>
      </c>
      <c r="F1023">
        <v>10</v>
      </c>
      <c r="G1023" s="4">
        <v>8.1229999999999993E-9</v>
      </c>
      <c r="H1023" s="4">
        <v>2.1130000000000001E-8</v>
      </c>
      <c r="I1023" s="4">
        <v>1.6239999999999999E-8</v>
      </c>
    </row>
    <row r="1024" spans="1:10" x14ac:dyDescent="0.35">
      <c r="A1024">
        <v>4</v>
      </c>
      <c r="B1024" s="16" t="s">
        <v>550</v>
      </c>
      <c r="C1024" s="4">
        <v>2.3980000000000001E-5</v>
      </c>
      <c r="D1024">
        <v>1.2450000000000001</v>
      </c>
      <c r="E1024">
        <v>1.137</v>
      </c>
      <c r="F1024">
        <v>10</v>
      </c>
      <c r="G1024" s="4">
        <v>2.7270000000000001E-5</v>
      </c>
      <c r="H1024" s="4">
        <v>7.093E-5</v>
      </c>
      <c r="I1024" s="4">
        <v>5.4530000000000001E-5</v>
      </c>
    </row>
    <row r="1025" spans="1:10" x14ac:dyDescent="0.35">
      <c r="A1025">
        <v>5</v>
      </c>
      <c r="B1025" s="16" t="s">
        <v>464</v>
      </c>
      <c r="C1025">
        <v>0.49880000000000002</v>
      </c>
      <c r="D1025">
        <v>0.2082</v>
      </c>
      <c r="E1025">
        <v>0.23180000000000001</v>
      </c>
      <c r="F1025">
        <v>10</v>
      </c>
      <c r="G1025">
        <v>0.11559999999999999</v>
      </c>
      <c r="H1025" t="s">
        <v>452</v>
      </c>
      <c r="I1025">
        <v>0.23130000000000001</v>
      </c>
    </row>
    <row r="1026" spans="1:10" x14ac:dyDescent="0.35">
      <c r="A1026">
        <v>6</v>
      </c>
      <c r="B1026" s="16" t="s">
        <v>466</v>
      </c>
      <c r="C1026">
        <v>6.9819999999999993E-2</v>
      </c>
      <c r="D1026">
        <v>0.2485</v>
      </c>
      <c r="E1026">
        <v>0.2432</v>
      </c>
      <c r="F1026">
        <v>10</v>
      </c>
      <c r="G1026">
        <v>1.6979999999999999E-2</v>
      </c>
      <c r="H1026" t="s">
        <v>452</v>
      </c>
      <c r="I1026">
        <v>4.2299999999999997E-2</v>
      </c>
    </row>
    <row r="1027" spans="1:10" x14ac:dyDescent="0.35">
      <c r="A1027">
        <v>7</v>
      </c>
      <c r="B1027" s="16" t="s">
        <v>467</v>
      </c>
      <c r="C1027">
        <v>0.44</v>
      </c>
      <c r="D1027">
        <v>0.65039999999999998</v>
      </c>
      <c r="E1027">
        <v>0.50690000000000002</v>
      </c>
      <c r="F1027">
        <v>10</v>
      </c>
      <c r="G1027">
        <v>0.223</v>
      </c>
      <c r="H1027" t="s">
        <v>452</v>
      </c>
      <c r="I1027">
        <v>0.5</v>
      </c>
    </row>
    <row r="1028" spans="1:10" x14ac:dyDescent="0.35">
      <c r="A1028">
        <v>8</v>
      </c>
      <c r="B1028" s="16" t="s">
        <v>469</v>
      </c>
      <c r="C1028">
        <v>0.77949999999999997</v>
      </c>
      <c r="D1028">
        <v>0.40949999999999998</v>
      </c>
      <c r="E1028">
        <v>0.49</v>
      </c>
      <c r="F1028">
        <v>10</v>
      </c>
      <c r="G1028">
        <v>0.38200000000000001</v>
      </c>
      <c r="H1028" t="s">
        <v>452</v>
      </c>
      <c r="I1028">
        <v>0.49840000000000001</v>
      </c>
    </row>
    <row r="1029" spans="1:10" x14ac:dyDescent="0.35">
      <c r="A1029" t="s">
        <v>701</v>
      </c>
      <c r="B1029" s="16"/>
    </row>
    <row r="1030" spans="1:10" x14ac:dyDescent="0.35">
      <c r="A1030" t="s">
        <v>700</v>
      </c>
      <c r="B1030" s="16"/>
    </row>
    <row r="1031" spans="1:10" x14ac:dyDescent="0.35">
      <c r="A1031" t="s">
        <v>470</v>
      </c>
      <c r="B1031" s="16"/>
    </row>
    <row r="1032" spans="1:10" x14ac:dyDescent="0.35">
      <c r="A1032" t="s">
        <v>471</v>
      </c>
      <c r="B1032" s="16"/>
    </row>
    <row r="1033" spans="1:10" x14ac:dyDescent="0.35">
      <c r="A1033" t="s">
        <v>683</v>
      </c>
      <c r="B1033" s="16"/>
      <c r="J1033">
        <v>39</v>
      </c>
    </row>
    <row r="1034" spans="1:10" x14ac:dyDescent="0.35">
      <c r="A1034" t="s">
        <v>700</v>
      </c>
      <c r="B1034" s="16"/>
    </row>
    <row r="1035" spans="1:10" x14ac:dyDescent="0.35">
      <c r="A1035" t="s">
        <v>438</v>
      </c>
      <c r="B1035" s="16"/>
    </row>
    <row r="1036" spans="1:10" x14ac:dyDescent="0.35">
      <c r="A1036" t="s">
        <v>439</v>
      </c>
      <c r="B1036" s="16"/>
    </row>
    <row r="1037" spans="1:10" x14ac:dyDescent="0.35">
      <c r="A1037" t="s">
        <v>441</v>
      </c>
      <c r="B1037" s="16"/>
    </row>
    <row r="1038" spans="1:10" x14ac:dyDescent="0.35">
      <c r="A1038" t="s">
        <v>701</v>
      </c>
      <c r="B1038" s="16"/>
    </row>
    <row r="1039" spans="1:10" x14ac:dyDescent="0.35">
      <c r="A1039" t="s">
        <v>442</v>
      </c>
      <c r="B1039" s="16" t="s">
        <v>443</v>
      </c>
      <c r="C1039" t="s">
        <v>444</v>
      </c>
      <c r="D1039" t="s">
        <v>445</v>
      </c>
      <c r="E1039" t="s">
        <v>445</v>
      </c>
      <c r="F1039" t="s">
        <v>446</v>
      </c>
      <c r="G1039" t="s">
        <v>447</v>
      </c>
      <c r="H1039" t="s">
        <v>448</v>
      </c>
      <c r="I1039" t="s">
        <v>448</v>
      </c>
    </row>
    <row r="1040" spans="1:10" x14ac:dyDescent="0.35">
      <c r="A1040" t="s">
        <v>450</v>
      </c>
      <c r="B1040" s="16" t="s">
        <v>451</v>
      </c>
      <c r="C1040" t="s">
        <v>452</v>
      </c>
      <c r="D1040" t="s">
        <v>453</v>
      </c>
      <c r="E1040" t="s">
        <v>454</v>
      </c>
      <c r="F1040" t="s">
        <v>455</v>
      </c>
      <c r="G1040" t="s">
        <v>456</v>
      </c>
      <c r="H1040" t="s">
        <v>457</v>
      </c>
      <c r="I1040" t="s">
        <v>458</v>
      </c>
    </row>
    <row r="1041" spans="1:10" x14ac:dyDescent="0.35">
      <c r="A1041" t="s">
        <v>702</v>
      </c>
      <c r="B1041" s="16" t="s">
        <v>703</v>
      </c>
      <c r="C1041" t="s">
        <v>704</v>
      </c>
      <c r="D1041" t="s">
        <v>704</v>
      </c>
      <c r="E1041" t="s">
        <v>704</v>
      </c>
      <c r="F1041" t="s">
        <v>705</v>
      </c>
      <c r="G1041" t="s">
        <v>704</v>
      </c>
      <c r="H1041" t="s">
        <v>704</v>
      </c>
      <c r="I1041" t="s">
        <v>704</v>
      </c>
    </row>
    <row r="1042" spans="1:10" x14ac:dyDescent="0.35">
      <c r="A1042">
        <v>1</v>
      </c>
      <c r="B1042" s="16" t="s">
        <v>684</v>
      </c>
      <c r="C1042" s="4">
        <v>4.6409999999999998E-5</v>
      </c>
      <c r="D1042">
        <v>0.81869999999999998</v>
      </c>
      <c r="E1042">
        <v>0.80310000000000004</v>
      </c>
      <c r="F1042">
        <v>30</v>
      </c>
      <c r="G1042" s="4">
        <v>3.7270000000000001E-5</v>
      </c>
      <c r="H1042">
        <v>0.14560000000000001</v>
      </c>
      <c r="I1042">
        <v>9.9850000000000004E-4</v>
      </c>
    </row>
    <row r="1043" spans="1:10" x14ac:dyDescent="0.35">
      <c r="A1043">
        <v>2</v>
      </c>
      <c r="B1043" s="16" t="s">
        <v>685</v>
      </c>
      <c r="C1043">
        <v>2.2230000000000001E-4</v>
      </c>
      <c r="D1043">
        <v>1.008</v>
      </c>
      <c r="E1043">
        <v>0.97250000000000003</v>
      </c>
      <c r="F1043">
        <v>30</v>
      </c>
      <c r="G1043">
        <v>2.162E-4</v>
      </c>
      <c r="H1043">
        <v>0.84470000000000001</v>
      </c>
      <c r="I1043">
        <v>5.7920000000000003E-3</v>
      </c>
    </row>
    <row r="1044" spans="1:10" x14ac:dyDescent="0.35">
      <c r="A1044">
        <v>3</v>
      </c>
      <c r="B1044" s="16" t="s">
        <v>686</v>
      </c>
      <c r="C1044" s="4">
        <v>6.8980000000000004E-10</v>
      </c>
      <c r="D1044">
        <v>0.88339999999999996</v>
      </c>
      <c r="E1044">
        <v>0.84989999999999999</v>
      </c>
      <c r="F1044">
        <v>30</v>
      </c>
      <c r="G1044" s="4">
        <v>5.862E-10</v>
      </c>
      <c r="H1044" s="4">
        <v>2.2900000000000001E-6</v>
      </c>
      <c r="I1044" s="4">
        <v>1.5700000000000002E-8</v>
      </c>
    </row>
    <row r="1045" spans="1:10" x14ac:dyDescent="0.35">
      <c r="A1045">
        <v>4</v>
      </c>
      <c r="B1045" s="16" t="s">
        <v>687</v>
      </c>
      <c r="C1045" s="4">
        <v>2.1900000000000002E-6</v>
      </c>
      <c r="D1045">
        <v>1.149</v>
      </c>
      <c r="E1045">
        <v>1.1000000000000001</v>
      </c>
      <c r="F1045">
        <v>30</v>
      </c>
      <c r="G1045" s="4">
        <v>2.4090000000000001E-6</v>
      </c>
      <c r="H1045">
        <v>9.41E-3</v>
      </c>
      <c r="I1045" s="4">
        <v>6.4529999999999994E-5</v>
      </c>
    </row>
    <row r="1046" spans="1:10" x14ac:dyDescent="0.35">
      <c r="A1046">
        <v>5</v>
      </c>
      <c r="B1046" s="16" t="s">
        <v>688</v>
      </c>
      <c r="C1046" s="4">
        <v>4.0420000000000001E-8</v>
      </c>
      <c r="D1046">
        <v>0.48880000000000001</v>
      </c>
      <c r="E1046">
        <v>0.48509999999999998</v>
      </c>
      <c r="F1046">
        <v>30</v>
      </c>
      <c r="G1046" s="4">
        <v>1.9610000000000002E-8</v>
      </c>
      <c r="H1046" s="4">
        <v>7.6589999999999997E-5</v>
      </c>
      <c r="I1046" s="4">
        <v>5.2519999999999996E-7</v>
      </c>
    </row>
    <row r="1047" spans="1:10" x14ac:dyDescent="0.35">
      <c r="A1047">
        <v>6</v>
      </c>
      <c r="B1047" s="16" t="s">
        <v>689</v>
      </c>
      <c r="C1047" s="4">
        <v>9.7110000000000001E-8</v>
      </c>
      <c r="D1047">
        <v>0.61299999999999999</v>
      </c>
      <c r="E1047">
        <v>0.5776</v>
      </c>
      <c r="F1047">
        <v>30</v>
      </c>
      <c r="G1047" s="4">
        <v>5.6090000000000001E-8</v>
      </c>
      <c r="H1047">
        <v>2.1910000000000001E-4</v>
      </c>
      <c r="I1047" s="4">
        <v>1.5030000000000001E-6</v>
      </c>
    </row>
    <row r="1048" spans="1:10" x14ac:dyDescent="0.35">
      <c r="A1048">
        <v>7</v>
      </c>
      <c r="B1048" s="16" t="s">
        <v>464</v>
      </c>
      <c r="C1048">
        <v>6.3380000000000006E-2</v>
      </c>
      <c r="D1048">
        <v>0.63480000000000003</v>
      </c>
      <c r="E1048">
        <v>0.58499999999999996</v>
      </c>
      <c r="F1048">
        <v>30</v>
      </c>
      <c r="G1048">
        <v>3.7069999999999999E-2</v>
      </c>
      <c r="H1048" t="s">
        <v>452</v>
      </c>
      <c r="I1048">
        <v>0.99309999999999998</v>
      </c>
    </row>
    <row r="1049" spans="1:10" x14ac:dyDescent="0.35">
      <c r="A1049">
        <v>8</v>
      </c>
      <c r="B1049" s="16" t="s">
        <v>466</v>
      </c>
      <c r="C1049">
        <v>0.10340000000000001</v>
      </c>
      <c r="D1049">
        <v>0.13150000000000001</v>
      </c>
      <c r="E1049">
        <v>0.1182</v>
      </c>
      <c r="F1049">
        <v>30</v>
      </c>
      <c r="G1049">
        <v>1.223E-2</v>
      </c>
      <c r="H1049" t="s">
        <v>452</v>
      </c>
      <c r="I1049">
        <v>0.97950000000000004</v>
      </c>
    </row>
    <row r="1050" spans="1:10" x14ac:dyDescent="0.35">
      <c r="A1050">
        <v>9</v>
      </c>
      <c r="B1050" s="16" t="s">
        <v>467</v>
      </c>
      <c r="C1050">
        <v>8.9499999999999996E-2</v>
      </c>
      <c r="D1050">
        <v>0.66690000000000005</v>
      </c>
      <c r="E1050">
        <v>0.61360000000000003</v>
      </c>
      <c r="F1050">
        <v>30</v>
      </c>
      <c r="G1050">
        <v>5.4919999999999997E-2</v>
      </c>
      <c r="H1050" t="s">
        <v>452</v>
      </c>
      <c r="I1050">
        <v>0.99539999999999995</v>
      </c>
    </row>
    <row r="1051" spans="1:10" x14ac:dyDescent="0.35">
      <c r="A1051">
        <v>10</v>
      </c>
      <c r="B1051" s="16" t="s">
        <v>469</v>
      </c>
      <c r="C1051">
        <v>6.3380000000000006E-2</v>
      </c>
      <c r="D1051">
        <v>0.65739999999999998</v>
      </c>
      <c r="E1051">
        <v>0.59660000000000002</v>
      </c>
      <c r="F1051">
        <v>30</v>
      </c>
      <c r="G1051">
        <v>3.7810000000000003E-2</v>
      </c>
      <c r="H1051" t="s">
        <v>452</v>
      </c>
      <c r="I1051">
        <v>0.99329999999999996</v>
      </c>
    </row>
    <row r="1052" spans="1:10" x14ac:dyDescent="0.35">
      <c r="A1052" t="s">
        <v>701</v>
      </c>
      <c r="B1052" s="16"/>
    </row>
    <row r="1053" spans="1:10" x14ac:dyDescent="0.35">
      <c r="A1053" t="s">
        <v>700</v>
      </c>
      <c r="B1053" s="16"/>
    </row>
    <row r="1054" spans="1:10" x14ac:dyDescent="0.35">
      <c r="A1054" t="s">
        <v>470</v>
      </c>
      <c r="B1054" s="16"/>
    </row>
    <row r="1055" spans="1:10" x14ac:dyDescent="0.35">
      <c r="A1055" t="s">
        <v>471</v>
      </c>
      <c r="B1055" s="16"/>
    </row>
    <row r="1056" spans="1:10" x14ac:dyDescent="0.35">
      <c r="A1056" t="s">
        <v>957</v>
      </c>
      <c r="B1056" s="16"/>
      <c r="J1056">
        <v>40</v>
      </c>
    </row>
    <row r="1057" spans="1:9" x14ac:dyDescent="0.35">
      <c r="A1057" t="s">
        <v>700</v>
      </c>
      <c r="B1057" s="16"/>
    </row>
    <row r="1058" spans="1:9" x14ac:dyDescent="0.35">
      <c r="A1058" t="s">
        <v>438</v>
      </c>
      <c r="B1058" s="16"/>
    </row>
    <row r="1059" spans="1:9" x14ac:dyDescent="0.35">
      <c r="A1059" t="s">
        <v>439</v>
      </c>
      <c r="B1059" s="16"/>
    </row>
    <row r="1060" spans="1:9" x14ac:dyDescent="0.35">
      <c r="A1060" t="s">
        <v>441</v>
      </c>
      <c r="B1060" s="16"/>
    </row>
    <row r="1061" spans="1:9" x14ac:dyDescent="0.35">
      <c r="A1061" t="s">
        <v>701</v>
      </c>
      <c r="B1061" s="16"/>
    </row>
    <row r="1062" spans="1:9" x14ac:dyDescent="0.35">
      <c r="A1062" t="s">
        <v>442</v>
      </c>
      <c r="B1062" s="16" t="s">
        <v>443</v>
      </c>
      <c r="C1062" t="s">
        <v>444</v>
      </c>
      <c r="D1062" t="s">
        <v>445</v>
      </c>
      <c r="E1062" t="s">
        <v>445</v>
      </c>
      <c r="F1062" t="s">
        <v>446</v>
      </c>
      <c r="G1062" t="s">
        <v>447</v>
      </c>
      <c r="H1062" t="s">
        <v>448</v>
      </c>
      <c r="I1062" t="s">
        <v>448</v>
      </c>
    </row>
    <row r="1063" spans="1:9" x14ac:dyDescent="0.35">
      <c r="A1063" t="s">
        <v>450</v>
      </c>
      <c r="B1063" s="16" t="s">
        <v>451</v>
      </c>
      <c r="C1063" t="s">
        <v>452</v>
      </c>
      <c r="D1063" t="s">
        <v>453</v>
      </c>
      <c r="E1063" t="s">
        <v>454</v>
      </c>
      <c r="F1063" t="s">
        <v>455</v>
      </c>
      <c r="G1063" t="s">
        <v>456</v>
      </c>
      <c r="H1063" t="s">
        <v>457</v>
      </c>
      <c r="I1063" t="s">
        <v>458</v>
      </c>
    </row>
    <row r="1064" spans="1:9" x14ac:dyDescent="0.35">
      <c r="A1064" t="s">
        <v>702</v>
      </c>
      <c r="B1064" s="16" t="s">
        <v>703</v>
      </c>
      <c r="C1064" t="s">
        <v>704</v>
      </c>
      <c r="D1064" t="s">
        <v>704</v>
      </c>
      <c r="E1064" t="s">
        <v>704</v>
      </c>
      <c r="F1064" t="s">
        <v>705</v>
      </c>
      <c r="G1064" t="s">
        <v>704</v>
      </c>
      <c r="H1064" t="s">
        <v>704</v>
      </c>
      <c r="I1064" t="s">
        <v>704</v>
      </c>
    </row>
    <row r="1065" spans="1:9" x14ac:dyDescent="0.35">
      <c r="A1065">
        <v>1</v>
      </c>
      <c r="B1065" s="16">
        <v>1</v>
      </c>
      <c r="C1065">
        <v>7.4400000000000004E-3</v>
      </c>
      <c r="D1065">
        <v>0.81269999999999998</v>
      </c>
      <c r="E1065">
        <v>0.65329999999999999</v>
      </c>
      <c r="F1065">
        <v>13</v>
      </c>
      <c r="G1065">
        <v>4.8609999999999999E-3</v>
      </c>
      <c r="H1065">
        <v>0.21820000000000001</v>
      </c>
      <c r="I1065">
        <v>0.10489999999999999</v>
      </c>
    </row>
    <row r="1066" spans="1:9" x14ac:dyDescent="0.35">
      <c r="A1066">
        <v>2</v>
      </c>
      <c r="B1066" s="16">
        <v>2</v>
      </c>
      <c r="C1066">
        <v>1.307E-3</v>
      </c>
      <c r="D1066">
        <v>0.95220000000000005</v>
      </c>
      <c r="E1066">
        <v>1.1579999999999999</v>
      </c>
      <c r="F1066">
        <v>13</v>
      </c>
      <c r="G1066">
        <v>1.5139999999999999E-3</v>
      </c>
      <c r="H1066">
        <v>6.7960000000000007E-2</v>
      </c>
      <c r="I1066">
        <v>3.2689999999999997E-2</v>
      </c>
    </row>
    <row r="1067" spans="1:9" x14ac:dyDescent="0.35">
      <c r="A1067">
        <v>3</v>
      </c>
      <c r="B1067" s="16">
        <v>3</v>
      </c>
      <c r="C1067">
        <v>5.8789999999999997E-3</v>
      </c>
      <c r="D1067">
        <v>1.4530000000000001</v>
      </c>
      <c r="E1067">
        <v>1.2490000000000001</v>
      </c>
      <c r="F1067">
        <v>13</v>
      </c>
      <c r="G1067">
        <v>7.345E-3</v>
      </c>
      <c r="H1067">
        <v>0.32969999999999999</v>
      </c>
      <c r="I1067">
        <v>0.15859999999999999</v>
      </c>
    </row>
    <row r="1068" spans="1:9" x14ac:dyDescent="0.35">
      <c r="A1068">
        <v>4</v>
      </c>
      <c r="B1068" s="16">
        <v>4</v>
      </c>
      <c r="C1068">
        <v>7.4649999999999998E-4</v>
      </c>
      <c r="D1068">
        <v>1.462</v>
      </c>
      <c r="E1068">
        <v>1.129</v>
      </c>
      <c r="F1068">
        <v>13</v>
      </c>
      <c r="G1068">
        <v>8.4270000000000005E-4</v>
      </c>
      <c r="H1068">
        <v>3.7819999999999999E-2</v>
      </c>
      <c r="I1068">
        <v>1.8190000000000001E-2</v>
      </c>
    </row>
    <row r="1069" spans="1:9" x14ac:dyDescent="0.35">
      <c r="A1069">
        <v>5</v>
      </c>
      <c r="B1069" s="16">
        <v>5</v>
      </c>
      <c r="C1069" s="4">
        <v>3.255E-7</v>
      </c>
      <c r="D1069">
        <v>1.3919999999999999</v>
      </c>
      <c r="E1069">
        <v>1.2589999999999999</v>
      </c>
      <c r="F1069">
        <v>13</v>
      </c>
      <c r="G1069" s="4">
        <v>4.0989999999999998E-7</v>
      </c>
      <c r="H1069" s="4">
        <v>1.84E-5</v>
      </c>
      <c r="I1069" s="4">
        <v>8.8489999999999995E-6</v>
      </c>
    </row>
    <row r="1070" spans="1:9" x14ac:dyDescent="0.35">
      <c r="A1070">
        <v>6</v>
      </c>
      <c r="B1070" s="16">
        <v>6</v>
      </c>
      <c r="C1070">
        <v>7.4649999999999998E-4</v>
      </c>
      <c r="D1070">
        <v>1.069</v>
      </c>
      <c r="E1070">
        <v>0.98250000000000004</v>
      </c>
      <c r="F1070">
        <v>13</v>
      </c>
      <c r="G1070">
        <v>7.3349999999999999E-4</v>
      </c>
      <c r="H1070">
        <v>3.2919999999999998E-2</v>
      </c>
      <c r="I1070">
        <v>1.584E-2</v>
      </c>
    </row>
    <row r="1071" spans="1:9" x14ac:dyDescent="0.35">
      <c r="A1071">
        <v>7</v>
      </c>
      <c r="B1071" s="16">
        <v>7</v>
      </c>
      <c r="C1071">
        <v>7.4400000000000004E-3</v>
      </c>
      <c r="D1071">
        <v>0.87949999999999995</v>
      </c>
      <c r="E1071">
        <v>0.73540000000000005</v>
      </c>
      <c r="F1071">
        <v>13</v>
      </c>
      <c r="G1071">
        <v>5.4710000000000002E-3</v>
      </c>
      <c r="H1071">
        <v>0.24560000000000001</v>
      </c>
      <c r="I1071">
        <v>0.1181</v>
      </c>
    </row>
    <row r="1072" spans="1:9" x14ac:dyDescent="0.35">
      <c r="A1072">
        <v>8</v>
      </c>
      <c r="B1072" s="16">
        <v>8</v>
      </c>
      <c r="C1072">
        <v>2.624E-3</v>
      </c>
      <c r="D1072">
        <v>0.9304</v>
      </c>
      <c r="E1072">
        <v>0.57350000000000001</v>
      </c>
      <c r="F1072">
        <v>13</v>
      </c>
      <c r="G1072">
        <v>1.505E-3</v>
      </c>
      <c r="H1072">
        <v>6.7559999999999995E-2</v>
      </c>
      <c r="I1072">
        <v>3.2500000000000001E-2</v>
      </c>
    </row>
    <row r="1073" spans="1:10" x14ac:dyDescent="0.35">
      <c r="A1073">
        <v>9</v>
      </c>
      <c r="B1073" s="16">
        <v>9</v>
      </c>
      <c r="C1073" s="4">
        <v>4.5050000000000002E-11</v>
      </c>
      <c r="D1073">
        <v>0.98399999999999999</v>
      </c>
      <c r="E1073">
        <v>1.2709999999999999</v>
      </c>
      <c r="F1073">
        <v>13</v>
      </c>
      <c r="G1073" s="4">
        <v>5.727E-11</v>
      </c>
      <c r="H1073" s="4">
        <v>2.5709999999999999E-9</v>
      </c>
      <c r="I1073" s="4">
        <v>1.2360000000000001E-9</v>
      </c>
    </row>
    <row r="1074" spans="1:10" x14ac:dyDescent="0.35">
      <c r="A1074">
        <v>10</v>
      </c>
      <c r="B1074" s="16">
        <v>10</v>
      </c>
      <c r="C1074" s="4">
        <v>4.6179999999999997E-6</v>
      </c>
      <c r="D1074">
        <v>1.304</v>
      </c>
      <c r="E1074">
        <v>1.0900000000000001</v>
      </c>
      <c r="F1074">
        <v>13</v>
      </c>
      <c r="G1074" s="4">
        <v>5.0329999999999999E-6</v>
      </c>
      <c r="H1074">
        <v>2.2589999999999999E-4</v>
      </c>
      <c r="I1074">
        <v>1.087E-4</v>
      </c>
    </row>
    <row r="1075" spans="1:10" x14ac:dyDescent="0.35">
      <c r="A1075">
        <v>11</v>
      </c>
      <c r="B1075" s="16" t="s">
        <v>464</v>
      </c>
      <c r="C1075">
        <v>9.2050000000000007E-2</v>
      </c>
      <c r="D1075">
        <v>0.35199999999999998</v>
      </c>
      <c r="E1075">
        <v>0.26119999999999999</v>
      </c>
      <c r="F1075">
        <v>13</v>
      </c>
      <c r="G1075">
        <v>2.4039999999999999E-2</v>
      </c>
      <c r="H1075" t="s">
        <v>452</v>
      </c>
      <c r="I1075">
        <v>0.51900000000000002</v>
      </c>
    </row>
    <row r="1076" spans="1:10" x14ac:dyDescent="0.35">
      <c r="A1076">
        <v>12</v>
      </c>
      <c r="B1076" s="16" t="s">
        <v>466</v>
      </c>
      <c r="C1076">
        <v>0.26500000000000001</v>
      </c>
      <c r="D1076">
        <v>0.25180000000000002</v>
      </c>
      <c r="E1076">
        <v>0.20430000000000001</v>
      </c>
      <c r="F1076">
        <v>13</v>
      </c>
      <c r="G1076">
        <v>5.4129999999999998E-2</v>
      </c>
      <c r="H1076" t="s">
        <v>452</v>
      </c>
      <c r="I1076">
        <v>0.70840000000000003</v>
      </c>
    </row>
    <row r="1077" spans="1:10" x14ac:dyDescent="0.35">
      <c r="A1077">
        <v>13</v>
      </c>
      <c r="B1077" s="16" t="s">
        <v>467</v>
      </c>
      <c r="C1077">
        <v>0.1431</v>
      </c>
      <c r="D1077">
        <v>0.4899</v>
      </c>
      <c r="E1077">
        <v>0.39579999999999999</v>
      </c>
      <c r="F1077">
        <v>13</v>
      </c>
      <c r="G1077">
        <v>5.6649999999999999E-2</v>
      </c>
      <c r="H1077" t="s">
        <v>452</v>
      </c>
      <c r="I1077">
        <v>0.76219999999999999</v>
      </c>
    </row>
    <row r="1078" spans="1:10" x14ac:dyDescent="0.35">
      <c r="A1078">
        <v>14</v>
      </c>
      <c r="B1078" s="16" t="s">
        <v>469</v>
      </c>
      <c r="C1078">
        <v>9.6460000000000004E-2</v>
      </c>
      <c r="D1078">
        <v>0.63160000000000005</v>
      </c>
      <c r="E1078">
        <v>0.49199999999999999</v>
      </c>
      <c r="F1078">
        <v>13</v>
      </c>
      <c r="G1078">
        <v>4.7460000000000002E-2</v>
      </c>
      <c r="H1078" t="s">
        <v>452</v>
      </c>
      <c r="I1078">
        <v>0.72860000000000003</v>
      </c>
    </row>
    <row r="1079" spans="1:10" x14ac:dyDescent="0.35">
      <c r="A1079" t="s">
        <v>701</v>
      </c>
      <c r="B1079" s="16"/>
    </row>
    <row r="1080" spans="1:10" x14ac:dyDescent="0.35">
      <c r="A1080" t="s">
        <v>700</v>
      </c>
      <c r="B1080" s="16"/>
    </row>
    <row r="1081" spans="1:10" x14ac:dyDescent="0.35">
      <c r="A1081" t="s">
        <v>470</v>
      </c>
      <c r="B1081" s="16"/>
    </row>
    <row r="1082" spans="1:10" x14ac:dyDescent="0.35">
      <c r="A1082" t="s">
        <v>471</v>
      </c>
      <c r="B1082" s="16"/>
    </row>
    <row r="1083" spans="1:10" x14ac:dyDescent="0.35">
      <c r="A1083" t="s">
        <v>659</v>
      </c>
      <c r="B1083" s="16"/>
      <c r="J1083">
        <v>41</v>
      </c>
    </row>
    <row r="1084" spans="1:10" x14ac:dyDescent="0.35">
      <c r="A1084" t="s">
        <v>700</v>
      </c>
      <c r="B1084" s="16"/>
    </row>
    <row r="1085" spans="1:10" x14ac:dyDescent="0.35">
      <c r="A1085" t="s">
        <v>438</v>
      </c>
      <c r="B1085" s="16"/>
    </row>
    <row r="1086" spans="1:10" x14ac:dyDescent="0.35">
      <c r="A1086" t="s">
        <v>439</v>
      </c>
      <c r="B1086" s="16"/>
    </row>
    <row r="1087" spans="1:10" x14ac:dyDescent="0.35">
      <c r="A1087" t="s">
        <v>441</v>
      </c>
      <c r="B1087" s="16"/>
    </row>
    <row r="1088" spans="1:10" x14ac:dyDescent="0.35">
      <c r="A1088" t="s">
        <v>701</v>
      </c>
      <c r="B1088" s="16"/>
    </row>
    <row r="1089" spans="1:9" x14ac:dyDescent="0.35">
      <c r="A1089" t="s">
        <v>442</v>
      </c>
      <c r="B1089" s="16" t="s">
        <v>443</v>
      </c>
      <c r="C1089" t="s">
        <v>444</v>
      </c>
      <c r="D1089" t="s">
        <v>445</v>
      </c>
      <c r="E1089" t="s">
        <v>445</v>
      </c>
      <c r="F1089" t="s">
        <v>446</v>
      </c>
      <c r="G1089" t="s">
        <v>447</v>
      </c>
      <c r="H1089" t="s">
        <v>448</v>
      </c>
      <c r="I1089" t="s">
        <v>448</v>
      </c>
    </row>
    <row r="1090" spans="1:9" x14ac:dyDescent="0.35">
      <c r="A1090" t="s">
        <v>450</v>
      </c>
      <c r="B1090" s="16" t="s">
        <v>451</v>
      </c>
      <c r="C1090" t="s">
        <v>452</v>
      </c>
      <c r="D1090" t="s">
        <v>453</v>
      </c>
      <c r="E1090" t="s">
        <v>454</v>
      </c>
      <c r="F1090" t="s">
        <v>455</v>
      </c>
      <c r="G1090" t="s">
        <v>456</v>
      </c>
      <c r="H1090" t="s">
        <v>457</v>
      </c>
      <c r="I1090" t="s">
        <v>458</v>
      </c>
    </row>
    <row r="1091" spans="1:9" x14ac:dyDescent="0.35">
      <c r="A1091" t="s">
        <v>702</v>
      </c>
      <c r="B1091" s="16" t="s">
        <v>703</v>
      </c>
      <c r="C1091" t="s">
        <v>704</v>
      </c>
      <c r="D1091" t="s">
        <v>704</v>
      </c>
      <c r="E1091" t="s">
        <v>704</v>
      </c>
      <c r="F1091" t="s">
        <v>705</v>
      </c>
      <c r="G1091" t="s">
        <v>704</v>
      </c>
      <c r="H1091" t="s">
        <v>704</v>
      </c>
      <c r="I1091" t="s">
        <v>704</v>
      </c>
    </row>
    <row r="1092" spans="1:9" x14ac:dyDescent="0.35">
      <c r="A1092">
        <v>1</v>
      </c>
      <c r="B1092" s="16" t="s">
        <v>515</v>
      </c>
      <c r="C1092" s="4">
        <v>3.3610000000000001E-18</v>
      </c>
      <c r="D1092">
        <v>4.1029999999999998</v>
      </c>
      <c r="E1092">
        <v>4.1029999999999998</v>
      </c>
      <c r="F1092">
        <v>21</v>
      </c>
      <c r="G1092" s="4">
        <v>1.379E-17</v>
      </c>
      <c r="H1092" s="4">
        <v>2.6269999999999999E-15</v>
      </c>
      <c r="I1092" s="4">
        <v>5.8660000000000001E-17</v>
      </c>
    </row>
    <row r="1093" spans="1:9" x14ac:dyDescent="0.35">
      <c r="A1093">
        <v>2</v>
      </c>
      <c r="B1093" s="16" t="s">
        <v>516</v>
      </c>
      <c r="C1093" s="4">
        <v>6.6430000000000003E-9</v>
      </c>
      <c r="D1093">
        <v>1.7430000000000001</v>
      </c>
      <c r="E1093">
        <v>1.7430000000000001</v>
      </c>
      <c r="F1093">
        <v>21</v>
      </c>
      <c r="G1093" s="4">
        <v>1.158E-8</v>
      </c>
      <c r="H1093" s="4">
        <v>2.2050000000000001E-6</v>
      </c>
      <c r="I1093" s="4">
        <v>4.9240000000000003E-8</v>
      </c>
    </row>
    <row r="1094" spans="1:9" x14ac:dyDescent="0.35">
      <c r="A1094">
        <v>3</v>
      </c>
      <c r="B1094" s="16" t="s">
        <v>517</v>
      </c>
      <c r="C1094" s="4">
        <v>8.9220000000000004E-9</v>
      </c>
      <c r="D1094">
        <v>3.31</v>
      </c>
      <c r="E1094">
        <v>3.31</v>
      </c>
      <c r="F1094">
        <v>21</v>
      </c>
      <c r="G1094" s="4">
        <v>2.953E-8</v>
      </c>
      <c r="H1094" s="4">
        <v>5.6269999999999997E-6</v>
      </c>
      <c r="I1094" s="4">
        <v>1.2560000000000001E-7</v>
      </c>
    </row>
    <row r="1095" spans="1:9" x14ac:dyDescent="0.35">
      <c r="A1095">
        <v>4</v>
      </c>
      <c r="B1095" s="16" t="s">
        <v>518</v>
      </c>
      <c r="C1095" s="4">
        <v>1.446E-9</v>
      </c>
      <c r="D1095">
        <v>1.3520000000000001</v>
      </c>
      <c r="E1095">
        <v>1.3520000000000001</v>
      </c>
      <c r="F1095">
        <v>21</v>
      </c>
      <c r="G1095" s="4">
        <v>1.9540000000000001E-9</v>
      </c>
      <c r="H1095" s="4">
        <v>3.7230000000000002E-7</v>
      </c>
      <c r="I1095" s="4">
        <v>8.3120000000000002E-9</v>
      </c>
    </row>
    <row r="1096" spans="1:9" x14ac:dyDescent="0.35">
      <c r="A1096">
        <v>5</v>
      </c>
      <c r="B1096" s="16" t="s">
        <v>584</v>
      </c>
      <c r="C1096" s="4">
        <v>4.9179999999999998E-9</v>
      </c>
      <c r="D1096">
        <v>2.46</v>
      </c>
      <c r="E1096">
        <v>2.46</v>
      </c>
      <c r="F1096">
        <v>21</v>
      </c>
      <c r="G1096" s="4">
        <v>1.2100000000000001E-8</v>
      </c>
      <c r="H1096" s="4">
        <v>2.305E-6</v>
      </c>
      <c r="I1096" s="4">
        <v>5.1459999999999999E-8</v>
      </c>
    </row>
    <row r="1097" spans="1:9" x14ac:dyDescent="0.35">
      <c r="A1097">
        <v>6</v>
      </c>
      <c r="B1097" s="16" t="s">
        <v>585</v>
      </c>
      <c r="C1097" s="4">
        <v>6.8830000000000003E-5</v>
      </c>
      <c r="D1097">
        <v>2.012</v>
      </c>
      <c r="E1097">
        <v>2.012</v>
      </c>
      <c r="F1097">
        <v>21</v>
      </c>
      <c r="G1097">
        <v>1.3850000000000001E-4</v>
      </c>
      <c r="H1097">
        <v>2.6380000000000001E-2</v>
      </c>
      <c r="I1097">
        <v>5.8900000000000001E-4</v>
      </c>
    </row>
    <row r="1098" spans="1:9" x14ac:dyDescent="0.35">
      <c r="A1098">
        <v>7</v>
      </c>
      <c r="B1098" s="16" t="s">
        <v>579</v>
      </c>
      <c r="C1098">
        <v>2.0339999999999998E-3</v>
      </c>
      <c r="D1098">
        <v>2.4860000000000002</v>
      </c>
      <c r="E1098">
        <v>2.4860000000000002</v>
      </c>
      <c r="F1098">
        <v>21</v>
      </c>
      <c r="G1098">
        <v>5.058E-3</v>
      </c>
      <c r="H1098">
        <v>0.9637</v>
      </c>
      <c r="I1098">
        <v>2.1520000000000001E-2</v>
      </c>
    </row>
    <row r="1099" spans="1:9" x14ac:dyDescent="0.35">
      <c r="A1099">
        <v>8</v>
      </c>
      <c r="B1099" s="16" t="s">
        <v>580</v>
      </c>
      <c r="C1099" s="4">
        <v>3.4150000000000001E-13</v>
      </c>
      <c r="D1099">
        <v>2.242</v>
      </c>
      <c r="E1099">
        <v>2.242</v>
      </c>
      <c r="F1099">
        <v>21</v>
      </c>
      <c r="G1099" s="4">
        <v>7.6539999999999995E-13</v>
      </c>
      <c r="H1099" s="4">
        <v>1.458E-10</v>
      </c>
      <c r="I1099" s="4">
        <v>3.2559999999999999E-12</v>
      </c>
    </row>
    <row r="1100" spans="1:9" x14ac:dyDescent="0.35">
      <c r="A1100">
        <v>9</v>
      </c>
      <c r="B1100" s="16" t="s">
        <v>586</v>
      </c>
      <c r="C1100" s="4">
        <v>1.7890000000000001E-16</v>
      </c>
      <c r="D1100">
        <v>3.7869999999999999</v>
      </c>
      <c r="E1100">
        <v>3.7869999999999999</v>
      </c>
      <c r="F1100">
        <v>21</v>
      </c>
      <c r="G1100" s="4">
        <v>6.7760000000000001E-16</v>
      </c>
      <c r="H1100" s="4">
        <v>1.291E-13</v>
      </c>
      <c r="I1100" s="4">
        <v>2.8819999999999999E-15</v>
      </c>
    </row>
    <row r="1101" spans="1:9" x14ac:dyDescent="0.35">
      <c r="A1101">
        <v>10</v>
      </c>
      <c r="B1101" s="16" t="s">
        <v>500</v>
      </c>
      <c r="C1101" s="4">
        <v>3.0920000000000002E-12</v>
      </c>
      <c r="D1101">
        <v>0.70860000000000001</v>
      </c>
      <c r="E1101">
        <v>0.70860000000000001</v>
      </c>
      <c r="F1101">
        <v>21</v>
      </c>
      <c r="G1101" s="4">
        <v>2.1909999999999999E-12</v>
      </c>
      <c r="H1101" s="4">
        <v>4.1739999999999998E-10</v>
      </c>
      <c r="I1101" s="4">
        <v>9.3189999999999994E-12</v>
      </c>
    </row>
    <row r="1102" spans="1:9" x14ac:dyDescent="0.35">
      <c r="A1102">
        <v>11</v>
      </c>
      <c r="B1102" s="16" t="s">
        <v>501</v>
      </c>
      <c r="C1102" s="4">
        <v>1.5980000000000001E-13</v>
      </c>
      <c r="D1102">
        <v>3.6469999999999998</v>
      </c>
      <c r="E1102">
        <v>3.6469999999999998</v>
      </c>
      <c r="F1102">
        <v>21</v>
      </c>
      <c r="G1102" s="4">
        <v>5.828E-13</v>
      </c>
      <c r="H1102" s="4">
        <v>1.11E-10</v>
      </c>
      <c r="I1102" s="4">
        <v>2.4789999999999998E-12</v>
      </c>
    </row>
    <row r="1103" spans="1:9" x14ac:dyDescent="0.35">
      <c r="A1103">
        <v>12</v>
      </c>
      <c r="B1103" s="16" t="s">
        <v>502</v>
      </c>
      <c r="C1103" s="4">
        <v>3.7480000000000002E-14</v>
      </c>
      <c r="D1103">
        <v>2.7989999999999999</v>
      </c>
      <c r="E1103">
        <v>2.7989999999999999</v>
      </c>
      <c r="F1103">
        <v>21</v>
      </c>
      <c r="G1103" s="4">
        <v>1.049E-13</v>
      </c>
      <c r="H1103" s="4">
        <v>1.9979999999999998E-11</v>
      </c>
      <c r="I1103" s="4">
        <v>4.4609999999999999E-13</v>
      </c>
    </row>
    <row r="1104" spans="1:9" x14ac:dyDescent="0.35">
      <c r="A1104">
        <v>13</v>
      </c>
      <c r="B1104" s="16" t="s">
        <v>581</v>
      </c>
      <c r="C1104" s="4">
        <v>3.8770000000000003E-5</v>
      </c>
      <c r="D1104">
        <v>1.345</v>
      </c>
      <c r="E1104">
        <v>1.345</v>
      </c>
      <c r="F1104">
        <v>19</v>
      </c>
      <c r="G1104" s="4">
        <v>5.2160000000000002E-5</v>
      </c>
      <c r="H1104">
        <v>9.9380000000000007E-3</v>
      </c>
      <c r="I1104">
        <v>2.219E-4</v>
      </c>
    </row>
    <row r="1105" spans="1:10" x14ac:dyDescent="0.35">
      <c r="A1105">
        <v>14</v>
      </c>
      <c r="B1105" s="16" t="s">
        <v>587</v>
      </c>
      <c r="C1105" s="4">
        <v>5.585E-11</v>
      </c>
      <c r="D1105">
        <v>3.5209999999999999</v>
      </c>
      <c r="E1105">
        <v>3.5209999999999999</v>
      </c>
      <c r="F1105">
        <v>21</v>
      </c>
      <c r="G1105" s="4">
        <v>1.967E-10</v>
      </c>
      <c r="H1105" s="4">
        <v>3.7469999999999997E-8</v>
      </c>
      <c r="I1105" s="4">
        <v>8.3649999999999995E-10</v>
      </c>
    </row>
    <row r="1106" spans="1:10" x14ac:dyDescent="0.35">
      <c r="A1106">
        <v>15</v>
      </c>
      <c r="B1106" s="16" t="s">
        <v>588</v>
      </c>
      <c r="C1106" s="4">
        <v>3.4150000000000001E-13</v>
      </c>
      <c r="D1106">
        <v>3.4449999999999998</v>
      </c>
      <c r="E1106">
        <v>3.4449999999999998</v>
      </c>
      <c r="F1106">
        <v>21</v>
      </c>
      <c r="G1106" s="4">
        <v>1.176E-12</v>
      </c>
      <c r="H1106" s="4">
        <v>2.2410000000000001E-10</v>
      </c>
      <c r="I1106" s="4">
        <v>5.0030000000000004E-12</v>
      </c>
    </row>
    <row r="1107" spans="1:10" x14ac:dyDescent="0.35">
      <c r="A1107">
        <v>16</v>
      </c>
      <c r="B1107" s="16" t="s">
        <v>589</v>
      </c>
      <c r="C1107" s="4">
        <v>9.5410000000000003E-18</v>
      </c>
      <c r="D1107">
        <v>4.3319999999999999</v>
      </c>
      <c r="E1107">
        <v>4.3319999999999999</v>
      </c>
      <c r="F1107">
        <v>21</v>
      </c>
      <c r="G1107" s="4">
        <v>4.1329999999999998E-17</v>
      </c>
      <c r="H1107" s="4">
        <v>7.8729999999999999E-15</v>
      </c>
      <c r="I1107" s="4">
        <v>1.7579999999999999E-16</v>
      </c>
    </row>
    <row r="1108" spans="1:10" x14ac:dyDescent="0.35">
      <c r="A1108">
        <v>17</v>
      </c>
      <c r="B1108" s="16" t="s">
        <v>464</v>
      </c>
      <c r="C1108">
        <v>0.12859999999999999</v>
      </c>
      <c r="D1108">
        <v>1.7869999999999999</v>
      </c>
      <c r="E1108">
        <v>1.7869999999999999</v>
      </c>
      <c r="F1108">
        <v>21</v>
      </c>
      <c r="G1108">
        <v>0.2298</v>
      </c>
      <c r="H1108" t="s">
        <v>452</v>
      </c>
      <c r="I1108">
        <v>0.97770000000000001</v>
      </c>
    </row>
    <row r="1109" spans="1:10" x14ac:dyDescent="0.35">
      <c r="A1109">
        <v>18</v>
      </c>
      <c r="B1109" s="16" t="s">
        <v>466</v>
      </c>
      <c r="C1109">
        <v>0.4425</v>
      </c>
      <c r="D1109">
        <v>1.0469999999999999</v>
      </c>
      <c r="E1109">
        <v>1.0469999999999999</v>
      </c>
      <c r="F1109">
        <v>21</v>
      </c>
      <c r="G1109">
        <v>0.4632</v>
      </c>
      <c r="H1109" t="s">
        <v>452</v>
      </c>
      <c r="I1109">
        <v>0.98880000000000001</v>
      </c>
    </row>
    <row r="1110" spans="1:10" x14ac:dyDescent="0.35">
      <c r="A1110">
        <v>19</v>
      </c>
      <c r="B1110" s="16" t="s">
        <v>467</v>
      </c>
      <c r="C1110">
        <v>0.12859999999999999</v>
      </c>
      <c r="D1110">
        <v>1.9419999999999999</v>
      </c>
      <c r="E1110">
        <v>1.9419999999999999</v>
      </c>
      <c r="F1110">
        <v>21</v>
      </c>
      <c r="G1110">
        <v>0.24979999999999999</v>
      </c>
      <c r="H1110" t="s">
        <v>452</v>
      </c>
      <c r="I1110">
        <v>0.97960000000000003</v>
      </c>
    </row>
    <row r="1111" spans="1:10" x14ac:dyDescent="0.35">
      <c r="A1111">
        <v>20</v>
      </c>
      <c r="B1111" s="16" t="s">
        <v>469</v>
      </c>
      <c r="C1111">
        <v>0.12859999999999999</v>
      </c>
      <c r="D1111">
        <v>1.8180000000000001</v>
      </c>
      <c r="E1111">
        <v>1.8180000000000001</v>
      </c>
      <c r="F1111">
        <v>21</v>
      </c>
      <c r="G1111">
        <v>0.23380000000000001</v>
      </c>
      <c r="H1111" t="s">
        <v>452</v>
      </c>
      <c r="I1111">
        <v>0.97799999999999998</v>
      </c>
    </row>
    <row r="1112" spans="1:10" x14ac:dyDescent="0.35">
      <c r="A1112" t="s">
        <v>701</v>
      </c>
      <c r="B1112" s="16"/>
    </row>
    <row r="1113" spans="1:10" x14ac:dyDescent="0.35">
      <c r="A1113" t="s">
        <v>700</v>
      </c>
      <c r="B1113" s="16"/>
    </row>
    <row r="1114" spans="1:10" x14ac:dyDescent="0.35">
      <c r="A1114" t="s">
        <v>470</v>
      </c>
      <c r="B1114" s="16"/>
    </row>
    <row r="1115" spans="1:10" x14ac:dyDescent="0.35">
      <c r="A1115" t="s">
        <v>471</v>
      </c>
      <c r="B1115" s="16"/>
    </row>
    <row r="1116" spans="1:10" x14ac:dyDescent="0.35">
      <c r="A1116" t="s">
        <v>657</v>
      </c>
      <c r="B1116" s="16"/>
      <c r="J1116">
        <v>42</v>
      </c>
    </row>
    <row r="1117" spans="1:10" x14ac:dyDescent="0.35">
      <c r="A1117" t="s">
        <v>700</v>
      </c>
      <c r="B1117" s="16"/>
    </row>
    <row r="1118" spans="1:10" x14ac:dyDescent="0.35">
      <c r="A1118" t="s">
        <v>438</v>
      </c>
      <c r="B1118" s="16"/>
    </row>
    <row r="1119" spans="1:10" x14ac:dyDescent="0.35">
      <c r="A1119" t="s">
        <v>439</v>
      </c>
      <c r="B1119" s="16"/>
    </row>
    <row r="1120" spans="1:10" x14ac:dyDescent="0.35">
      <c r="A1120" t="s">
        <v>441</v>
      </c>
      <c r="B1120" s="16"/>
    </row>
    <row r="1121" spans="1:9" x14ac:dyDescent="0.35">
      <c r="A1121" t="s">
        <v>701</v>
      </c>
      <c r="B1121" s="16"/>
    </row>
    <row r="1122" spans="1:9" x14ac:dyDescent="0.35">
      <c r="A1122" t="s">
        <v>442</v>
      </c>
      <c r="B1122" s="16" t="s">
        <v>443</v>
      </c>
      <c r="C1122" t="s">
        <v>444</v>
      </c>
      <c r="D1122" t="s">
        <v>445</v>
      </c>
      <c r="E1122" t="s">
        <v>445</v>
      </c>
      <c r="F1122" t="s">
        <v>446</v>
      </c>
      <c r="G1122" t="s">
        <v>447</v>
      </c>
      <c r="H1122" t="s">
        <v>448</v>
      </c>
      <c r="I1122" t="s">
        <v>448</v>
      </c>
    </row>
    <row r="1123" spans="1:9" x14ac:dyDescent="0.35">
      <c r="A1123" t="s">
        <v>450</v>
      </c>
      <c r="B1123" s="16" t="s">
        <v>451</v>
      </c>
      <c r="C1123" t="s">
        <v>452</v>
      </c>
      <c r="D1123" t="s">
        <v>453</v>
      </c>
      <c r="E1123" t="s">
        <v>454</v>
      </c>
      <c r="F1123" t="s">
        <v>455</v>
      </c>
      <c r="G1123" t="s">
        <v>456</v>
      </c>
      <c r="H1123" t="s">
        <v>457</v>
      </c>
      <c r="I1123" t="s">
        <v>458</v>
      </c>
    </row>
    <row r="1124" spans="1:9" x14ac:dyDescent="0.35">
      <c r="A1124" t="s">
        <v>702</v>
      </c>
      <c r="B1124" s="16" t="s">
        <v>703</v>
      </c>
      <c r="C1124" t="s">
        <v>704</v>
      </c>
      <c r="D1124" t="s">
        <v>704</v>
      </c>
      <c r="E1124" t="s">
        <v>704</v>
      </c>
      <c r="F1124" t="s">
        <v>705</v>
      </c>
      <c r="G1124" t="s">
        <v>704</v>
      </c>
      <c r="H1124" t="s">
        <v>704</v>
      </c>
      <c r="I1124" t="s">
        <v>704</v>
      </c>
    </row>
    <row r="1125" spans="1:9" x14ac:dyDescent="0.35">
      <c r="A1125">
        <v>1</v>
      </c>
      <c r="B1125" s="16">
        <v>1</v>
      </c>
      <c r="C1125" s="4">
        <v>5.0389999999999998E-12</v>
      </c>
      <c r="D1125">
        <v>1.6080000000000001</v>
      </c>
      <c r="E1125">
        <v>1.9350000000000001</v>
      </c>
      <c r="F1125">
        <v>13</v>
      </c>
      <c r="G1125" s="4">
        <v>9.7500000000000003E-12</v>
      </c>
      <c r="H1125" s="4">
        <v>2.2890000000000001E-11</v>
      </c>
      <c r="I1125" s="4">
        <v>9.8749999999999998E-12</v>
      </c>
    </row>
    <row r="1126" spans="1:9" x14ac:dyDescent="0.35">
      <c r="A1126">
        <v>2</v>
      </c>
      <c r="B1126" s="16">
        <v>2</v>
      </c>
      <c r="C1126" s="4">
        <v>1.0319999999999999E-5</v>
      </c>
      <c r="D1126">
        <v>1.03</v>
      </c>
      <c r="E1126">
        <v>1.006</v>
      </c>
      <c r="F1126">
        <v>13</v>
      </c>
      <c r="G1126" s="4">
        <v>1.0380000000000001E-5</v>
      </c>
      <c r="H1126" s="4">
        <v>2.4369999999999999E-5</v>
      </c>
      <c r="I1126" s="4">
        <v>1.0509999999999999E-5</v>
      </c>
    </row>
    <row r="1127" spans="1:9" x14ac:dyDescent="0.35">
      <c r="A1127">
        <v>3</v>
      </c>
      <c r="B1127" s="16">
        <v>3</v>
      </c>
      <c r="C1127" s="4">
        <v>9.2150000000000004E-5</v>
      </c>
      <c r="D1127">
        <v>1.6659999999999999</v>
      </c>
      <c r="E1127">
        <v>1.651</v>
      </c>
      <c r="F1127">
        <v>13</v>
      </c>
      <c r="G1127">
        <v>1.5220000000000001E-4</v>
      </c>
      <c r="H1127">
        <v>3.5720000000000001E-4</v>
      </c>
      <c r="I1127">
        <v>1.5410000000000001E-4</v>
      </c>
    </row>
    <row r="1128" spans="1:9" x14ac:dyDescent="0.35">
      <c r="A1128">
        <v>4</v>
      </c>
      <c r="B1128" s="16">
        <v>4</v>
      </c>
      <c r="C1128" s="4">
        <v>1.0319999999999999E-5</v>
      </c>
      <c r="D1128">
        <v>1.302</v>
      </c>
      <c r="E1128">
        <v>1.484</v>
      </c>
      <c r="F1128">
        <v>13</v>
      </c>
      <c r="G1128" s="4">
        <v>1.5319999999999999E-5</v>
      </c>
      <c r="H1128" s="4">
        <v>3.5960000000000001E-5</v>
      </c>
      <c r="I1128" s="4">
        <v>1.5509999999999999E-5</v>
      </c>
    </row>
    <row r="1129" spans="1:9" x14ac:dyDescent="0.35">
      <c r="A1129">
        <v>5</v>
      </c>
      <c r="B1129" s="16">
        <v>5</v>
      </c>
      <c r="C1129">
        <v>1.505E-3</v>
      </c>
      <c r="D1129">
        <v>1.2230000000000001</v>
      </c>
      <c r="E1129">
        <v>1.3009999999999999</v>
      </c>
      <c r="F1129">
        <v>13</v>
      </c>
      <c r="G1129">
        <v>1.9580000000000001E-3</v>
      </c>
      <c r="H1129">
        <v>4.5960000000000003E-3</v>
      </c>
      <c r="I1129">
        <v>1.983E-3</v>
      </c>
    </row>
    <row r="1130" spans="1:9" x14ac:dyDescent="0.35">
      <c r="A1130">
        <v>6</v>
      </c>
      <c r="B1130" s="16">
        <v>6</v>
      </c>
      <c r="C1130">
        <v>0.27660000000000001</v>
      </c>
      <c r="D1130">
        <v>1.081</v>
      </c>
      <c r="E1130">
        <v>1.2849999999999999</v>
      </c>
      <c r="F1130">
        <v>13</v>
      </c>
      <c r="G1130">
        <v>0.35539999999999999</v>
      </c>
      <c r="H1130">
        <v>0.83430000000000004</v>
      </c>
      <c r="I1130">
        <v>0.3599</v>
      </c>
    </row>
    <row r="1131" spans="1:9" x14ac:dyDescent="0.35">
      <c r="A1131">
        <v>7</v>
      </c>
      <c r="B1131" s="16">
        <v>7</v>
      </c>
      <c r="C1131">
        <v>1.5449999999999999E-4</v>
      </c>
      <c r="D1131">
        <v>1.825</v>
      </c>
      <c r="E1131">
        <v>1.944</v>
      </c>
      <c r="F1131">
        <v>13</v>
      </c>
      <c r="G1131">
        <v>3.0039999999999998E-4</v>
      </c>
      <c r="H1131">
        <v>7.0529999999999996E-4</v>
      </c>
      <c r="I1131">
        <v>3.0430000000000002E-4</v>
      </c>
    </row>
    <row r="1132" spans="1:9" x14ac:dyDescent="0.35">
      <c r="A1132">
        <v>8</v>
      </c>
      <c r="B1132" s="16">
        <v>8</v>
      </c>
      <c r="C1132" s="4">
        <v>1.363E-5</v>
      </c>
      <c r="D1132">
        <v>1.698</v>
      </c>
      <c r="E1132">
        <v>1.913</v>
      </c>
      <c r="F1132">
        <v>13</v>
      </c>
      <c r="G1132" s="4">
        <v>2.6069999999999999E-5</v>
      </c>
      <c r="H1132" s="4">
        <v>6.1210000000000005E-5</v>
      </c>
      <c r="I1132" s="4">
        <v>2.641E-5</v>
      </c>
    </row>
    <row r="1133" spans="1:9" x14ac:dyDescent="0.35">
      <c r="A1133">
        <v>9</v>
      </c>
      <c r="B1133" s="16">
        <v>9</v>
      </c>
      <c r="C1133">
        <v>5.3039999999999997E-2</v>
      </c>
      <c r="D1133">
        <v>1.0780000000000001</v>
      </c>
      <c r="E1133">
        <v>1.2849999999999999</v>
      </c>
      <c r="F1133">
        <v>13</v>
      </c>
      <c r="G1133">
        <v>6.8129999999999996E-2</v>
      </c>
      <c r="H1133">
        <v>0.16</v>
      </c>
      <c r="I1133">
        <v>6.9000000000000006E-2</v>
      </c>
    </row>
    <row r="1134" spans="1:9" x14ac:dyDescent="0.35">
      <c r="A1134">
        <v>10</v>
      </c>
      <c r="B1134" s="16" t="s">
        <v>464</v>
      </c>
      <c r="C1134">
        <v>0.61399999999999999</v>
      </c>
      <c r="D1134">
        <v>0.77159999999999995</v>
      </c>
      <c r="E1134">
        <v>0.91439999999999999</v>
      </c>
      <c r="F1134">
        <v>13</v>
      </c>
      <c r="G1134">
        <v>0.56140000000000001</v>
      </c>
      <c r="H1134" t="s">
        <v>452</v>
      </c>
      <c r="I1134">
        <v>0.56859999999999999</v>
      </c>
    </row>
    <row r="1135" spans="1:9" x14ac:dyDescent="0.35">
      <c r="A1135">
        <v>11</v>
      </c>
      <c r="B1135" s="16" t="s">
        <v>466</v>
      </c>
      <c r="C1135">
        <v>6.3200000000000006E-2</v>
      </c>
      <c r="D1135">
        <v>0.33779999999999999</v>
      </c>
      <c r="E1135">
        <v>0.43480000000000002</v>
      </c>
      <c r="F1135">
        <v>13</v>
      </c>
      <c r="G1135">
        <v>2.7480000000000001E-2</v>
      </c>
      <c r="H1135" t="s">
        <v>452</v>
      </c>
      <c r="I1135">
        <v>6.0600000000000001E-2</v>
      </c>
    </row>
    <row r="1136" spans="1:9" x14ac:dyDescent="0.35">
      <c r="A1136">
        <v>12</v>
      </c>
      <c r="B1136" s="16" t="s">
        <v>467</v>
      </c>
      <c r="C1136">
        <v>0.61399999999999999</v>
      </c>
      <c r="D1136">
        <v>0.77969999999999995</v>
      </c>
      <c r="E1136">
        <v>0.92400000000000004</v>
      </c>
      <c r="F1136">
        <v>13</v>
      </c>
      <c r="G1136">
        <v>0.56730000000000003</v>
      </c>
      <c r="H1136" t="s">
        <v>452</v>
      </c>
      <c r="I1136">
        <v>0.57140000000000002</v>
      </c>
    </row>
    <row r="1137" spans="1:10" x14ac:dyDescent="0.35">
      <c r="A1137">
        <v>13</v>
      </c>
      <c r="B1137" s="16" t="s">
        <v>469</v>
      </c>
      <c r="C1137">
        <v>0.92810000000000004</v>
      </c>
      <c r="D1137">
        <v>0.82499999999999996</v>
      </c>
      <c r="E1137">
        <v>0.99160000000000004</v>
      </c>
      <c r="F1137">
        <v>13</v>
      </c>
      <c r="G1137">
        <v>0.92030000000000001</v>
      </c>
      <c r="H1137" t="s">
        <v>452</v>
      </c>
      <c r="I1137">
        <v>0.68379999999999996</v>
      </c>
    </row>
    <row r="1138" spans="1:10" x14ac:dyDescent="0.35">
      <c r="A1138" t="s">
        <v>701</v>
      </c>
      <c r="B1138" s="16"/>
    </row>
    <row r="1139" spans="1:10" x14ac:dyDescent="0.35">
      <c r="A1139" t="s">
        <v>700</v>
      </c>
      <c r="B1139" s="16"/>
    </row>
    <row r="1140" spans="1:10" x14ac:dyDescent="0.35">
      <c r="A1140" t="s">
        <v>470</v>
      </c>
      <c r="B1140" s="16"/>
    </row>
    <row r="1141" spans="1:10" x14ac:dyDescent="0.35">
      <c r="A1141" t="s">
        <v>471</v>
      </c>
      <c r="B1141" s="16"/>
    </row>
    <row r="1142" spans="1:10" x14ac:dyDescent="0.35">
      <c r="A1142" t="s">
        <v>658</v>
      </c>
      <c r="B1142" s="16"/>
      <c r="J1142">
        <v>43</v>
      </c>
    </row>
    <row r="1143" spans="1:10" x14ac:dyDescent="0.35">
      <c r="A1143" t="s">
        <v>700</v>
      </c>
      <c r="B1143" s="16"/>
    </row>
    <row r="1144" spans="1:10" x14ac:dyDescent="0.35">
      <c r="A1144" t="s">
        <v>438</v>
      </c>
      <c r="B1144" s="16"/>
    </row>
    <row r="1145" spans="1:10" x14ac:dyDescent="0.35">
      <c r="A1145" t="s">
        <v>439</v>
      </c>
      <c r="B1145" s="16"/>
    </row>
    <row r="1146" spans="1:10" x14ac:dyDescent="0.35">
      <c r="A1146" t="s">
        <v>441</v>
      </c>
      <c r="B1146" s="16"/>
    </row>
    <row r="1147" spans="1:10" x14ac:dyDescent="0.35">
      <c r="A1147" t="s">
        <v>701</v>
      </c>
      <c r="B1147" s="16"/>
    </row>
    <row r="1148" spans="1:10" x14ac:dyDescent="0.35">
      <c r="A1148" t="s">
        <v>442</v>
      </c>
      <c r="B1148" s="16" t="s">
        <v>443</v>
      </c>
      <c r="C1148" t="s">
        <v>444</v>
      </c>
      <c r="D1148" t="s">
        <v>445</v>
      </c>
      <c r="E1148" t="s">
        <v>445</v>
      </c>
      <c r="F1148" t="s">
        <v>446</v>
      </c>
      <c r="G1148" t="s">
        <v>447</v>
      </c>
      <c r="H1148" t="s">
        <v>448</v>
      </c>
      <c r="I1148" t="s">
        <v>448</v>
      </c>
    </row>
    <row r="1149" spans="1:10" x14ac:dyDescent="0.35">
      <c r="A1149" t="s">
        <v>450</v>
      </c>
      <c r="B1149" s="16" t="s">
        <v>451</v>
      </c>
      <c r="C1149" t="s">
        <v>452</v>
      </c>
      <c r="D1149" t="s">
        <v>453</v>
      </c>
      <c r="E1149" t="s">
        <v>454</v>
      </c>
      <c r="F1149" t="s">
        <v>455</v>
      </c>
      <c r="G1149" t="s">
        <v>456</v>
      </c>
      <c r="H1149" t="s">
        <v>457</v>
      </c>
      <c r="I1149" t="s">
        <v>458</v>
      </c>
    </row>
    <row r="1150" spans="1:10" x14ac:dyDescent="0.35">
      <c r="A1150" t="s">
        <v>702</v>
      </c>
      <c r="B1150" s="16" t="s">
        <v>703</v>
      </c>
      <c r="C1150" t="s">
        <v>704</v>
      </c>
      <c r="D1150" t="s">
        <v>704</v>
      </c>
      <c r="E1150" t="s">
        <v>704</v>
      </c>
      <c r="F1150" t="s">
        <v>705</v>
      </c>
      <c r="G1150" t="s">
        <v>704</v>
      </c>
      <c r="H1150" t="s">
        <v>704</v>
      </c>
      <c r="I1150" t="s">
        <v>704</v>
      </c>
    </row>
    <row r="1151" spans="1:10" x14ac:dyDescent="0.35">
      <c r="A1151">
        <v>1</v>
      </c>
      <c r="B1151" s="16">
        <v>1</v>
      </c>
      <c r="C1151" s="4">
        <v>5.0660000000000005E-7</v>
      </c>
      <c r="D1151">
        <v>1.1639999999999999</v>
      </c>
      <c r="E1151">
        <v>1.1639999999999999</v>
      </c>
      <c r="F1151">
        <v>15</v>
      </c>
      <c r="G1151" s="4">
        <v>5.8970000000000005E-7</v>
      </c>
      <c r="H1151" s="4">
        <v>1.4810000000000001E-5</v>
      </c>
      <c r="I1151" s="4">
        <v>5.0499999999999999E-6</v>
      </c>
    </row>
    <row r="1152" spans="1:10" x14ac:dyDescent="0.35">
      <c r="A1152">
        <v>2</v>
      </c>
      <c r="B1152" s="16">
        <v>2</v>
      </c>
      <c r="C1152">
        <v>1.3519999999999999E-3</v>
      </c>
      <c r="D1152">
        <v>1.3859999999999999</v>
      </c>
      <c r="E1152">
        <v>1.3859999999999999</v>
      </c>
      <c r="F1152">
        <v>20</v>
      </c>
      <c r="G1152">
        <v>1.874E-3</v>
      </c>
      <c r="H1152">
        <v>4.7059999999999998E-2</v>
      </c>
      <c r="I1152">
        <v>1.6049999999999998E-2</v>
      </c>
    </row>
    <row r="1153" spans="1:10" x14ac:dyDescent="0.35">
      <c r="A1153">
        <v>3</v>
      </c>
      <c r="B1153" s="16">
        <v>3</v>
      </c>
      <c r="C1153" s="4">
        <v>3.2580000000000001E-9</v>
      </c>
      <c r="D1153">
        <v>1.206</v>
      </c>
      <c r="E1153">
        <v>1.206</v>
      </c>
      <c r="F1153">
        <v>20</v>
      </c>
      <c r="G1153" s="4">
        <v>3.9309999999999998E-9</v>
      </c>
      <c r="H1153" s="4">
        <v>9.872E-8</v>
      </c>
      <c r="I1153" s="4">
        <v>3.3659999999999998E-8</v>
      </c>
    </row>
    <row r="1154" spans="1:10" x14ac:dyDescent="0.35">
      <c r="A1154">
        <v>4</v>
      </c>
      <c r="B1154" s="16">
        <v>4</v>
      </c>
      <c r="C1154">
        <v>3.807E-2</v>
      </c>
      <c r="D1154">
        <v>0.92259999999999998</v>
      </c>
      <c r="E1154">
        <v>0.92259999999999998</v>
      </c>
      <c r="F1154">
        <v>20</v>
      </c>
      <c r="G1154">
        <v>3.5119999999999998E-2</v>
      </c>
      <c r="H1154">
        <v>0.88200000000000001</v>
      </c>
      <c r="I1154">
        <v>0.30070000000000002</v>
      </c>
    </row>
    <row r="1155" spans="1:10" x14ac:dyDescent="0.35">
      <c r="A1155">
        <v>5</v>
      </c>
      <c r="B1155" s="16">
        <v>5</v>
      </c>
      <c r="C1155" s="4">
        <v>2.9750000000000002E-9</v>
      </c>
      <c r="D1155">
        <v>0.96730000000000005</v>
      </c>
      <c r="E1155">
        <v>0.96730000000000005</v>
      </c>
      <c r="F1155">
        <v>20</v>
      </c>
      <c r="G1155" s="4">
        <v>2.8780000000000002E-9</v>
      </c>
      <c r="H1155" s="4">
        <v>7.2269999999999998E-8</v>
      </c>
      <c r="I1155" s="4">
        <v>2.4640000000000001E-8</v>
      </c>
    </row>
    <row r="1156" spans="1:10" x14ac:dyDescent="0.35">
      <c r="A1156">
        <v>6</v>
      </c>
      <c r="B1156" s="16">
        <v>6</v>
      </c>
      <c r="C1156" s="4">
        <v>6.2610000000000004E-10</v>
      </c>
      <c r="D1156">
        <v>1.7210000000000001</v>
      </c>
      <c r="E1156">
        <v>1.7210000000000001</v>
      </c>
      <c r="F1156">
        <v>20</v>
      </c>
      <c r="G1156" s="4">
        <v>1.078E-9</v>
      </c>
      <c r="H1156" s="4">
        <v>2.7059999999999999E-8</v>
      </c>
      <c r="I1156" s="4">
        <v>9.2270000000000005E-9</v>
      </c>
    </row>
    <row r="1157" spans="1:10" x14ac:dyDescent="0.35">
      <c r="A1157">
        <v>7</v>
      </c>
      <c r="B1157" s="16">
        <v>7</v>
      </c>
      <c r="C1157">
        <v>2.2290000000000001E-3</v>
      </c>
      <c r="D1157">
        <v>1.268</v>
      </c>
      <c r="E1157">
        <v>1.268</v>
      </c>
      <c r="F1157">
        <v>19</v>
      </c>
      <c r="G1157">
        <v>2.8249999999999998E-3</v>
      </c>
      <c r="H1157">
        <v>7.0949999999999999E-2</v>
      </c>
      <c r="I1157">
        <v>2.419E-2</v>
      </c>
    </row>
    <row r="1158" spans="1:10" x14ac:dyDescent="0.35">
      <c r="A1158">
        <v>8</v>
      </c>
      <c r="B1158" s="16">
        <v>8</v>
      </c>
      <c r="C1158" s="4">
        <v>4.126E-8</v>
      </c>
      <c r="D1158">
        <v>1.353</v>
      </c>
      <c r="E1158">
        <v>1.353</v>
      </c>
      <c r="F1158">
        <v>20</v>
      </c>
      <c r="G1158" s="4">
        <v>5.5810000000000001E-8</v>
      </c>
      <c r="H1158" s="4">
        <v>1.4020000000000001E-6</v>
      </c>
      <c r="I1158" s="4">
        <v>4.7800000000000002E-7</v>
      </c>
    </row>
    <row r="1159" spans="1:10" x14ac:dyDescent="0.35">
      <c r="A1159">
        <v>9</v>
      </c>
      <c r="B1159" s="16" t="s">
        <v>464</v>
      </c>
      <c r="C1159">
        <v>0.1283</v>
      </c>
      <c r="D1159">
        <v>0.5998</v>
      </c>
      <c r="E1159">
        <v>0.5998</v>
      </c>
      <c r="F1159">
        <v>20</v>
      </c>
      <c r="G1159">
        <v>7.6960000000000001E-2</v>
      </c>
      <c r="H1159" t="s">
        <v>452</v>
      </c>
      <c r="I1159">
        <v>0.65900000000000003</v>
      </c>
    </row>
    <row r="1160" spans="1:10" x14ac:dyDescent="0.35">
      <c r="A1160">
        <v>10</v>
      </c>
      <c r="B1160" s="16" t="s">
        <v>466</v>
      </c>
      <c r="C1160">
        <v>0.88119999999999998</v>
      </c>
      <c r="D1160">
        <v>0.2011</v>
      </c>
      <c r="E1160">
        <v>0.2011</v>
      </c>
      <c r="F1160">
        <v>20</v>
      </c>
      <c r="G1160">
        <v>0.1772</v>
      </c>
      <c r="H1160" t="s">
        <v>452</v>
      </c>
      <c r="I1160">
        <v>0.8165</v>
      </c>
    </row>
    <row r="1161" spans="1:10" x14ac:dyDescent="0.35">
      <c r="A1161">
        <v>11</v>
      </c>
      <c r="B1161" s="16" t="s">
        <v>467</v>
      </c>
      <c r="C1161">
        <v>0.1283</v>
      </c>
      <c r="D1161">
        <v>0.77070000000000005</v>
      </c>
      <c r="E1161">
        <v>0.77070000000000005</v>
      </c>
      <c r="F1161">
        <v>20</v>
      </c>
      <c r="G1161">
        <v>9.8890000000000006E-2</v>
      </c>
      <c r="H1161" t="s">
        <v>452</v>
      </c>
      <c r="I1161">
        <v>0.72270000000000001</v>
      </c>
    </row>
    <row r="1162" spans="1:10" x14ac:dyDescent="0.35">
      <c r="A1162">
        <v>12</v>
      </c>
      <c r="B1162" s="16" t="s">
        <v>469</v>
      </c>
      <c r="C1162">
        <v>0.1283</v>
      </c>
      <c r="D1162">
        <v>0.61419999999999997</v>
      </c>
      <c r="E1162">
        <v>0.61419999999999997</v>
      </c>
      <c r="F1162">
        <v>20</v>
      </c>
      <c r="G1162">
        <v>7.8810000000000005E-2</v>
      </c>
      <c r="H1162" t="s">
        <v>452</v>
      </c>
      <c r="I1162">
        <v>0.6643</v>
      </c>
    </row>
    <row r="1163" spans="1:10" x14ac:dyDescent="0.35">
      <c r="A1163" t="s">
        <v>701</v>
      </c>
      <c r="B1163" s="16"/>
    </row>
    <row r="1164" spans="1:10" x14ac:dyDescent="0.35">
      <c r="A1164" t="s">
        <v>700</v>
      </c>
      <c r="B1164" s="16"/>
    </row>
    <row r="1165" spans="1:10" x14ac:dyDescent="0.35">
      <c r="A1165" t="s">
        <v>470</v>
      </c>
      <c r="B1165" s="16"/>
    </row>
    <row r="1166" spans="1:10" x14ac:dyDescent="0.35">
      <c r="A1166" t="s">
        <v>471</v>
      </c>
      <c r="B1166" s="16"/>
    </row>
    <row r="1167" spans="1:10" x14ac:dyDescent="0.35">
      <c r="A1167" t="s">
        <v>730</v>
      </c>
      <c r="B1167" s="16"/>
      <c r="J1167">
        <v>44</v>
      </c>
    </row>
    <row r="1168" spans="1:10" x14ac:dyDescent="0.35">
      <c r="A1168" t="s">
        <v>700</v>
      </c>
      <c r="B1168" s="16"/>
    </row>
    <row r="1169" spans="1:9" x14ac:dyDescent="0.35">
      <c r="A1169" t="s">
        <v>438</v>
      </c>
      <c r="B1169" s="16"/>
    </row>
    <row r="1170" spans="1:9" x14ac:dyDescent="0.35">
      <c r="A1170" t="s">
        <v>439</v>
      </c>
      <c r="B1170" s="16"/>
    </row>
    <row r="1171" spans="1:9" x14ac:dyDescent="0.35">
      <c r="A1171" t="s">
        <v>441</v>
      </c>
      <c r="B1171" s="16"/>
    </row>
    <row r="1172" spans="1:9" x14ac:dyDescent="0.35">
      <c r="A1172" t="s">
        <v>701</v>
      </c>
      <c r="B1172" s="16"/>
    </row>
    <row r="1173" spans="1:9" x14ac:dyDescent="0.35">
      <c r="A1173" t="s">
        <v>442</v>
      </c>
      <c r="B1173" s="16" t="s">
        <v>443</v>
      </c>
      <c r="C1173" t="s">
        <v>444</v>
      </c>
      <c r="D1173" t="s">
        <v>445</v>
      </c>
      <c r="E1173" t="s">
        <v>445</v>
      </c>
      <c r="F1173" t="s">
        <v>446</v>
      </c>
      <c r="G1173" t="s">
        <v>447</v>
      </c>
      <c r="H1173" t="s">
        <v>448</v>
      </c>
      <c r="I1173" t="s">
        <v>448</v>
      </c>
    </row>
    <row r="1174" spans="1:9" x14ac:dyDescent="0.35">
      <c r="A1174" t="s">
        <v>450</v>
      </c>
      <c r="B1174" s="16" t="s">
        <v>451</v>
      </c>
      <c r="C1174" t="s">
        <v>452</v>
      </c>
      <c r="D1174" t="s">
        <v>453</v>
      </c>
      <c r="E1174" t="s">
        <v>454</v>
      </c>
      <c r="F1174" t="s">
        <v>455</v>
      </c>
      <c r="G1174" t="s">
        <v>456</v>
      </c>
      <c r="H1174" t="s">
        <v>457</v>
      </c>
      <c r="I1174" t="s">
        <v>458</v>
      </c>
    </row>
    <row r="1175" spans="1:9" x14ac:dyDescent="0.35">
      <c r="A1175" t="s">
        <v>702</v>
      </c>
      <c r="B1175" s="16" t="s">
        <v>703</v>
      </c>
      <c r="C1175" t="s">
        <v>704</v>
      </c>
      <c r="D1175" t="s">
        <v>704</v>
      </c>
      <c r="E1175" t="s">
        <v>704</v>
      </c>
      <c r="F1175" t="s">
        <v>705</v>
      </c>
      <c r="G1175" t="s">
        <v>704</v>
      </c>
      <c r="H1175" t="s">
        <v>704</v>
      </c>
      <c r="I1175" t="s">
        <v>704</v>
      </c>
    </row>
    <row r="1176" spans="1:9" x14ac:dyDescent="0.35">
      <c r="A1176">
        <v>1</v>
      </c>
      <c r="B1176" s="16" t="s">
        <v>731</v>
      </c>
      <c r="C1176">
        <v>6.2870000000000001E-3</v>
      </c>
      <c r="D1176">
        <v>1.165</v>
      </c>
      <c r="E1176">
        <v>1.796</v>
      </c>
      <c r="F1176">
        <v>10</v>
      </c>
      <c r="G1176">
        <v>1.129E-2</v>
      </c>
      <c r="H1176">
        <v>0.54279999999999995</v>
      </c>
      <c r="I1176">
        <v>3.3610000000000001E-2</v>
      </c>
    </row>
    <row r="1177" spans="1:9" x14ac:dyDescent="0.35">
      <c r="A1177">
        <v>2</v>
      </c>
      <c r="B1177" s="16" t="s">
        <v>732</v>
      </c>
      <c r="C1177" s="4">
        <v>5.4459999999999999E-8</v>
      </c>
      <c r="D1177">
        <v>1.4810000000000001</v>
      </c>
      <c r="E1177">
        <v>2.1459999999999999</v>
      </c>
      <c r="F1177">
        <v>10</v>
      </c>
      <c r="G1177" s="4">
        <v>1.1689999999999999E-7</v>
      </c>
      <c r="H1177" s="4">
        <v>5.6180000000000003E-6</v>
      </c>
      <c r="I1177" s="4">
        <v>3.4779999999999998E-7</v>
      </c>
    </row>
    <row r="1178" spans="1:9" x14ac:dyDescent="0.35">
      <c r="A1178">
        <v>3</v>
      </c>
      <c r="B1178" s="16" t="s">
        <v>733</v>
      </c>
      <c r="C1178" s="4">
        <v>5.5290000000000002E-10</v>
      </c>
      <c r="D1178">
        <v>1.8740000000000001</v>
      </c>
      <c r="E1178">
        <v>1.5820000000000001</v>
      </c>
      <c r="F1178">
        <v>10</v>
      </c>
      <c r="G1178" s="4">
        <v>8.7459999999999996E-10</v>
      </c>
      <c r="H1178" s="4">
        <v>4.203E-8</v>
      </c>
      <c r="I1178" s="4">
        <v>2.6019999999999999E-9</v>
      </c>
    </row>
    <row r="1179" spans="1:9" x14ac:dyDescent="0.35">
      <c r="A1179">
        <v>4</v>
      </c>
      <c r="B1179" s="16" t="s">
        <v>734</v>
      </c>
      <c r="C1179">
        <v>1.072E-2</v>
      </c>
      <c r="D1179">
        <v>2.1019999999999999</v>
      </c>
      <c r="E1179">
        <v>0.68910000000000005</v>
      </c>
      <c r="F1179">
        <v>10</v>
      </c>
      <c r="G1179">
        <v>7.3879999999999996E-3</v>
      </c>
      <c r="H1179">
        <v>0.35510000000000003</v>
      </c>
      <c r="I1179">
        <v>2.1989999999999999E-2</v>
      </c>
    </row>
    <row r="1180" spans="1:9" x14ac:dyDescent="0.35">
      <c r="A1180">
        <v>5</v>
      </c>
      <c r="B1180" s="16" t="s">
        <v>735</v>
      </c>
      <c r="C1180" s="4">
        <v>2.3779999999999999E-6</v>
      </c>
      <c r="D1180">
        <v>0.84319999999999995</v>
      </c>
      <c r="E1180">
        <v>0.82540000000000002</v>
      </c>
      <c r="F1180">
        <v>10</v>
      </c>
      <c r="G1180" s="4">
        <v>1.9630000000000001E-6</v>
      </c>
      <c r="H1180" s="4">
        <v>9.433E-5</v>
      </c>
      <c r="I1180" s="4">
        <v>5.84E-6</v>
      </c>
    </row>
    <row r="1181" spans="1:9" x14ac:dyDescent="0.35">
      <c r="A1181">
        <v>6</v>
      </c>
      <c r="B1181" s="16" t="s">
        <v>736</v>
      </c>
      <c r="C1181" s="4">
        <v>4.489E-7</v>
      </c>
      <c r="D1181">
        <v>1.012</v>
      </c>
      <c r="E1181">
        <v>1.357</v>
      </c>
      <c r="F1181">
        <v>10</v>
      </c>
      <c r="G1181" s="4">
        <v>6.0900000000000001E-7</v>
      </c>
      <c r="H1181" s="4">
        <v>2.9269999999999999E-5</v>
      </c>
      <c r="I1181" s="4">
        <v>1.812E-6</v>
      </c>
    </row>
    <row r="1182" spans="1:9" x14ac:dyDescent="0.35">
      <c r="A1182">
        <v>7</v>
      </c>
      <c r="B1182" s="16" t="s">
        <v>737</v>
      </c>
      <c r="C1182" s="4">
        <v>4.0790000000000002E-6</v>
      </c>
      <c r="D1182">
        <v>2.0339999999999998</v>
      </c>
      <c r="E1182">
        <v>2.2559999999999998</v>
      </c>
      <c r="F1182">
        <v>10</v>
      </c>
      <c r="G1182" s="4">
        <v>9.2029999999999998E-6</v>
      </c>
      <c r="H1182">
        <v>4.4230000000000002E-4</v>
      </c>
      <c r="I1182" s="4">
        <v>2.739E-5</v>
      </c>
    </row>
    <row r="1183" spans="1:9" x14ac:dyDescent="0.35">
      <c r="A1183">
        <v>8</v>
      </c>
      <c r="B1183" s="16" t="s">
        <v>738</v>
      </c>
      <c r="C1183" s="4">
        <v>4.5410000000000001E-10</v>
      </c>
      <c r="D1183">
        <v>1.35</v>
      </c>
      <c r="E1183">
        <v>2.2429999999999999</v>
      </c>
      <c r="F1183">
        <v>10</v>
      </c>
      <c r="G1183" s="4">
        <v>1.018E-9</v>
      </c>
      <c r="H1183" s="4">
        <v>4.894E-8</v>
      </c>
      <c r="I1183" s="4">
        <v>3.0300000000000001E-9</v>
      </c>
    </row>
    <row r="1184" spans="1:9" x14ac:dyDescent="0.35">
      <c r="A1184">
        <v>9</v>
      </c>
      <c r="B1184" s="16" t="s">
        <v>739</v>
      </c>
      <c r="C1184">
        <v>7.9929999999999997E-4</v>
      </c>
      <c r="D1184">
        <v>1.643</v>
      </c>
      <c r="E1184">
        <v>2.6429999999999998</v>
      </c>
      <c r="F1184">
        <v>10</v>
      </c>
      <c r="G1184">
        <v>2.1120000000000002E-3</v>
      </c>
      <c r="H1184">
        <v>0.10150000000000001</v>
      </c>
      <c r="I1184">
        <v>6.2859999999999999E-3</v>
      </c>
    </row>
    <row r="1185" spans="1:10" x14ac:dyDescent="0.35">
      <c r="A1185">
        <v>10</v>
      </c>
      <c r="B1185" s="16" t="s">
        <v>464</v>
      </c>
      <c r="C1185">
        <v>0.47349999999999998</v>
      </c>
      <c r="D1185">
        <v>0.59419999999999995</v>
      </c>
      <c r="E1185">
        <v>0.66579999999999995</v>
      </c>
      <c r="F1185">
        <v>10</v>
      </c>
      <c r="G1185">
        <v>0.31519999999999998</v>
      </c>
      <c r="H1185" t="s">
        <v>452</v>
      </c>
      <c r="I1185">
        <v>0.93810000000000004</v>
      </c>
    </row>
    <row r="1186" spans="1:10" x14ac:dyDescent="0.35">
      <c r="A1186">
        <v>11</v>
      </c>
      <c r="B1186" s="16" t="s">
        <v>466</v>
      </c>
      <c r="C1186">
        <v>0.47349999999999998</v>
      </c>
      <c r="D1186">
        <v>0.30940000000000001</v>
      </c>
      <c r="E1186">
        <v>0.32169999999999999</v>
      </c>
      <c r="F1186">
        <v>10</v>
      </c>
      <c r="G1186">
        <v>0.15229999999999999</v>
      </c>
      <c r="H1186" t="s">
        <v>452</v>
      </c>
      <c r="I1186">
        <v>0.87980000000000003</v>
      </c>
    </row>
    <row r="1187" spans="1:10" x14ac:dyDescent="0.35">
      <c r="A1187">
        <v>12</v>
      </c>
      <c r="B1187" s="16" t="s">
        <v>467</v>
      </c>
      <c r="C1187">
        <v>0.68269999999999997</v>
      </c>
      <c r="D1187">
        <v>0.71460000000000001</v>
      </c>
      <c r="E1187">
        <v>0.79139999999999999</v>
      </c>
      <c r="F1187">
        <v>10</v>
      </c>
      <c r="G1187">
        <v>0.5403</v>
      </c>
      <c r="H1187" t="s">
        <v>452</v>
      </c>
      <c r="I1187">
        <v>0.96660000000000001</v>
      </c>
    </row>
    <row r="1188" spans="1:10" x14ac:dyDescent="0.35">
      <c r="A1188">
        <v>13</v>
      </c>
      <c r="B1188" s="16" t="s">
        <v>469</v>
      </c>
      <c r="C1188">
        <v>0.68269999999999997</v>
      </c>
      <c r="D1188">
        <v>1.1839999999999999</v>
      </c>
      <c r="E1188">
        <v>0.86070000000000002</v>
      </c>
      <c r="F1188">
        <v>10</v>
      </c>
      <c r="G1188">
        <v>0.58760000000000001</v>
      </c>
      <c r="H1188" t="s">
        <v>452</v>
      </c>
      <c r="I1188">
        <v>0.96919999999999995</v>
      </c>
    </row>
    <row r="1189" spans="1:10" x14ac:dyDescent="0.35">
      <c r="A1189" t="s">
        <v>701</v>
      </c>
      <c r="B1189" s="16"/>
    </row>
    <row r="1190" spans="1:10" x14ac:dyDescent="0.35">
      <c r="A1190" t="s">
        <v>700</v>
      </c>
      <c r="B1190" s="16"/>
    </row>
    <row r="1191" spans="1:10" x14ac:dyDescent="0.35">
      <c r="A1191" t="s">
        <v>470</v>
      </c>
      <c r="B1191" s="16"/>
    </row>
    <row r="1192" spans="1:10" x14ac:dyDescent="0.35">
      <c r="A1192" t="s">
        <v>471</v>
      </c>
      <c r="B1192" s="16"/>
    </row>
    <row r="1193" spans="1:10" x14ac:dyDescent="0.35">
      <c r="A1193" t="s">
        <v>958</v>
      </c>
      <c r="B1193" s="16"/>
      <c r="J1193">
        <v>45</v>
      </c>
    </row>
    <row r="1194" spans="1:10" x14ac:dyDescent="0.35">
      <c r="A1194" t="s">
        <v>700</v>
      </c>
      <c r="B1194" s="16"/>
    </row>
    <row r="1195" spans="1:10" x14ac:dyDescent="0.35">
      <c r="A1195" t="s">
        <v>438</v>
      </c>
      <c r="B1195" s="16"/>
    </row>
    <row r="1196" spans="1:10" x14ac:dyDescent="0.35">
      <c r="A1196" t="s">
        <v>439</v>
      </c>
      <c r="B1196" s="16"/>
    </row>
    <row r="1197" spans="1:10" x14ac:dyDescent="0.35">
      <c r="A1197" t="s">
        <v>441</v>
      </c>
      <c r="B1197" s="16"/>
    </row>
    <row r="1198" spans="1:10" x14ac:dyDescent="0.35">
      <c r="A1198" t="s">
        <v>701</v>
      </c>
      <c r="B1198" s="16"/>
    </row>
    <row r="1199" spans="1:10" x14ac:dyDescent="0.35">
      <c r="A1199" t="s">
        <v>442</v>
      </c>
      <c r="B1199" s="16" t="s">
        <v>443</v>
      </c>
      <c r="C1199" t="s">
        <v>444</v>
      </c>
      <c r="D1199" t="s">
        <v>445</v>
      </c>
      <c r="E1199" t="s">
        <v>445</v>
      </c>
      <c r="F1199" t="s">
        <v>446</v>
      </c>
      <c r="G1199" t="s">
        <v>447</v>
      </c>
      <c r="H1199" t="s">
        <v>448</v>
      </c>
      <c r="I1199" t="s">
        <v>448</v>
      </c>
    </row>
    <row r="1200" spans="1:10" x14ac:dyDescent="0.35">
      <c r="A1200" t="s">
        <v>450</v>
      </c>
      <c r="B1200" s="16" t="s">
        <v>451</v>
      </c>
      <c r="C1200" t="s">
        <v>452</v>
      </c>
      <c r="D1200" t="s">
        <v>453</v>
      </c>
      <c r="E1200" t="s">
        <v>454</v>
      </c>
      <c r="F1200" t="s">
        <v>455</v>
      </c>
      <c r="G1200" t="s">
        <v>456</v>
      </c>
      <c r="H1200" t="s">
        <v>457</v>
      </c>
      <c r="I1200" t="s">
        <v>458</v>
      </c>
    </row>
    <row r="1201" spans="1:9" x14ac:dyDescent="0.35">
      <c r="A1201" t="s">
        <v>702</v>
      </c>
      <c r="B1201" s="16" t="s">
        <v>703</v>
      </c>
      <c r="C1201" t="s">
        <v>704</v>
      </c>
      <c r="D1201" t="s">
        <v>704</v>
      </c>
      <c r="E1201" t="s">
        <v>704</v>
      </c>
      <c r="F1201" t="s">
        <v>705</v>
      </c>
      <c r="G1201" t="s">
        <v>704</v>
      </c>
      <c r="H1201" t="s">
        <v>704</v>
      </c>
      <c r="I1201" t="s">
        <v>704</v>
      </c>
    </row>
    <row r="1202" spans="1:9" x14ac:dyDescent="0.35">
      <c r="A1202">
        <v>1</v>
      </c>
      <c r="B1202" s="16" t="s">
        <v>551</v>
      </c>
      <c r="C1202">
        <v>1.3939999999999999E-2</v>
      </c>
      <c r="D1202">
        <v>1.3740000000000001</v>
      </c>
      <c r="E1202">
        <v>1.667</v>
      </c>
      <c r="F1202">
        <v>10</v>
      </c>
      <c r="G1202">
        <v>2.3230000000000001E-2</v>
      </c>
      <c r="H1202">
        <v>0.38169999999999998</v>
      </c>
      <c r="I1202">
        <v>3.8949999999999999E-2</v>
      </c>
    </row>
    <row r="1203" spans="1:9" x14ac:dyDescent="0.35">
      <c r="A1203">
        <v>2</v>
      </c>
      <c r="B1203" s="16" t="s">
        <v>552</v>
      </c>
      <c r="C1203" s="4">
        <v>2.9059999999999998E-6</v>
      </c>
      <c r="D1203">
        <v>2.8860000000000001</v>
      </c>
      <c r="E1203">
        <v>3.44</v>
      </c>
      <c r="F1203">
        <v>7</v>
      </c>
      <c r="G1203" s="4">
        <v>9.9979999999999998E-6</v>
      </c>
      <c r="H1203">
        <v>1.6430000000000001E-4</v>
      </c>
      <c r="I1203" s="4">
        <v>1.6759999999999999E-5</v>
      </c>
    </row>
    <row r="1204" spans="1:9" x14ac:dyDescent="0.35">
      <c r="A1204">
        <v>3</v>
      </c>
      <c r="B1204" s="16" t="s">
        <v>553</v>
      </c>
      <c r="C1204" s="4">
        <v>1.2249999999999999E-6</v>
      </c>
      <c r="D1204">
        <v>2.968</v>
      </c>
      <c r="E1204">
        <v>3.3889999999999998</v>
      </c>
      <c r="F1204">
        <v>10</v>
      </c>
      <c r="G1204" s="4">
        <v>4.1500000000000001E-6</v>
      </c>
      <c r="H1204" s="4">
        <v>6.8180000000000001E-5</v>
      </c>
      <c r="I1204" s="4">
        <v>6.9580000000000001E-6</v>
      </c>
    </row>
    <row r="1205" spans="1:9" x14ac:dyDescent="0.35">
      <c r="A1205">
        <v>4</v>
      </c>
      <c r="B1205" s="16" t="s">
        <v>554</v>
      </c>
      <c r="C1205">
        <v>1.6789999999999999E-4</v>
      </c>
      <c r="D1205">
        <v>1.847</v>
      </c>
      <c r="E1205">
        <v>2.669</v>
      </c>
      <c r="F1205">
        <v>10</v>
      </c>
      <c r="G1205">
        <v>4.482E-4</v>
      </c>
      <c r="H1205">
        <v>7.3629999999999998E-3</v>
      </c>
      <c r="I1205">
        <v>7.5140000000000005E-4</v>
      </c>
    </row>
    <row r="1206" spans="1:9" x14ac:dyDescent="0.35">
      <c r="A1206">
        <v>5</v>
      </c>
      <c r="B1206" s="16" t="s">
        <v>555</v>
      </c>
      <c r="C1206">
        <v>3.2489999999999998E-2</v>
      </c>
      <c r="D1206">
        <v>1.405</v>
      </c>
      <c r="E1206">
        <v>1.115</v>
      </c>
      <c r="F1206">
        <v>10</v>
      </c>
      <c r="G1206">
        <v>3.6240000000000001E-2</v>
      </c>
      <c r="H1206">
        <v>0.59540000000000004</v>
      </c>
      <c r="I1206">
        <v>6.0769999999999998E-2</v>
      </c>
    </row>
    <row r="1207" spans="1:9" x14ac:dyDescent="0.35">
      <c r="A1207">
        <v>6</v>
      </c>
      <c r="B1207" s="16" t="s">
        <v>556</v>
      </c>
      <c r="C1207">
        <v>3.6630000000000001E-4</v>
      </c>
      <c r="D1207">
        <v>2.806</v>
      </c>
      <c r="E1207">
        <v>2.4649999999999999</v>
      </c>
      <c r="F1207">
        <v>10</v>
      </c>
      <c r="G1207">
        <v>9.0289999999999999E-4</v>
      </c>
      <c r="H1207">
        <v>1.4829999999999999E-2</v>
      </c>
      <c r="I1207">
        <v>1.5139999999999999E-3</v>
      </c>
    </row>
    <row r="1208" spans="1:9" x14ac:dyDescent="0.35">
      <c r="A1208">
        <v>7</v>
      </c>
      <c r="B1208" s="16" t="s">
        <v>557</v>
      </c>
      <c r="C1208" s="4">
        <v>1.5510000000000001E-6</v>
      </c>
      <c r="D1208">
        <v>1.6779999999999999</v>
      </c>
      <c r="E1208">
        <v>2.2349999999999999</v>
      </c>
      <c r="F1208">
        <v>10</v>
      </c>
      <c r="G1208" s="4">
        <v>3.467E-6</v>
      </c>
      <c r="H1208" s="4">
        <v>5.6959999999999997E-5</v>
      </c>
      <c r="I1208" s="4">
        <v>5.8130000000000001E-6</v>
      </c>
    </row>
    <row r="1209" spans="1:9" x14ac:dyDescent="0.35">
      <c r="A1209">
        <v>8</v>
      </c>
      <c r="B1209" s="16" t="s">
        <v>558</v>
      </c>
      <c r="C1209" s="4">
        <v>9.1430000000000004E-6</v>
      </c>
      <c r="D1209">
        <v>1.8640000000000001</v>
      </c>
      <c r="E1209">
        <v>2.3929999999999998</v>
      </c>
      <c r="F1209">
        <v>10</v>
      </c>
      <c r="G1209" s="4">
        <v>2.1880000000000001E-5</v>
      </c>
      <c r="H1209">
        <v>3.5940000000000001E-4</v>
      </c>
      <c r="I1209" s="4">
        <v>3.6680000000000001E-5</v>
      </c>
    </row>
    <row r="1210" spans="1:9" x14ac:dyDescent="0.35">
      <c r="A1210">
        <v>9</v>
      </c>
      <c r="B1210" s="16" t="s">
        <v>464</v>
      </c>
      <c r="C1210">
        <v>0.78129999999999999</v>
      </c>
      <c r="D1210">
        <v>0.7389</v>
      </c>
      <c r="E1210">
        <v>0.6855</v>
      </c>
      <c r="F1210">
        <v>10</v>
      </c>
      <c r="G1210">
        <v>0.53559999999999997</v>
      </c>
      <c r="H1210" t="s">
        <v>452</v>
      </c>
      <c r="I1210">
        <v>0.89790000000000003</v>
      </c>
    </row>
    <row r="1211" spans="1:9" x14ac:dyDescent="0.35">
      <c r="A1211">
        <v>10</v>
      </c>
      <c r="B1211" s="16" t="s">
        <v>466</v>
      </c>
      <c r="C1211">
        <v>0.33379999999999999</v>
      </c>
      <c r="D1211">
        <v>0.68430000000000002</v>
      </c>
      <c r="E1211">
        <v>1.0660000000000001</v>
      </c>
      <c r="F1211">
        <v>10</v>
      </c>
      <c r="G1211">
        <v>0.35599999999999998</v>
      </c>
      <c r="H1211" t="s">
        <v>452</v>
      </c>
      <c r="I1211">
        <v>0.85399999999999998</v>
      </c>
    </row>
    <row r="1212" spans="1:9" x14ac:dyDescent="0.35">
      <c r="A1212">
        <v>11</v>
      </c>
      <c r="B1212" s="16" t="s">
        <v>467</v>
      </c>
      <c r="C1212">
        <v>0.88429999999999997</v>
      </c>
      <c r="D1212">
        <v>0.75219999999999998</v>
      </c>
      <c r="E1212">
        <v>0.69430000000000003</v>
      </c>
      <c r="F1212">
        <v>10</v>
      </c>
      <c r="G1212">
        <v>0.61399999999999999</v>
      </c>
      <c r="H1212" t="s">
        <v>452</v>
      </c>
      <c r="I1212">
        <v>0.91049999999999998</v>
      </c>
    </row>
    <row r="1213" spans="1:9" x14ac:dyDescent="0.35">
      <c r="A1213">
        <v>12</v>
      </c>
      <c r="B1213" s="16" t="s">
        <v>469</v>
      </c>
      <c r="C1213">
        <v>0.34520000000000001</v>
      </c>
      <c r="D1213">
        <v>1.073</v>
      </c>
      <c r="E1213">
        <v>1.1859999999999999</v>
      </c>
      <c r="F1213">
        <v>10</v>
      </c>
      <c r="G1213">
        <v>0.40920000000000001</v>
      </c>
      <c r="H1213" t="s">
        <v>452</v>
      </c>
      <c r="I1213">
        <v>0.87309999999999999</v>
      </c>
    </row>
    <row r="1214" spans="1:9" x14ac:dyDescent="0.35">
      <c r="A1214" t="s">
        <v>701</v>
      </c>
      <c r="B1214" s="16"/>
    </row>
    <row r="1215" spans="1:9" x14ac:dyDescent="0.35">
      <c r="A1215" t="s">
        <v>700</v>
      </c>
      <c r="B1215" s="16"/>
    </row>
    <row r="1216" spans="1:9" x14ac:dyDescent="0.35">
      <c r="A1216" t="s">
        <v>470</v>
      </c>
      <c r="B1216" s="16"/>
    </row>
    <row r="1217" spans="1:10" x14ac:dyDescent="0.35">
      <c r="A1217" t="s">
        <v>471</v>
      </c>
      <c r="B1217" s="16"/>
    </row>
    <row r="1218" spans="1:10" x14ac:dyDescent="0.35">
      <c r="A1218" t="s">
        <v>959</v>
      </c>
      <c r="B1218" s="16"/>
      <c r="J1218">
        <v>46</v>
      </c>
    </row>
    <row r="1219" spans="1:10" x14ac:dyDescent="0.35">
      <c r="A1219" t="s">
        <v>700</v>
      </c>
      <c r="B1219" s="16"/>
    </row>
    <row r="1220" spans="1:10" x14ac:dyDescent="0.35">
      <c r="A1220" t="s">
        <v>438</v>
      </c>
      <c r="B1220" s="16"/>
    </row>
    <row r="1221" spans="1:10" x14ac:dyDescent="0.35">
      <c r="A1221" t="s">
        <v>439</v>
      </c>
      <c r="B1221" s="16"/>
    </row>
    <row r="1222" spans="1:10" x14ac:dyDescent="0.35">
      <c r="A1222" t="s">
        <v>441</v>
      </c>
      <c r="B1222" s="16"/>
    </row>
    <row r="1223" spans="1:10" x14ac:dyDescent="0.35">
      <c r="A1223" t="s">
        <v>701</v>
      </c>
      <c r="B1223" s="16"/>
    </row>
    <row r="1224" spans="1:10" x14ac:dyDescent="0.35">
      <c r="A1224" t="s">
        <v>442</v>
      </c>
      <c r="B1224" s="16" t="s">
        <v>443</v>
      </c>
      <c r="C1224" t="s">
        <v>444</v>
      </c>
      <c r="D1224" t="s">
        <v>445</v>
      </c>
      <c r="E1224" t="s">
        <v>445</v>
      </c>
      <c r="F1224" t="s">
        <v>446</v>
      </c>
      <c r="G1224" t="s">
        <v>447</v>
      </c>
      <c r="H1224" t="s">
        <v>448</v>
      </c>
      <c r="I1224" t="s">
        <v>448</v>
      </c>
    </row>
    <row r="1225" spans="1:10" x14ac:dyDescent="0.35">
      <c r="A1225" t="s">
        <v>450</v>
      </c>
      <c r="B1225" s="16" t="s">
        <v>451</v>
      </c>
      <c r="C1225" t="s">
        <v>452</v>
      </c>
      <c r="D1225" t="s">
        <v>453</v>
      </c>
      <c r="E1225" t="s">
        <v>454</v>
      </c>
      <c r="F1225" t="s">
        <v>455</v>
      </c>
      <c r="G1225" t="s">
        <v>456</v>
      </c>
      <c r="H1225" t="s">
        <v>457</v>
      </c>
      <c r="I1225" t="s">
        <v>458</v>
      </c>
    </row>
    <row r="1226" spans="1:10" x14ac:dyDescent="0.35">
      <c r="A1226" t="s">
        <v>702</v>
      </c>
      <c r="B1226" s="16" t="s">
        <v>703</v>
      </c>
      <c r="C1226" t="s">
        <v>704</v>
      </c>
      <c r="D1226" t="s">
        <v>704</v>
      </c>
      <c r="E1226" t="s">
        <v>704</v>
      </c>
      <c r="F1226" t="s">
        <v>705</v>
      </c>
      <c r="G1226" t="s">
        <v>704</v>
      </c>
      <c r="H1226" t="s">
        <v>704</v>
      </c>
      <c r="I1226" t="s">
        <v>704</v>
      </c>
    </row>
    <row r="1227" spans="1:10" x14ac:dyDescent="0.35">
      <c r="A1227">
        <v>1</v>
      </c>
      <c r="B1227" s="16">
        <v>1</v>
      </c>
      <c r="C1227" s="4">
        <v>3.1139999999999997E-5</v>
      </c>
      <c r="D1227">
        <v>2.2269999999999999</v>
      </c>
      <c r="E1227">
        <v>2.2269999999999999</v>
      </c>
      <c r="F1227">
        <v>15</v>
      </c>
      <c r="G1227" s="4">
        <v>6.9369999999999995E-5</v>
      </c>
      <c r="H1227" s="4">
        <v>6.2869999999999999E-5</v>
      </c>
      <c r="I1227" s="4">
        <v>4.7759999999999997E-5</v>
      </c>
    </row>
    <row r="1228" spans="1:10" x14ac:dyDescent="0.35">
      <c r="A1228">
        <v>2</v>
      </c>
      <c r="B1228" s="16">
        <v>2</v>
      </c>
      <c r="C1228">
        <v>1.6620000000000001E-3</v>
      </c>
      <c r="D1228">
        <v>2.2629999999999999</v>
      </c>
      <c r="E1228">
        <v>2.2629999999999999</v>
      </c>
      <c r="F1228">
        <v>15</v>
      </c>
      <c r="G1228">
        <v>3.761E-3</v>
      </c>
      <c r="H1228">
        <v>3.4090000000000001E-3</v>
      </c>
      <c r="I1228">
        <v>2.5899999999999999E-3</v>
      </c>
    </row>
    <row r="1229" spans="1:10" x14ac:dyDescent="0.35">
      <c r="A1229">
        <v>3</v>
      </c>
      <c r="B1229" s="16">
        <v>3</v>
      </c>
      <c r="C1229" s="4">
        <v>1.5990000000000001E-10</v>
      </c>
      <c r="D1229">
        <v>2.6419999999999999</v>
      </c>
      <c r="E1229">
        <v>2.6419999999999999</v>
      </c>
      <c r="F1229">
        <v>15</v>
      </c>
      <c r="G1229" s="4">
        <v>4.2240000000000001E-10</v>
      </c>
      <c r="H1229" s="4">
        <v>3.8289999999999999E-10</v>
      </c>
      <c r="I1229" s="4">
        <v>2.909E-10</v>
      </c>
    </row>
    <row r="1230" spans="1:10" x14ac:dyDescent="0.35">
      <c r="A1230">
        <v>4</v>
      </c>
      <c r="B1230" s="16">
        <v>4</v>
      </c>
      <c r="C1230">
        <v>3.9010000000000003E-2</v>
      </c>
      <c r="D1230">
        <v>1.452</v>
      </c>
      <c r="E1230">
        <v>1.452</v>
      </c>
      <c r="F1230">
        <v>15</v>
      </c>
      <c r="G1230">
        <v>5.6640000000000003E-2</v>
      </c>
      <c r="H1230">
        <v>5.1330000000000001E-2</v>
      </c>
      <c r="I1230">
        <v>3.9E-2</v>
      </c>
    </row>
    <row r="1231" spans="1:10" x14ac:dyDescent="0.35">
      <c r="A1231">
        <v>5</v>
      </c>
      <c r="B1231" s="16">
        <v>5</v>
      </c>
      <c r="C1231" s="4">
        <v>5.8639999999999996E-9</v>
      </c>
      <c r="D1231">
        <v>2.1960000000000002</v>
      </c>
      <c r="E1231">
        <v>2.1960000000000002</v>
      </c>
      <c r="F1231">
        <v>15</v>
      </c>
      <c r="G1231" s="4">
        <v>1.288E-8</v>
      </c>
      <c r="H1231" s="4">
        <v>1.167E-8</v>
      </c>
      <c r="I1231" s="4">
        <v>8.8669999999999993E-9</v>
      </c>
    </row>
    <row r="1232" spans="1:10" x14ac:dyDescent="0.35">
      <c r="A1232">
        <v>6</v>
      </c>
      <c r="B1232" s="16">
        <v>6</v>
      </c>
      <c r="C1232">
        <v>0.64339999999999997</v>
      </c>
      <c r="D1232">
        <v>1.31</v>
      </c>
      <c r="E1232">
        <v>1.31</v>
      </c>
      <c r="F1232">
        <v>15</v>
      </c>
      <c r="G1232">
        <v>0.84289999999999998</v>
      </c>
      <c r="H1232">
        <v>0.76400000000000001</v>
      </c>
      <c r="I1232">
        <v>0.58040000000000003</v>
      </c>
    </row>
    <row r="1233" spans="1:9" x14ac:dyDescent="0.35">
      <c r="A1233">
        <v>7</v>
      </c>
      <c r="B1233" s="16">
        <v>7</v>
      </c>
      <c r="C1233">
        <v>2.2729999999999998E-3</v>
      </c>
      <c r="D1233">
        <v>2.02</v>
      </c>
      <c r="E1233">
        <v>2.02</v>
      </c>
      <c r="F1233">
        <v>15</v>
      </c>
      <c r="G1233">
        <v>4.5919999999999997E-3</v>
      </c>
      <c r="H1233">
        <v>4.1619999999999999E-3</v>
      </c>
      <c r="I1233">
        <v>3.1619999999999999E-3</v>
      </c>
    </row>
    <row r="1234" spans="1:9" x14ac:dyDescent="0.35">
      <c r="A1234">
        <v>8</v>
      </c>
      <c r="B1234" s="16">
        <v>8</v>
      </c>
      <c r="C1234" s="4">
        <v>2.6989999999999999E-6</v>
      </c>
      <c r="D1234">
        <v>1.958</v>
      </c>
      <c r="E1234">
        <v>1.958</v>
      </c>
      <c r="F1234">
        <v>15</v>
      </c>
      <c r="G1234" s="4">
        <v>5.2850000000000002E-6</v>
      </c>
      <c r="H1234" s="4">
        <v>4.7899999999999999E-6</v>
      </c>
      <c r="I1234" s="4">
        <v>3.6389999999999998E-6</v>
      </c>
    </row>
    <row r="1235" spans="1:9" x14ac:dyDescent="0.35">
      <c r="A1235">
        <v>9</v>
      </c>
      <c r="B1235" s="16">
        <v>9</v>
      </c>
      <c r="C1235">
        <v>3.9300000000000001E-4</v>
      </c>
      <c r="D1235">
        <v>2.2749999999999999</v>
      </c>
      <c r="E1235">
        <v>2.2749999999999999</v>
      </c>
      <c r="F1235">
        <v>15</v>
      </c>
      <c r="G1235">
        <v>8.943E-4</v>
      </c>
      <c r="H1235">
        <v>8.1050000000000002E-4</v>
      </c>
      <c r="I1235">
        <v>6.1580000000000001E-4</v>
      </c>
    </row>
    <row r="1236" spans="1:9" x14ac:dyDescent="0.35">
      <c r="A1236">
        <v>10</v>
      </c>
      <c r="B1236" s="16">
        <v>10</v>
      </c>
      <c r="C1236">
        <v>4.8469999999999999E-2</v>
      </c>
      <c r="D1236">
        <v>1.9259999999999999</v>
      </c>
      <c r="E1236">
        <v>1.9259999999999999</v>
      </c>
      <c r="F1236">
        <v>15</v>
      </c>
      <c r="G1236">
        <v>9.3380000000000005E-2</v>
      </c>
      <c r="H1236">
        <v>8.4640000000000007E-2</v>
      </c>
      <c r="I1236">
        <v>6.4299999999999996E-2</v>
      </c>
    </row>
    <row r="1237" spans="1:9" x14ac:dyDescent="0.35">
      <c r="A1237">
        <v>11</v>
      </c>
      <c r="B1237" s="16">
        <v>11</v>
      </c>
      <c r="C1237" s="4">
        <v>1.6170000000000001E-11</v>
      </c>
      <c r="D1237">
        <v>2.3079999999999998</v>
      </c>
      <c r="E1237">
        <v>2.3079999999999998</v>
      </c>
      <c r="F1237">
        <v>15</v>
      </c>
      <c r="G1237" s="4">
        <v>3.732E-11</v>
      </c>
      <c r="H1237" s="4">
        <v>3.3830000000000001E-11</v>
      </c>
      <c r="I1237" s="4">
        <v>2.5699999999999999E-11</v>
      </c>
    </row>
    <row r="1238" spans="1:9" x14ac:dyDescent="0.35">
      <c r="A1238">
        <v>12</v>
      </c>
      <c r="B1238" s="16">
        <v>12</v>
      </c>
      <c r="C1238" s="4">
        <v>6.3499999999999999E-5</v>
      </c>
      <c r="D1238">
        <v>1.7749999999999999</v>
      </c>
      <c r="E1238">
        <v>1.7749999999999999</v>
      </c>
      <c r="F1238">
        <v>15</v>
      </c>
      <c r="G1238">
        <v>1.127E-4</v>
      </c>
      <c r="H1238">
        <v>1.022E-4</v>
      </c>
      <c r="I1238" s="4">
        <v>7.7620000000000006E-5</v>
      </c>
    </row>
    <row r="1239" spans="1:9" x14ac:dyDescent="0.35">
      <c r="A1239">
        <v>13</v>
      </c>
      <c r="B1239" s="16">
        <v>13</v>
      </c>
      <c r="C1239">
        <v>4.8469999999999999E-2</v>
      </c>
      <c r="D1239">
        <v>1.766</v>
      </c>
      <c r="E1239">
        <v>1.766</v>
      </c>
      <c r="F1239">
        <v>15</v>
      </c>
      <c r="G1239">
        <v>8.5620000000000002E-2</v>
      </c>
      <c r="H1239">
        <v>7.7600000000000002E-2</v>
      </c>
      <c r="I1239">
        <v>5.8959999999999999E-2</v>
      </c>
    </row>
    <row r="1240" spans="1:9" x14ac:dyDescent="0.35">
      <c r="A1240">
        <v>14</v>
      </c>
      <c r="B1240" s="16">
        <v>14</v>
      </c>
      <c r="C1240">
        <v>6.4859999999999996E-3</v>
      </c>
      <c r="D1240">
        <v>2.3679999999999999</v>
      </c>
      <c r="E1240">
        <v>2.3679999999999999</v>
      </c>
      <c r="F1240">
        <v>15</v>
      </c>
      <c r="G1240">
        <v>1.536E-2</v>
      </c>
      <c r="H1240">
        <v>1.392E-2</v>
      </c>
      <c r="I1240">
        <v>1.0580000000000001E-2</v>
      </c>
    </row>
    <row r="1241" spans="1:9" x14ac:dyDescent="0.35">
      <c r="A1241">
        <v>15</v>
      </c>
      <c r="B1241" s="16" t="s">
        <v>464</v>
      </c>
      <c r="C1241">
        <v>0.35780000000000001</v>
      </c>
      <c r="D1241">
        <v>0.97540000000000004</v>
      </c>
      <c r="E1241">
        <v>0.97540000000000004</v>
      </c>
      <c r="F1241">
        <v>15</v>
      </c>
      <c r="G1241">
        <v>0.34899999999999998</v>
      </c>
      <c r="H1241" t="s">
        <v>452</v>
      </c>
      <c r="I1241">
        <v>0.24030000000000001</v>
      </c>
    </row>
    <row r="1242" spans="1:9" x14ac:dyDescent="0.35">
      <c r="A1242">
        <v>16</v>
      </c>
      <c r="B1242" s="16" t="s">
        <v>466</v>
      </c>
      <c r="C1242">
        <v>0.66100000000000003</v>
      </c>
      <c r="D1242">
        <v>0.77990000000000004</v>
      </c>
      <c r="E1242">
        <v>0.77990000000000004</v>
      </c>
      <c r="F1242">
        <v>15</v>
      </c>
      <c r="G1242">
        <v>0.51549999999999996</v>
      </c>
      <c r="H1242" t="s">
        <v>452</v>
      </c>
      <c r="I1242">
        <v>0.31840000000000002</v>
      </c>
    </row>
    <row r="1243" spans="1:9" x14ac:dyDescent="0.35">
      <c r="A1243">
        <v>17</v>
      </c>
      <c r="B1243" s="16" t="s">
        <v>467</v>
      </c>
      <c r="C1243">
        <v>0.64339999999999997</v>
      </c>
      <c r="D1243">
        <v>1.31</v>
      </c>
      <c r="E1243">
        <v>1.31</v>
      </c>
      <c r="F1243">
        <v>15</v>
      </c>
      <c r="G1243">
        <v>0.84289999999999998</v>
      </c>
      <c r="H1243" t="s">
        <v>452</v>
      </c>
      <c r="I1243">
        <v>0.5</v>
      </c>
    </row>
    <row r="1244" spans="1:9" x14ac:dyDescent="0.35">
      <c r="A1244">
        <v>18</v>
      </c>
      <c r="B1244" s="16" t="s">
        <v>469</v>
      </c>
      <c r="C1244">
        <v>0.64339999999999997</v>
      </c>
      <c r="D1244">
        <v>1.31</v>
      </c>
      <c r="E1244">
        <v>1.31</v>
      </c>
      <c r="F1244">
        <v>15</v>
      </c>
      <c r="G1244">
        <v>0.84289999999999998</v>
      </c>
      <c r="H1244" t="s">
        <v>452</v>
      </c>
      <c r="I1244">
        <v>0.5</v>
      </c>
    </row>
    <row r="1245" spans="1:9" x14ac:dyDescent="0.35">
      <c r="A1245" t="s">
        <v>701</v>
      </c>
      <c r="B1245" s="16"/>
    </row>
    <row r="1246" spans="1:9" x14ac:dyDescent="0.35">
      <c r="A1246" t="s">
        <v>700</v>
      </c>
      <c r="B1246" s="16"/>
    </row>
    <row r="1247" spans="1:9" x14ac:dyDescent="0.35">
      <c r="A1247" t="s">
        <v>470</v>
      </c>
      <c r="B1247" s="16"/>
    </row>
    <row r="1248" spans="1:9" x14ac:dyDescent="0.35">
      <c r="A1248" t="s">
        <v>471</v>
      </c>
      <c r="B1248" s="16"/>
    </row>
    <row r="1249" spans="1:10" x14ac:dyDescent="0.35">
      <c r="A1249" t="s">
        <v>636</v>
      </c>
      <c r="B1249" s="16"/>
      <c r="J1249">
        <v>47</v>
      </c>
    </row>
    <row r="1250" spans="1:10" x14ac:dyDescent="0.35">
      <c r="A1250" t="s">
        <v>700</v>
      </c>
      <c r="B1250" s="16"/>
    </row>
    <row r="1251" spans="1:10" x14ac:dyDescent="0.35">
      <c r="A1251" t="s">
        <v>438</v>
      </c>
      <c r="B1251" s="16"/>
    </row>
    <row r="1252" spans="1:10" x14ac:dyDescent="0.35">
      <c r="A1252" t="s">
        <v>439</v>
      </c>
      <c r="B1252" s="16"/>
    </row>
    <row r="1253" spans="1:10" x14ac:dyDescent="0.35">
      <c r="A1253" t="s">
        <v>441</v>
      </c>
      <c r="B1253" s="16"/>
    </row>
    <row r="1254" spans="1:10" x14ac:dyDescent="0.35">
      <c r="A1254" t="s">
        <v>701</v>
      </c>
      <c r="B1254" s="16"/>
    </row>
    <row r="1255" spans="1:10" x14ac:dyDescent="0.35">
      <c r="A1255" t="s">
        <v>442</v>
      </c>
      <c r="B1255" s="16" t="s">
        <v>443</v>
      </c>
      <c r="C1255" t="s">
        <v>444</v>
      </c>
      <c r="D1255" t="s">
        <v>445</v>
      </c>
      <c r="E1255" t="s">
        <v>445</v>
      </c>
      <c r="F1255" t="s">
        <v>446</v>
      </c>
      <c r="G1255" t="s">
        <v>447</v>
      </c>
      <c r="H1255" t="s">
        <v>448</v>
      </c>
      <c r="I1255" t="s">
        <v>448</v>
      </c>
    </row>
    <row r="1256" spans="1:10" x14ac:dyDescent="0.35">
      <c r="A1256" t="s">
        <v>450</v>
      </c>
      <c r="B1256" s="16" t="s">
        <v>451</v>
      </c>
      <c r="C1256" t="s">
        <v>452</v>
      </c>
      <c r="D1256" t="s">
        <v>453</v>
      </c>
      <c r="E1256" t="s">
        <v>454</v>
      </c>
      <c r="F1256" t="s">
        <v>455</v>
      </c>
      <c r="G1256" t="s">
        <v>456</v>
      </c>
      <c r="H1256" t="s">
        <v>457</v>
      </c>
      <c r="I1256" t="s">
        <v>458</v>
      </c>
    </row>
    <row r="1257" spans="1:10" x14ac:dyDescent="0.35">
      <c r="A1257" t="s">
        <v>702</v>
      </c>
      <c r="B1257" s="16" t="s">
        <v>703</v>
      </c>
      <c r="C1257" t="s">
        <v>704</v>
      </c>
      <c r="D1257" t="s">
        <v>704</v>
      </c>
      <c r="E1257" t="s">
        <v>704</v>
      </c>
      <c r="F1257" t="s">
        <v>705</v>
      </c>
      <c r="G1257" t="s">
        <v>704</v>
      </c>
      <c r="H1257" t="s">
        <v>704</v>
      </c>
      <c r="I1257" t="s">
        <v>704</v>
      </c>
    </row>
    <row r="1258" spans="1:10" x14ac:dyDescent="0.35">
      <c r="A1258">
        <v>1</v>
      </c>
      <c r="B1258" s="16">
        <v>1</v>
      </c>
      <c r="C1258" s="4">
        <v>1.219E-5</v>
      </c>
      <c r="D1258">
        <v>0.95760000000000001</v>
      </c>
      <c r="E1258">
        <v>0.57240000000000002</v>
      </c>
      <c r="F1258">
        <v>10</v>
      </c>
      <c r="G1258" s="4">
        <v>6.9770000000000003E-6</v>
      </c>
      <c r="H1258">
        <v>0.22559999999999999</v>
      </c>
      <c r="I1258">
        <v>0.1283</v>
      </c>
    </row>
    <row r="1259" spans="1:10" x14ac:dyDescent="0.35">
      <c r="A1259">
        <v>2</v>
      </c>
      <c r="B1259" s="16">
        <v>2</v>
      </c>
      <c r="C1259" s="4">
        <v>1.0250000000000001E-9</v>
      </c>
      <c r="D1259">
        <v>1.486</v>
      </c>
      <c r="E1259">
        <v>1.452</v>
      </c>
      <c r="F1259">
        <v>10</v>
      </c>
      <c r="G1259" s="4">
        <v>1.488E-9</v>
      </c>
      <c r="H1259" s="4">
        <v>4.812E-5</v>
      </c>
      <c r="I1259" s="4">
        <v>2.7359999999999999E-5</v>
      </c>
    </row>
    <row r="1260" spans="1:10" x14ac:dyDescent="0.35">
      <c r="A1260">
        <v>3</v>
      </c>
      <c r="B1260" s="16">
        <v>3</v>
      </c>
      <c r="C1260" s="4">
        <v>1.991E-7</v>
      </c>
      <c r="D1260">
        <v>0.25819999999999999</v>
      </c>
      <c r="E1260">
        <v>0.42349999999999999</v>
      </c>
      <c r="F1260">
        <v>10</v>
      </c>
      <c r="G1260" s="4">
        <v>8.4320000000000003E-8</v>
      </c>
      <c r="H1260">
        <v>2.7269999999999998E-3</v>
      </c>
      <c r="I1260">
        <v>1.5499999999999999E-3</v>
      </c>
    </row>
    <row r="1261" spans="1:10" x14ac:dyDescent="0.35">
      <c r="A1261">
        <v>4</v>
      </c>
      <c r="B1261" s="16">
        <v>4</v>
      </c>
      <c r="C1261" s="4">
        <v>3.2329999999999999E-7</v>
      </c>
      <c r="D1261">
        <v>1.508</v>
      </c>
      <c r="E1261">
        <v>1.6419999999999999</v>
      </c>
      <c r="F1261">
        <v>10</v>
      </c>
      <c r="G1261" s="4">
        <v>5.3079999999999996E-7</v>
      </c>
      <c r="H1261">
        <v>1.7170000000000001E-2</v>
      </c>
      <c r="I1261">
        <v>9.7590000000000003E-3</v>
      </c>
    </row>
    <row r="1262" spans="1:10" x14ac:dyDescent="0.35">
      <c r="A1262">
        <v>5</v>
      </c>
      <c r="B1262" s="16">
        <v>5</v>
      </c>
      <c r="C1262" s="4">
        <v>2.2359999999999999E-5</v>
      </c>
      <c r="D1262">
        <v>1.3779999999999999</v>
      </c>
      <c r="E1262">
        <v>1.0429999999999999</v>
      </c>
      <c r="F1262">
        <v>10</v>
      </c>
      <c r="G1262" s="4">
        <v>2.3329999999999999E-5</v>
      </c>
      <c r="H1262">
        <v>0.75439999999999996</v>
      </c>
      <c r="I1262">
        <v>0.4289</v>
      </c>
    </row>
    <row r="1263" spans="1:10" x14ac:dyDescent="0.35">
      <c r="A1263">
        <v>6</v>
      </c>
      <c r="B1263" s="16" t="s">
        <v>464</v>
      </c>
      <c r="C1263" s="4">
        <v>3.5849999999999997E-5</v>
      </c>
      <c r="D1263">
        <v>0.84009999999999996</v>
      </c>
      <c r="E1263">
        <v>0.65480000000000005</v>
      </c>
      <c r="F1263">
        <v>10</v>
      </c>
      <c r="G1263" s="4">
        <v>2.3470000000000001E-5</v>
      </c>
      <c r="H1263" t="s">
        <v>452</v>
      </c>
      <c r="I1263">
        <v>0.43149999999999999</v>
      </c>
    </row>
    <row r="1264" spans="1:10" x14ac:dyDescent="0.35">
      <c r="A1264">
        <v>7</v>
      </c>
      <c r="B1264" s="16" t="s">
        <v>466</v>
      </c>
      <c r="C1264" s="4">
        <v>1.219E-5</v>
      </c>
      <c r="D1264">
        <v>0.37409999999999999</v>
      </c>
      <c r="E1264">
        <v>0.23100000000000001</v>
      </c>
      <c r="F1264">
        <v>10</v>
      </c>
      <c r="G1264" s="4">
        <v>2.8159999999999998E-6</v>
      </c>
      <c r="H1264" t="s">
        <v>452</v>
      </c>
      <c r="I1264">
        <v>8.3470000000000003E-2</v>
      </c>
    </row>
    <row r="1265" spans="1:10" x14ac:dyDescent="0.35">
      <c r="A1265">
        <v>8</v>
      </c>
      <c r="B1265" s="16" t="s">
        <v>467</v>
      </c>
      <c r="C1265" s="4">
        <v>3.5849999999999997E-5</v>
      </c>
      <c r="D1265">
        <v>0.86870000000000003</v>
      </c>
      <c r="E1265">
        <v>0.66700000000000004</v>
      </c>
      <c r="F1265">
        <v>10</v>
      </c>
      <c r="G1265" s="4">
        <v>2.391E-5</v>
      </c>
      <c r="H1265" t="s">
        <v>452</v>
      </c>
      <c r="I1265">
        <v>0.441</v>
      </c>
    </row>
    <row r="1266" spans="1:10" x14ac:dyDescent="0.35">
      <c r="A1266">
        <v>9</v>
      </c>
      <c r="B1266" s="16" t="s">
        <v>469</v>
      </c>
      <c r="C1266" s="4">
        <v>3.5849999999999997E-5</v>
      </c>
      <c r="D1266">
        <v>0.93730000000000002</v>
      </c>
      <c r="E1266">
        <v>0.69010000000000005</v>
      </c>
      <c r="F1266">
        <v>10</v>
      </c>
      <c r="G1266" s="4">
        <v>2.474E-5</v>
      </c>
      <c r="H1266" t="s">
        <v>452</v>
      </c>
      <c r="I1266">
        <v>0.44940000000000002</v>
      </c>
    </row>
    <row r="1267" spans="1:10" x14ac:dyDescent="0.35">
      <c r="A1267" t="s">
        <v>701</v>
      </c>
      <c r="B1267" s="16"/>
    </row>
    <row r="1268" spans="1:10" x14ac:dyDescent="0.35">
      <c r="A1268" t="s">
        <v>700</v>
      </c>
      <c r="B1268" s="16"/>
    </row>
    <row r="1269" spans="1:10" x14ac:dyDescent="0.35">
      <c r="A1269" t="s">
        <v>470</v>
      </c>
      <c r="B1269" s="16"/>
    </row>
    <row r="1270" spans="1:10" x14ac:dyDescent="0.35">
      <c r="A1270" t="s">
        <v>471</v>
      </c>
      <c r="B1270" s="16"/>
    </row>
    <row r="1271" spans="1:10" x14ac:dyDescent="0.35">
      <c r="A1271" t="s">
        <v>960</v>
      </c>
      <c r="B1271" s="16"/>
      <c r="J1271">
        <v>48</v>
      </c>
    </row>
    <row r="1272" spans="1:10" x14ac:dyDescent="0.35">
      <c r="A1272" t="s">
        <v>700</v>
      </c>
      <c r="B1272" s="16"/>
    </row>
    <row r="1273" spans="1:10" x14ac:dyDescent="0.35">
      <c r="A1273" t="s">
        <v>438</v>
      </c>
      <c r="B1273" s="16"/>
    </row>
    <row r="1274" spans="1:10" x14ac:dyDescent="0.35">
      <c r="A1274" t="s">
        <v>439</v>
      </c>
      <c r="B1274" s="16"/>
    </row>
    <row r="1275" spans="1:10" x14ac:dyDescent="0.35">
      <c r="A1275" t="s">
        <v>441</v>
      </c>
      <c r="B1275" s="16"/>
    </row>
    <row r="1276" spans="1:10" x14ac:dyDescent="0.35">
      <c r="A1276" t="s">
        <v>701</v>
      </c>
      <c r="B1276" s="16"/>
    </row>
    <row r="1277" spans="1:10" x14ac:dyDescent="0.35">
      <c r="A1277" t="s">
        <v>442</v>
      </c>
      <c r="B1277" s="16" t="s">
        <v>443</v>
      </c>
      <c r="C1277" t="s">
        <v>444</v>
      </c>
      <c r="D1277" t="s">
        <v>445</v>
      </c>
      <c r="E1277" t="s">
        <v>445</v>
      </c>
      <c r="F1277" t="s">
        <v>446</v>
      </c>
      <c r="G1277" t="s">
        <v>447</v>
      </c>
      <c r="H1277" t="s">
        <v>448</v>
      </c>
      <c r="I1277" t="s">
        <v>448</v>
      </c>
    </row>
    <row r="1278" spans="1:10" x14ac:dyDescent="0.35">
      <c r="A1278" t="s">
        <v>450</v>
      </c>
      <c r="B1278" s="16" t="s">
        <v>451</v>
      </c>
      <c r="C1278" t="s">
        <v>452</v>
      </c>
      <c r="D1278" t="s">
        <v>453</v>
      </c>
      <c r="E1278" t="s">
        <v>454</v>
      </c>
      <c r="F1278" t="s">
        <v>455</v>
      </c>
      <c r="G1278" t="s">
        <v>456</v>
      </c>
      <c r="H1278" t="s">
        <v>457</v>
      </c>
      <c r="I1278" t="s">
        <v>458</v>
      </c>
    </row>
    <row r="1279" spans="1:10" x14ac:dyDescent="0.35">
      <c r="A1279" t="s">
        <v>702</v>
      </c>
      <c r="B1279" s="16" t="s">
        <v>703</v>
      </c>
      <c r="C1279" t="s">
        <v>704</v>
      </c>
      <c r="D1279" t="s">
        <v>704</v>
      </c>
      <c r="E1279" t="s">
        <v>704</v>
      </c>
      <c r="F1279" t="s">
        <v>705</v>
      </c>
      <c r="G1279" t="s">
        <v>704</v>
      </c>
      <c r="H1279" t="s">
        <v>704</v>
      </c>
      <c r="I1279" t="s">
        <v>704</v>
      </c>
    </row>
    <row r="1280" spans="1:10" x14ac:dyDescent="0.35">
      <c r="A1280">
        <v>1</v>
      </c>
      <c r="B1280" s="16">
        <v>1</v>
      </c>
      <c r="C1280">
        <v>7.7999999999999996E-3</v>
      </c>
      <c r="D1280">
        <v>1.1859999999999999</v>
      </c>
      <c r="E1280">
        <v>1.849</v>
      </c>
      <c r="F1280">
        <v>16</v>
      </c>
      <c r="G1280">
        <v>1.4420000000000001E-2</v>
      </c>
      <c r="H1280">
        <v>6.012E-2</v>
      </c>
      <c r="I1280">
        <v>2.095E-2</v>
      </c>
    </row>
    <row r="1281" spans="1:9" x14ac:dyDescent="0.35">
      <c r="A1281">
        <v>2</v>
      </c>
      <c r="B1281" s="16">
        <v>2</v>
      </c>
      <c r="C1281">
        <v>7.7999999999999996E-3</v>
      </c>
      <c r="D1281">
        <v>1.355</v>
      </c>
      <c r="E1281">
        <v>2.0139999999999998</v>
      </c>
      <c r="F1281">
        <v>16</v>
      </c>
      <c r="G1281">
        <v>1.5709999999999998E-2</v>
      </c>
      <c r="H1281">
        <v>6.5500000000000003E-2</v>
      </c>
      <c r="I1281">
        <v>2.282E-2</v>
      </c>
    </row>
    <row r="1282" spans="1:9" x14ac:dyDescent="0.35">
      <c r="A1282">
        <v>3</v>
      </c>
      <c r="B1282" s="16">
        <v>3</v>
      </c>
      <c r="C1282" s="4">
        <v>1.6339999999999999E-7</v>
      </c>
      <c r="D1282">
        <v>1.248</v>
      </c>
      <c r="E1282">
        <v>2.13</v>
      </c>
      <c r="F1282">
        <v>16</v>
      </c>
      <c r="G1282" s="4">
        <v>3.4789999999999999E-7</v>
      </c>
      <c r="H1282" s="4">
        <v>1.4500000000000001E-6</v>
      </c>
      <c r="I1282" s="4">
        <v>5.0539999999999996E-7</v>
      </c>
    </row>
    <row r="1283" spans="1:9" x14ac:dyDescent="0.35">
      <c r="A1283">
        <v>4</v>
      </c>
      <c r="B1283" s="16">
        <v>4</v>
      </c>
      <c r="C1283" s="4">
        <v>1.5159999999999999E-9</v>
      </c>
      <c r="D1283">
        <v>0.93469999999999998</v>
      </c>
      <c r="E1283">
        <v>1.5660000000000001</v>
      </c>
      <c r="F1283">
        <v>16</v>
      </c>
      <c r="G1283" s="4">
        <v>2.3739999999999999E-9</v>
      </c>
      <c r="H1283" s="4">
        <v>9.8959999999999997E-9</v>
      </c>
      <c r="I1283" s="4">
        <v>3.4480000000000001E-9</v>
      </c>
    </row>
    <row r="1284" spans="1:9" x14ac:dyDescent="0.35">
      <c r="A1284">
        <v>5</v>
      </c>
      <c r="B1284" s="16">
        <v>5</v>
      </c>
      <c r="C1284" s="4">
        <v>2.4070000000000002E-5</v>
      </c>
      <c r="D1284">
        <v>1.2729999999999999</v>
      </c>
      <c r="E1284">
        <v>2.25</v>
      </c>
      <c r="F1284">
        <v>16</v>
      </c>
      <c r="G1284" s="4">
        <v>5.4160000000000003E-5</v>
      </c>
      <c r="H1284">
        <v>2.2580000000000001E-4</v>
      </c>
      <c r="I1284" s="4">
        <v>7.8670000000000004E-5</v>
      </c>
    </row>
    <row r="1285" spans="1:9" x14ac:dyDescent="0.35">
      <c r="A1285">
        <v>6</v>
      </c>
      <c r="B1285" s="16">
        <v>6</v>
      </c>
      <c r="C1285">
        <v>1.2319999999999999E-2</v>
      </c>
      <c r="D1285">
        <v>1.085</v>
      </c>
      <c r="E1285">
        <v>1.4510000000000001</v>
      </c>
      <c r="F1285">
        <v>16</v>
      </c>
      <c r="G1285">
        <v>1.788E-2</v>
      </c>
      <c r="H1285">
        <v>7.4529999999999999E-2</v>
      </c>
      <c r="I1285">
        <v>2.597E-2</v>
      </c>
    </row>
    <row r="1286" spans="1:9" x14ac:dyDescent="0.35">
      <c r="A1286">
        <v>7</v>
      </c>
      <c r="B1286" s="16">
        <v>7</v>
      </c>
      <c r="C1286" s="4">
        <v>7.0580000000000001E-8</v>
      </c>
      <c r="D1286">
        <v>1.524</v>
      </c>
      <c r="E1286">
        <v>2.5830000000000002</v>
      </c>
      <c r="F1286">
        <v>16</v>
      </c>
      <c r="G1286" s="4">
        <v>1.8230000000000001E-7</v>
      </c>
      <c r="H1286" s="4">
        <v>7.6000000000000003E-7</v>
      </c>
      <c r="I1286" s="4">
        <v>2.6479999999999999E-7</v>
      </c>
    </row>
    <row r="1287" spans="1:9" x14ac:dyDescent="0.35">
      <c r="A1287">
        <v>8</v>
      </c>
      <c r="B1287" s="16">
        <v>8</v>
      </c>
      <c r="C1287">
        <v>0.22739999999999999</v>
      </c>
      <c r="D1287">
        <v>0.90939999999999999</v>
      </c>
      <c r="E1287">
        <v>0.84219999999999995</v>
      </c>
      <c r="F1287">
        <v>16</v>
      </c>
      <c r="G1287">
        <v>0.1915</v>
      </c>
      <c r="H1287">
        <v>0.7984</v>
      </c>
      <c r="I1287">
        <v>0.2782</v>
      </c>
    </row>
    <row r="1288" spans="1:9" x14ac:dyDescent="0.35">
      <c r="A1288">
        <v>9</v>
      </c>
      <c r="B1288" s="16">
        <v>9</v>
      </c>
      <c r="C1288" s="4">
        <v>1.362E-5</v>
      </c>
      <c r="D1288">
        <v>1.6830000000000001</v>
      </c>
      <c r="E1288">
        <v>2.5459999999999998</v>
      </c>
      <c r="F1288">
        <v>16</v>
      </c>
      <c r="G1288" s="4">
        <v>3.4669999999999998E-5</v>
      </c>
      <c r="H1288">
        <v>1.4449999999999999E-4</v>
      </c>
      <c r="I1288" s="4">
        <v>5.0359999999999999E-5</v>
      </c>
    </row>
    <row r="1289" spans="1:9" x14ac:dyDescent="0.35">
      <c r="A1289">
        <v>10</v>
      </c>
      <c r="B1289" s="16">
        <v>10</v>
      </c>
      <c r="C1289" s="4">
        <v>4.9399999999999999E-8</v>
      </c>
      <c r="D1289">
        <v>1.2490000000000001</v>
      </c>
      <c r="E1289">
        <v>2.0569999999999999</v>
      </c>
      <c r="F1289">
        <v>16</v>
      </c>
      <c r="G1289" s="4">
        <v>1.016E-7</v>
      </c>
      <c r="H1289" s="4">
        <v>4.2360000000000001E-7</v>
      </c>
      <c r="I1289" s="4">
        <v>1.476E-7</v>
      </c>
    </row>
    <row r="1290" spans="1:9" x14ac:dyDescent="0.35">
      <c r="A1290">
        <v>11</v>
      </c>
      <c r="B1290" s="16">
        <v>11</v>
      </c>
      <c r="C1290" s="4">
        <v>9.3640000000000005E-5</v>
      </c>
      <c r="D1290">
        <v>1.357</v>
      </c>
      <c r="E1290">
        <v>1.377</v>
      </c>
      <c r="F1290">
        <v>16</v>
      </c>
      <c r="G1290">
        <v>1.2889999999999999E-4</v>
      </c>
      <c r="H1290">
        <v>5.375E-4</v>
      </c>
      <c r="I1290">
        <v>1.873E-4</v>
      </c>
    </row>
    <row r="1291" spans="1:9" x14ac:dyDescent="0.35">
      <c r="A1291">
        <v>12</v>
      </c>
      <c r="B1291" s="16">
        <v>12</v>
      </c>
      <c r="C1291" s="4">
        <v>2.8799999999999998E-12</v>
      </c>
      <c r="D1291">
        <v>1.758</v>
      </c>
      <c r="E1291">
        <v>2.3450000000000002</v>
      </c>
      <c r="F1291">
        <v>16</v>
      </c>
      <c r="G1291" s="4">
        <v>6.7550000000000002E-12</v>
      </c>
      <c r="H1291" s="4">
        <v>2.816E-11</v>
      </c>
      <c r="I1291" s="4">
        <v>9.8120000000000006E-12</v>
      </c>
    </row>
    <row r="1292" spans="1:9" x14ac:dyDescent="0.35">
      <c r="A1292">
        <v>13</v>
      </c>
      <c r="B1292" s="16">
        <v>13</v>
      </c>
      <c r="C1292" s="4">
        <v>6.7990000000000005E-5</v>
      </c>
      <c r="D1292">
        <v>1.603</v>
      </c>
      <c r="E1292">
        <v>2.028</v>
      </c>
      <c r="F1292">
        <v>16</v>
      </c>
      <c r="G1292">
        <v>1.3789999999999999E-4</v>
      </c>
      <c r="H1292">
        <v>5.7490000000000004E-4</v>
      </c>
      <c r="I1292">
        <v>2.0029999999999999E-4</v>
      </c>
    </row>
    <row r="1293" spans="1:9" x14ac:dyDescent="0.35">
      <c r="A1293">
        <v>14</v>
      </c>
      <c r="B1293" s="16">
        <v>14</v>
      </c>
      <c r="C1293" s="4">
        <v>1.56E-9</v>
      </c>
      <c r="D1293">
        <v>1.8560000000000001</v>
      </c>
      <c r="E1293">
        <v>2.63</v>
      </c>
      <c r="F1293">
        <v>16</v>
      </c>
      <c r="G1293" s="4">
        <v>4.1009999999999998E-9</v>
      </c>
      <c r="H1293" s="4">
        <v>1.7100000000000001E-8</v>
      </c>
      <c r="I1293" s="4">
        <v>5.957E-9</v>
      </c>
    </row>
    <row r="1294" spans="1:9" x14ac:dyDescent="0.35">
      <c r="A1294">
        <v>15</v>
      </c>
      <c r="B1294" s="16" t="s">
        <v>464</v>
      </c>
      <c r="C1294">
        <v>0.62860000000000005</v>
      </c>
      <c r="D1294">
        <v>0.6321</v>
      </c>
      <c r="E1294">
        <v>0.71360000000000001</v>
      </c>
      <c r="F1294">
        <v>16</v>
      </c>
      <c r="G1294">
        <v>0.4486</v>
      </c>
      <c r="H1294" t="s">
        <v>452</v>
      </c>
      <c r="I1294">
        <v>0.65159999999999996</v>
      </c>
    </row>
    <row r="1295" spans="1:9" x14ac:dyDescent="0.35">
      <c r="A1295">
        <v>16</v>
      </c>
      <c r="B1295" s="16" t="s">
        <v>466</v>
      </c>
      <c r="C1295">
        <v>0.51729999999999998</v>
      </c>
      <c r="D1295">
        <v>0.49680000000000002</v>
      </c>
      <c r="E1295">
        <v>0.751</v>
      </c>
      <c r="F1295">
        <v>16</v>
      </c>
      <c r="G1295">
        <v>0.38850000000000001</v>
      </c>
      <c r="H1295" t="s">
        <v>452</v>
      </c>
      <c r="I1295">
        <v>0.61819999999999997</v>
      </c>
    </row>
    <row r="1296" spans="1:9" x14ac:dyDescent="0.35">
      <c r="A1296">
        <v>17</v>
      </c>
      <c r="B1296" s="16" t="s">
        <v>467</v>
      </c>
      <c r="C1296">
        <v>0.67549999999999999</v>
      </c>
      <c r="D1296">
        <v>0.72889999999999999</v>
      </c>
      <c r="E1296">
        <v>0.77739999999999998</v>
      </c>
      <c r="F1296">
        <v>16</v>
      </c>
      <c r="G1296">
        <v>0.52510000000000001</v>
      </c>
      <c r="H1296" t="s">
        <v>452</v>
      </c>
      <c r="I1296">
        <v>0.71489999999999998</v>
      </c>
    </row>
    <row r="1297" spans="1:10" x14ac:dyDescent="0.35">
      <c r="A1297">
        <v>18</v>
      </c>
      <c r="B1297" s="16" t="s">
        <v>469</v>
      </c>
      <c r="C1297">
        <v>0.99150000000000005</v>
      </c>
      <c r="D1297">
        <v>0.75839999999999996</v>
      </c>
      <c r="E1297">
        <v>0.78320000000000001</v>
      </c>
      <c r="F1297">
        <v>16</v>
      </c>
      <c r="G1297">
        <v>0.77659999999999996</v>
      </c>
      <c r="H1297" t="s">
        <v>452</v>
      </c>
      <c r="I1297">
        <v>0.76400000000000001</v>
      </c>
    </row>
    <row r="1298" spans="1:10" x14ac:dyDescent="0.35">
      <c r="A1298" t="s">
        <v>701</v>
      </c>
      <c r="B1298" s="16"/>
    </row>
    <row r="1299" spans="1:10" x14ac:dyDescent="0.35">
      <c r="A1299" t="s">
        <v>700</v>
      </c>
      <c r="B1299" s="16"/>
    </row>
    <row r="1300" spans="1:10" x14ac:dyDescent="0.35">
      <c r="A1300" t="s">
        <v>470</v>
      </c>
      <c r="B1300" s="16"/>
    </row>
    <row r="1301" spans="1:10" x14ac:dyDescent="0.35">
      <c r="A1301" t="s">
        <v>471</v>
      </c>
      <c r="B1301" s="16"/>
    </row>
    <row r="1302" spans="1:10" x14ac:dyDescent="0.35">
      <c r="A1302" t="s">
        <v>662</v>
      </c>
      <c r="B1302" s="16"/>
      <c r="J1302">
        <v>49</v>
      </c>
    </row>
    <row r="1303" spans="1:10" x14ac:dyDescent="0.35">
      <c r="A1303" t="s">
        <v>700</v>
      </c>
      <c r="B1303" s="16"/>
    </row>
    <row r="1304" spans="1:10" x14ac:dyDescent="0.35">
      <c r="A1304" t="s">
        <v>438</v>
      </c>
      <c r="B1304" s="16"/>
    </row>
    <row r="1305" spans="1:10" x14ac:dyDescent="0.35">
      <c r="A1305" t="s">
        <v>439</v>
      </c>
      <c r="B1305" s="16"/>
    </row>
    <row r="1306" spans="1:10" x14ac:dyDescent="0.35">
      <c r="A1306" t="s">
        <v>441</v>
      </c>
      <c r="B1306" s="16"/>
    </row>
    <row r="1307" spans="1:10" x14ac:dyDescent="0.35">
      <c r="A1307" t="s">
        <v>701</v>
      </c>
      <c r="B1307" s="16"/>
    </row>
    <row r="1308" spans="1:10" x14ac:dyDescent="0.35">
      <c r="A1308" t="s">
        <v>442</v>
      </c>
      <c r="B1308" s="16" t="s">
        <v>443</v>
      </c>
      <c r="C1308" t="s">
        <v>444</v>
      </c>
      <c r="D1308" t="s">
        <v>445</v>
      </c>
      <c r="E1308" t="s">
        <v>445</v>
      </c>
      <c r="F1308" t="s">
        <v>446</v>
      </c>
      <c r="G1308" t="s">
        <v>447</v>
      </c>
      <c r="H1308" t="s">
        <v>448</v>
      </c>
      <c r="I1308" t="s">
        <v>448</v>
      </c>
    </row>
    <row r="1309" spans="1:10" x14ac:dyDescent="0.35">
      <c r="A1309" t="s">
        <v>450</v>
      </c>
      <c r="B1309" s="16" t="s">
        <v>451</v>
      </c>
      <c r="C1309" t="s">
        <v>452</v>
      </c>
      <c r="D1309" t="s">
        <v>453</v>
      </c>
      <c r="E1309" t="s">
        <v>454</v>
      </c>
      <c r="F1309" t="s">
        <v>455</v>
      </c>
      <c r="G1309" t="s">
        <v>456</v>
      </c>
      <c r="H1309" t="s">
        <v>457</v>
      </c>
      <c r="I1309" t="s">
        <v>458</v>
      </c>
    </row>
    <row r="1310" spans="1:10" x14ac:dyDescent="0.35">
      <c r="A1310" t="s">
        <v>702</v>
      </c>
      <c r="B1310" s="16" t="s">
        <v>703</v>
      </c>
      <c r="C1310" t="s">
        <v>704</v>
      </c>
      <c r="D1310" t="s">
        <v>704</v>
      </c>
      <c r="E1310" t="s">
        <v>704</v>
      </c>
      <c r="F1310" t="s">
        <v>705</v>
      </c>
      <c r="G1310" t="s">
        <v>704</v>
      </c>
      <c r="H1310" t="s">
        <v>704</v>
      </c>
      <c r="I1310" t="s">
        <v>704</v>
      </c>
    </row>
    <row r="1311" spans="1:10" x14ac:dyDescent="0.35">
      <c r="A1311">
        <v>1</v>
      </c>
      <c r="B1311" s="16" t="s">
        <v>515</v>
      </c>
      <c r="C1311">
        <v>0.1389</v>
      </c>
      <c r="D1311">
        <v>0.94779999999999998</v>
      </c>
      <c r="E1311">
        <v>0.94779999999999998</v>
      </c>
      <c r="F1311">
        <v>13</v>
      </c>
      <c r="G1311">
        <v>0.13159999999999999</v>
      </c>
      <c r="H1311">
        <v>5.57E-2</v>
      </c>
      <c r="I1311">
        <v>5.219E-2</v>
      </c>
    </row>
    <row r="1312" spans="1:10" x14ac:dyDescent="0.35">
      <c r="A1312">
        <v>2</v>
      </c>
      <c r="B1312" s="16" t="s">
        <v>516</v>
      </c>
      <c r="C1312">
        <v>0.4209</v>
      </c>
      <c r="D1312">
        <v>0.85440000000000005</v>
      </c>
      <c r="E1312">
        <v>0.85440000000000005</v>
      </c>
      <c r="F1312">
        <v>13</v>
      </c>
      <c r="G1312">
        <v>0.35959999999999998</v>
      </c>
      <c r="H1312">
        <v>0.1522</v>
      </c>
      <c r="I1312">
        <v>0.1426</v>
      </c>
    </row>
    <row r="1313" spans="1:9" x14ac:dyDescent="0.35">
      <c r="A1313">
        <v>3</v>
      </c>
      <c r="B1313" s="16" t="s">
        <v>518</v>
      </c>
      <c r="C1313">
        <v>9.4879999999999997E-4</v>
      </c>
      <c r="D1313">
        <v>1.9390000000000001</v>
      </c>
      <c r="E1313">
        <v>1.9390000000000001</v>
      </c>
      <c r="F1313">
        <v>13</v>
      </c>
      <c r="G1313">
        <v>1.8400000000000001E-3</v>
      </c>
      <c r="H1313">
        <v>7.7890000000000001E-4</v>
      </c>
      <c r="I1313">
        <v>7.2979999999999996E-4</v>
      </c>
    </row>
    <row r="1314" spans="1:9" x14ac:dyDescent="0.35">
      <c r="A1314">
        <v>4</v>
      </c>
      <c r="B1314" s="16" t="s">
        <v>585</v>
      </c>
      <c r="C1314">
        <v>9.2530000000000008E-3</v>
      </c>
      <c r="D1314">
        <v>0.81569999999999998</v>
      </c>
      <c r="E1314">
        <v>0.81569999999999998</v>
      </c>
      <c r="F1314">
        <v>13</v>
      </c>
      <c r="G1314">
        <v>7.548E-3</v>
      </c>
      <c r="H1314">
        <v>3.1949999999999999E-3</v>
      </c>
      <c r="I1314">
        <v>2.993E-3</v>
      </c>
    </row>
    <row r="1315" spans="1:9" x14ac:dyDescent="0.35">
      <c r="A1315">
        <v>5</v>
      </c>
      <c r="B1315" s="16" t="s">
        <v>579</v>
      </c>
      <c r="C1315">
        <v>1.714E-3</v>
      </c>
      <c r="D1315">
        <v>1.171</v>
      </c>
      <c r="E1315">
        <v>1.171</v>
      </c>
      <c r="F1315">
        <v>13</v>
      </c>
      <c r="G1315">
        <v>2.0070000000000001E-3</v>
      </c>
      <c r="H1315">
        <v>8.497E-4</v>
      </c>
      <c r="I1315">
        <v>7.961E-4</v>
      </c>
    </row>
    <row r="1316" spans="1:9" x14ac:dyDescent="0.35">
      <c r="A1316">
        <v>6</v>
      </c>
      <c r="B1316" s="16" t="s">
        <v>580</v>
      </c>
      <c r="C1316">
        <v>5.4539999999999996E-3</v>
      </c>
      <c r="D1316">
        <v>1.1919999999999999</v>
      </c>
      <c r="E1316">
        <v>1.1919999999999999</v>
      </c>
      <c r="F1316">
        <v>13</v>
      </c>
      <c r="G1316">
        <v>6.502E-3</v>
      </c>
      <c r="H1316">
        <v>2.7520000000000001E-3</v>
      </c>
      <c r="I1316">
        <v>2.5790000000000001E-3</v>
      </c>
    </row>
    <row r="1317" spans="1:9" x14ac:dyDescent="0.35">
      <c r="A1317">
        <v>7</v>
      </c>
      <c r="B1317" s="16" t="s">
        <v>586</v>
      </c>
      <c r="C1317">
        <v>0.45390000000000003</v>
      </c>
      <c r="D1317">
        <v>1.032</v>
      </c>
      <c r="E1317">
        <v>1.032</v>
      </c>
      <c r="F1317">
        <v>13</v>
      </c>
      <c r="G1317">
        <v>0.46839999999999998</v>
      </c>
      <c r="H1317">
        <v>0.1983</v>
      </c>
      <c r="I1317">
        <v>0.18579999999999999</v>
      </c>
    </row>
    <row r="1318" spans="1:9" x14ac:dyDescent="0.35">
      <c r="A1318">
        <v>8</v>
      </c>
      <c r="B1318" s="16" t="s">
        <v>500</v>
      </c>
      <c r="C1318">
        <v>0.68940000000000001</v>
      </c>
      <c r="D1318">
        <v>0.61150000000000004</v>
      </c>
      <c r="E1318">
        <v>0.61150000000000004</v>
      </c>
      <c r="F1318">
        <v>13</v>
      </c>
      <c r="G1318">
        <v>0.42159999999999997</v>
      </c>
      <c r="H1318">
        <v>0.17849999999999999</v>
      </c>
      <c r="I1318">
        <v>0.16719999999999999</v>
      </c>
    </row>
    <row r="1319" spans="1:9" x14ac:dyDescent="0.35">
      <c r="A1319">
        <v>9</v>
      </c>
      <c r="B1319" s="16" t="s">
        <v>501</v>
      </c>
      <c r="C1319">
        <v>0.75460000000000005</v>
      </c>
      <c r="D1319">
        <v>1.1439999999999999</v>
      </c>
      <c r="E1319">
        <v>1.1439999999999999</v>
      </c>
      <c r="F1319">
        <v>13</v>
      </c>
      <c r="G1319">
        <v>0.86319999999999997</v>
      </c>
      <c r="H1319">
        <v>0.3654</v>
      </c>
      <c r="I1319">
        <v>0.34229999999999999</v>
      </c>
    </row>
    <row r="1320" spans="1:9" x14ac:dyDescent="0.35">
      <c r="A1320">
        <v>10</v>
      </c>
      <c r="B1320" s="16" t="s">
        <v>502</v>
      </c>
      <c r="C1320">
        <v>4.2849999999999997E-3</v>
      </c>
      <c r="D1320">
        <v>1.909</v>
      </c>
      <c r="E1320">
        <v>1.909</v>
      </c>
      <c r="F1320">
        <v>13</v>
      </c>
      <c r="G1320">
        <v>8.1790000000000005E-3</v>
      </c>
      <c r="H1320">
        <v>3.4619999999999998E-3</v>
      </c>
      <c r="I1320">
        <v>3.2439999999999999E-3</v>
      </c>
    </row>
    <row r="1321" spans="1:9" x14ac:dyDescent="0.35">
      <c r="A1321">
        <v>11</v>
      </c>
      <c r="B1321" s="16" t="s">
        <v>581</v>
      </c>
      <c r="C1321">
        <v>9.6460000000000004E-2</v>
      </c>
      <c r="D1321">
        <v>0.92879999999999996</v>
      </c>
      <c r="E1321">
        <v>0.92879999999999996</v>
      </c>
      <c r="F1321">
        <v>13</v>
      </c>
      <c r="G1321">
        <v>8.9590000000000003E-2</v>
      </c>
      <c r="H1321">
        <v>3.7920000000000002E-2</v>
      </c>
      <c r="I1321">
        <v>3.5529999999999999E-2</v>
      </c>
    </row>
    <row r="1322" spans="1:9" x14ac:dyDescent="0.35">
      <c r="A1322">
        <v>12</v>
      </c>
      <c r="B1322" s="16" t="s">
        <v>583</v>
      </c>
      <c r="C1322">
        <v>2.4989999999999999E-3</v>
      </c>
      <c r="D1322">
        <v>0.9698</v>
      </c>
      <c r="E1322">
        <v>0.9698</v>
      </c>
      <c r="F1322">
        <v>13</v>
      </c>
      <c r="G1322">
        <v>2.4239999999999999E-3</v>
      </c>
      <c r="H1322">
        <v>1.026E-3</v>
      </c>
      <c r="I1322">
        <v>9.6139999999999995E-4</v>
      </c>
    </row>
    <row r="1323" spans="1:9" x14ac:dyDescent="0.35">
      <c r="A1323">
        <v>13</v>
      </c>
      <c r="B1323" s="16" t="s">
        <v>464</v>
      </c>
      <c r="C1323">
        <v>0.4209</v>
      </c>
      <c r="D1323">
        <v>0.3775</v>
      </c>
      <c r="E1323">
        <v>0.3775</v>
      </c>
      <c r="F1323">
        <v>13</v>
      </c>
      <c r="G1323">
        <v>0.15890000000000001</v>
      </c>
      <c r="H1323" t="s">
        <v>452</v>
      </c>
      <c r="I1323">
        <v>6.3020000000000007E-2</v>
      </c>
    </row>
    <row r="1324" spans="1:9" x14ac:dyDescent="0.35">
      <c r="A1324">
        <v>14</v>
      </c>
      <c r="B1324" s="16" t="s">
        <v>466</v>
      </c>
      <c r="C1324">
        <v>0.32900000000000001</v>
      </c>
      <c r="D1324">
        <v>0.28000000000000003</v>
      </c>
      <c r="E1324">
        <v>0.28000000000000003</v>
      </c>
      <c r="F1324">
        <v>13</v>
      </c>
      <c r="G1324">
        <v>9.2119999999999994E-2</v>
      </c>
      <c r="H1324" t="s">
        <v>452</v>
      </c>
      <c r="I1324">
        <v>3.7530000000000001E-2</v>
      </c>
    </row>
    <row r="1325" spans="1:9" x14ac:dyDescent="0.35">
      <c r="A1325">
        <v>15</v>
      </c>
      <c r="B1325" s="16" t="s">
        <v>467</v>
      </c>
      <c r="C1325">
        <v>0.75460000000000005</v>
      </c>
      <c r="D1325">
        <v>1.1439999999999999</v>
      </c>
      <c r="E1325">
        <v>1.1439999999999999</v>
      </c>
      <c r="F1325">
        <v>13</v>
      </c>
      <c r="G1325">
        <v>0.86319999999999997</v>
      </c>
      <c r="H1325" t="s">
        <v>452</v>
      </c>
      <c r="I1325">
        <v>0.5</v>
      </c>
    </row>
    <row r="1326" spans="1:9" x14ac:dyDescent="0.35">
      <c r="A1326">
        <v>16</v>
      </c>
      <c r="B1326" s="16" t="s">
        <v>469</v>
      </c>
      <c r="C1326">
        <v>0.75460000000000005</v>
      </c>
      <c r="D1326">
        <v>1.1439999999999999</v>
      </c>
      <c r="E1326">
        <v>1.1439999999999999</v>
      </c>
      <c r="F1326">
        <v>13</v>
      </c>
      <c r="G1326">
        <v>0.86319999999999997</v>
      </c>
      <c r="H1326" t="s">
        <v>452</v>
      </c>
      <c r="I1326">
        <v>0.5</v>
      </c>
    </row>
    <row r="1327" spans="1:9" x14ac:dyDescent="0.35">
      <c r="A1327" t="s">
        <v>701</v>
      </c>
      <c r="B1327" s="16"/>
    </row>
    <row r="1328" spans="1:9" x14ac:dyDescent="0.35">
      <c r="A1328" t="s">
        <v>700</v>
      </c>
      <c r="B1328" s="16"/>
    </row>
    <row r="1329" spans="1:10" x14ac:dyDescent="0.35">
      <c r="A1329" t="s">
        <v>470</v>
      </c>
      <c r="B1329" s="16"/>
    </row>
    <row r="1330" spans="1:10" x14ac:dyDescent="0.35">
      <c r="A1330" t="s">
        <v>471</v>
      </c>
      <c r="B1330" s="16"/>
    </row>
    <row r="1331" spans="1:10" x14ac:dyDescent="0.35">
      <c r="A1331" t="s">
        <v>661</v>
      </c>
      <c r="B1331" s="16"/>
      <c r="J1331">
        <v>50</v>
      </c>
    </row>
    <row r="1332" spans="1:10" x14ac:dyDescent="0.35">
      <c r="A1332" t="s">
        <v>700</v>
      </c>
      <c r="B1332" s="16"/>
    </row>
    <row r="1333" spans="1:10" x14ac:dyDescent="0.35">
      <c r="A1333" t="s">
        <v>438</v>
      </c>
      <c r="B1333" s="16"/>
    </row>
    <row r="1334" spans="1:10" x14ac:dyDescent="0.35">
      <c r="A1334" t="s">
        <v>439</v>
      </c>
      <c r="B1334" s="16"/>
    </row>
    <row r="1335" spans="1:10" x14ac:dyDescent="0.35">
      <c r="A1335" t="s">
        <v>441</v>
      </c>
      <c r="B1335" s="16"/>
    </row>
    <row r="1336" spans="1:10" x14ac:dyDescent="0.35">
      <c r="A1336" t="s">
        <v>701</v>
      </c>
      <c r="B1336" s="16"/>
    </row>
    <row r="1337" spans="1:10" x14ac:dyDescent="0.35">
      <c r="A1337" t="s">
        <v>442</v>
      </c>
      <c r="B1337" s="16" t="s">
        <v>443</v>
      </c>
      <c r="C1337" t="s">
        <v>444</v>
      </c>
      <c r="D1337" t="s">
        <v>445</v>
      </c>
      <c r="E1337" t="s">
        <v>445</v>
      </c>
      <c r="F1337" t="s">
        <v>446</v>
      </c>
      <c r="G1337" t="s">
        <v>447</v>
      </c>
      <c r="H1337" t="s">
        <v>448</v>
      </c>
      <c r="I1337" t="s">
        <v>448</v>
      </c>
    </row>
    <row r="1338" spans="1:10" x14ac:dyDescent="0.35">
      <c r="A1338" t="s">
        <v>450</v>
      </c>
      <c r="B1338" s="16" t="s">
        <v>451</v>
      </c>
      <c r="C1338" t="s">
        <v>452</v>
      </c>
      <c r="D1338" t="s">
        <v>453</v>
      </c>
      <c r="E1338" t="s">
        <v>454</v>
      </c>
      <c r="F1338" t="s">
        <v>455</v>
      </c>
      <c r="G1338" t="s">
        <v>456</v>
      </c>
      <c r="H1338" t="s">
        <v>457</v>
      </c>
      <c r="I1338" t="s">
        <v>458</v>
      </c>
    </row>
    <row r="1339" spans="1:10" x14ac:dyDescent="0.35">
      <c r="A1339" t="s">
        <v>702</v>
      </c>
      <c r="B1339" s="16" t="s">
        <v>703</v>
      </c>
      <c r="C1339" t="s">
        <v>704</v>
      </c>
      <c r="D1339" t="s">
        <v>704</v>
      </c>
      <c r="E1339" t="s">
        <v>704</v>
      </c>
      <c r="F1339" t="s">
        <v>705</v>
      </c>
      <c r="G1339" t="s">
        <v>704</v>
      </c>
      <c r="H1339" t="s">
        <v>704</v>
      </c>
      <c r="I1339" t="s">
        <v>704</v>
      </c>
    </row>
    <row r="1340" spans="1:10" x14ac:dyDescent="0.35">
      <c r="A1340">
        <v>1</v>
      </c>
      <c r="B1340" s="16" t="s">
        <v>517</v>
      </c>
      <c r="C1340">
        <v>0.45390000000000003</v>
      </c>
      <c r="D1340">
        <v>1.3440000000000001</v>
      </c>
      <c r="E1340">
        <v>1.3440000000000001</v>
      </c>
      <c r="F1340">
        <v>13</v>
      </c>
      <c r="G1340">
        <v>0.60980000000000001</v>
      </c>
      <c r="H1340">
        <v>0.35420000000000001</v>
      </c>
      <c r="I1340">
        <v>0.32590000000000002</v>
      </c>
    </row>
    <row r="1341" spans="1:10" x14ac:dyDescent="0.35">
      <c r="A1341">
        <v>2</v>
      </c>
      <c r="B1341" s="16" t="s">
        <v>584</v>
      </c>
      <c r="C1341">
        <v>2.147E-2</v>
      </c>
      <c r="D1341">
        <v>1.47</v>
      </c>
      <c r="E1341">
        <v>1.47</v>
      </c>
      <c r="F1341">
        <v>13</v>
      </c>
      <c r="G1341">
        <v>3.1559999999999998E-2</v>
      </c>
      <c r="H1341">
        <v>1.8329999999999999E-2</v>
      </c>
      <c r="I1341">
        <v>1.687E-2</v>
      </c>
    </row>
    <row r="1342" spans="1:10" x14ac:dyDescent="0.35">
      <c r="A1342">
        <v>3</v>
      </c>
      <c r="B1342" s="16" t="s">
        <v>587</v>
      </c>
      <c r="C1342">
        <v>0.92810000000000004</v>
      </c>
      <c r="D1342">
        <v>0.8488</v>
      </c>
      <c r="E1342">
        <v>0.8488</v>
      </c>
      <c r="F1342">
        <v>13</v>
      </c>
      <c r="G1342">
        <v>0.78769999999999996</v>
      </c>
      <c r="H1342">
        <v>0.45750000000000002</v>
      </c>
      <c r="I1342">
        <v>0.42099999999999999</v>
      </c>
    </row>
    <row r="1343" spans="1:10" x14ac:dyDescent="0.35">
      <c r="A1343">
        <v>4</v>
      </c>
      <c r="B1343" s="16" t="s">
        <v>588</v>
      </c>
      <c r="C1343">
        <v>4.4110000000000003E-2</v>
      </c>
      <c r="D1343">
        <v>1.2789999999999999</v>
      </c>
      <c r="E1343">
        <v>1.2789999999999999</v>
      </c>
      <c r="F1343">
        <v>13</v>
      </c>
      <c r="G1343">
        <v>5.6399999999999999E-2</v>
      </c>
      <c r="H1343">
        <v>3.2759999999999997E-2</v>
      </c>
      <c r="I1343">
        <v>3.014E-2</v>
      </c>
    </row>
    <row r="1344" spans="1:10" x14ac:dyDescent="0.35">
      <c r="A1344">
        <v>5</v>
      </c>
      <c r="B1344" s="16" t="s">
        <v>589</v>
      </c>
      <c r="C1344">
        <v>0.27660000000000001</v>
      </c>
      <c r="D1344">
        <v>0.81310000000000004</v>
      </c>
      <c r="E1344">
        <v>0.81310000000000004</v>
      </c>
      <c r="F1344">
        <v>13</v>
      </c>
      <c r="G1344">
        <v>0.22489999999999999</v>
      </c>
      <c r="H1344">
        <v>0.13059999999999999</v>
      </c>
      <c r="I1344">
        <v>0.1202</v>
      </c>
    </row>
    <row r="1345" spans="1:10" x14ac:dyDescent="0.35">
      <c r="A1345">
        <v>6</v>
      </c>
      <c r="B1345" s="16" t="s">
        <v>590</v>
      </c>
      <c r="C1345" s="4">
        <v>2.7400000000000001E-9</v>
      </c>
      <c r="D1345">
        <v>2.0249999999999999</v>
      </c>
      <c r="E1345">
        <v>2.0249999999999999</v>
      </c>
      <c r="F1345">
        <v>13</v>
      </c>
      <c r="G1345" s="4">
        <v>5.5500000000000001E-9</v>
      </c>
      <c r="H1345" s="4">
        <v>3.2230000000000001E-9</v>
      </c>
      <c r="I1345" s="4">
        <v>2.9659999999999999E-9</v>
      </c>
    </row>
    <row r="1346" spans="1:10" x14ac:dyDescent="0.35">
      <c r="A1346">
        <v>7</v>
      </c>
      <c r="B1346" s="16" t="s">
        <v>591</v>
      </c>
      <c r="C1346">
        <v>1.0189999999999999E-2</v>
      </c>
      <c r="D1346">
        <v>1.1160000000000001</v>
      </c>
      <c r="E1346">
        <v>1.1160000000000001</v>
      </c>
      <c r="F1346">
        <v>13</v>
      </c>
      <c r="G1346">
        <v>1.137E-2</v>
      </c>
      <c r="H1346">
        <v>6.6020000000000002E-3</v>
      </c>
      <c r="I1346">
        <v>6.0749999999999997E-3</v>
      </c>
    </row>
    <row r="1347" spans="1:10" x14ac:dyDescent="0.35">
      <c r="A1347">
        <v>8</v>
      </c>
      <c r="B1347" s="16" t="s">
        <v>582</v>
      </c>
      <c r="C1347" s="4">
        <v>8.0420000000000003E-6</v>
      </c>
      <c r="D1347">
        <v>1.3340000000000001</v>
      </c>
      <c r="E1347">
        <v>1.3340000000000001</v>
      </c>
      <c r="F1347">
        <v>13</v>
      </c>
      <c r="G1347" s="4">
        <v>1.0730000000000001E-5</v>
      </c>
      <c r="H1347" s="4">
        <v>6.2299999999999996E-6</v>
      </c>
      <c r="I1347" s="4">
        <v>5.7339999999999996E-6</v>
      </c>
    </row>
    <row r="1348" spans="1:10" x14ac:dyDescent="0.35">
      <c r="A1348">
        <v>9</v>
      </c>
      <c r="B1348" s="16" t="s">
        <v>464</v>
      </c>
      <c r="C1348">
        <v>0.4209</v>
      </c>
      <c r="D1348">
        <v>0.35449999999999998</v>
      </c>
      <c r="E1348">
        <v>0.35449999999999998</v>
      </c>
      <c r="F1348">
        <v>13</v>
      </c>
      <c r="G1348">
        <v>0.1492</v>
      </c>
      <c r="H1348" t="s">
        <v>452</v>
      </c>
      <c r="I1348">
        <v>7.9759999999999998E-2</v>
      </c>
    </row>
    <row r="1349" spans="1:10" x14ac:dyDescent="0.35">
      <c r="A1349">
        <v>10</v>
      </c>
      <c r="B1349" s="16" t="s">
        <v>466</v>
      </c>
      <c r="C1349">
        <v>0.4209</v>
      </c>
      <c r="D1349">
        <v>0.23169999999999999</v>
      </c>
      <c r="E1349">
        <v>0.23169999999999999</v>
      </c>
      <c r="F1349">
        <v>13</v>
      </c>
      <c r="G1349">
        <v>9.7540000000000002E-2</v>
      </c>
      <c r="H1349" t="s">
        <v>452</v>
      </c>
      <c r="I1349">
        <v>5.3609999999999998E-2</v>
      </c>
    </row>
    <row r="1350" spans="1:10" x14ac:dyDescent="0.35">
      <c r="A1350">
        <v>11</v>
      </c>
      <c r="B1350" s="16" t="s">
        <v>467</v>
      </c>
      <c r="C1350">
        <v>0.92810000000000004</v>
      </c>
      <c r="D1350">
        <v>0.8488</v>
      </c>
      <c r="E1350">
        <v>0.8488</v>
      </c>
      <c r="F1350">
        <v>13</v>
      </c>
      <c r="G1350">
        <v>0.78769999999999996</v>
      </c>
      <c r="H1350" t="s">
        <v>452</v>
      </c>
      <c r="I1350">
        <v>0.5</v>
      </c>
    </row>
    <row r="1351" spans="1:10" x14ac:dyDescent="0.35">
      <c r="A1351">
        <v>12</v>
      </c>
      <c r="B1351" s="16" t="s">
        <v>469</v>
      </c>
      <c r="C1351">
        <v>0.92810000000000004</v>
      </c>
      <c r="D1351">
        <v>0.8488</v>
      </c>
      <c r="E1351">
        <v>0.8488</v>
      </c>
      <c r="F1351">
        <v>13</v>
      </c>
      <c r="G1351">
        <v>0.78769999999999996</v>
      </c>
      <c r="H1351" t="s">
        <v>452</v>
      </c>
      <c r="I1351">
        <v>0.5</v>
      </c>
    </row>
    <row r="1352" spans="1:10" x14ac:dyDescent="0.35">
      <c r="A1352" t="s">
        <v>701</v>
      </c>
      <c r="B1352" s="16"/>
    </row>
    <row r="1353" spans="1:10" x14ac:dyDescent="0.35">
      <c r="A1353" t="s">
        <v>700</v>
      </c>
      <c r="B1353" s="16"/>
    </row>
    <row r="1354" spans="1:10" x14ac:dyDescent="0.35">
      <c r="A1354" t="s">
        <v>470</v>
      </c>
      <c r="B1354" s="16"/>
    </row>
    <row r="1355" spans="1:10" x14ac:dyDescent="0.35">
      <c r="A1355" t="s">
        <v>471</v>
      </c>
      <c r="B1355" s="16"/>
    </row>
    <row r="1356" spans="1:10" x14ac:dyDescent="0.35">
      <c r="A1356" t="s">
        <v>961</v>
      </c>
      <c r="B1356" s="16"/>
      <c r="J1356">
        <v>51</v>
      </c>
    </row>
    <row r="1357" spans="1:10" x14ac:dyDescent="0.35">
      <c r="A1357" t="s">
        <v>700</v>
      </c>
      <c r="B1357" s="16"/>
    </row>
    <row r="1358" spans="1:10" x14ac:dyDescent="0.35">
      <c r="A1358" t="s">
        <v>438</v>
      </c>
      <c r="B1358" s="16"/>
    </row>
    <row r="1359" spans="1:10" x14ac:dyDescent="0.35">
      <c r="A1359" t="s">
        <v>439</v>
      </c>
      <c r="B1359" s="16"/>
    </row>
    <row r="1360" spans="1:10" x14ac:dyDescent="0.35">
      <c r="A1360" t="s">
        <v>441</v>
      </c>
      <c r="B1360" s="16"/>
    </row>
    <row r="1361" spans="1:9" x14ac:dyDescent="0.35">
      <c r="A1361" t="s">
        <v>701</v>
      </c>
      <c r="B1361" s="16"/>
    </row>
    <row r="1362" spans="1:9" x14ac:dyDescent="0.35">
      <c r="A1362" t="s">
        <v>442</v>
      </c>
      <c r="B1362" s="16" t="s">
        <v>443</v>
      </c>
      <c r="C1362" t="s">
        <v>444</v>
      </c>
      <c r="D1362" t="s">
        <v>445</v>
      </c>
      <c r="E1362" t="s">
        <v>445</v>
      </c>
      <c r="F1362" t="s">
        <v>446</v>
      </c>
      <c r="G1362" t="s">
        <v>447</v>
      </c>
      <c r="H1362" t="s">
        <v>448</v>
      </c>
      <c r="I1362" t="s">
        <v>448</v>
      </c>
    </row>
    <row r="1363" spans="1:9" x14ac:dyDescent="0.35">
      <c r="A1363" t="s">
        <v>450</v>
      </c>
      <c r="B1363" s="16" t="s">
        <v>451</v>
      </c>
      <c r="C1363" t="s">
        <v>452</v>
      </c>
      <c r="D1363" t="s">
        <v>453</v>
      </c>
      <c r="E1363" t="s">
        <v>454</v>
      </c>
      <c r="F1363" t="s">
        <v>455</v>
      </c>
      <c r="G1363" t="s">
        <v>456</v>
      </c>
      <c r="H1363" t="s">
        <v>457</v>
      </c>
      <c r="I1363" t="s">
        <v>458</v>
      </c>
    </row>
    <row r="1364" spans="1:9" x14ac:dyDescent="0.35">
      <c r="A1364" t="s">
        <v>702</v>
      </c>
      <c r="B1364" s="16" t="s">
        <v>703</v>
      </c>
      <c r="C1364" t="s">
        <v>704</v>
      </c>
      <c r="D1364" t="s">
        <v>704</v>
      </c>
      <c r="E1364" t="s">
        <v>704</v>
      </c>
      <c r="F1364" t="s">
        <v>705</v>
      </c>
      <c r="G1364" t="s">
        <v>704</v>
      </c>
      <c r="H1364" t="s">
        <v>704</v>
      </c>
      <c r="I1364" t="s">
        <v>704</v>
      </c>
    </row>
    <row r="1365" spans="1:9" x14ac:dyDescent="0.35">
      <c r="A1365">
        <v>1</v>
      </c>
      <c r="B1365" s="16" t="s">
        <v>559</v>
      </c>
      <c r="C1365">
        <v>0.13900000000000001</v>
      </c>
      <c r="D1365">
        <v>1.3819999999999999</v>
      </c>
      <c r="E1365">
        <v>1.645</v>
      </c>
      <c r="F1365">
        <v>17</v>
      </c>
      <c r="G1365">
        <v>0.2286</v>
      </c>
      <c r="H1365">
        <v>0.1171</v>
      </c>
      <c r="I1365">
        <v>0.1079</v>
      </c>
    </row>
    <row r="1366" spans="1:9" x14ac:dyDescent="0.35">
      <c r="A1366">
        <v>2</v>
      </c>
      <c r="B1366" s="16" t="s">
        <v>560</v>
      </c>
      <c r="C1366">
        <v>1.9239999999999999E-4</v>
      </c>
      <c r="D1366">
        <v>1.0780000000000001</v>
      </c>
      <c r="E1366">
        <v>1.179</v>
      </c>
      <c r="F1366">
        <v>17</v>
      </c>
      <c r="G1366">
        <v>2.2680000000000001E-4</v>
      </c>
      <c r="H1366">
        <v>1.161E-4</v>
      </c>
      <c r="I1366">
        <v>1.071E-4</v>
      </c>
    </row>
    <row r="1367" spans="1:9" x14ac:dyDescent="0.35">
      <c r="A1367">
        <v>3</v>
      </c>
      <c r="B1367" s="16" t="s">
        <v>561</v>
      </c>
      <c r="C1367">
        <v>9.5200000000000007E-3</v>
      </c>
      <c r="D1367">
        <v>0.79990000000000006</v>
      </c>
      <c r="E1367">
        <v>0.83819999999999995</v>
      </c>
      <c r="F1367">
        <v>17</v>
      </c>
      <c r="G1367">
        <v>7.9799999999999992E-3</v>
      </c>
      <c r="H1367">
        <v>4.0860000000000002E-3</v>
      </c>
      <c r="I1367">
        <v>3.7680000000000001E-3</v>
      </c>
    </row>
    <row r="1368" spans="1:9" x14ac:dyDescent="0.35">
      <c r="A1368">
        <v>4</v>
      </c>
      <c r="B1368" s="16" t="s">
        <v>562</v>
      </c>
      <c r="C1368">
        <v>7.9359999999999999E-4</v>
      </c>
      <c r="D1368">
        <v>1.0529999999999999</v>
      </c>
      <c r="E1368">
        <v>1.329</v>
      </c>
      <c r="F1368">
        <v>17</v>
      </c>
      <c r="G1368">
        <v>1.054E-3</v>
      </c>
      <c r="H1368">
        <v>5.3989999999999995E-4</v>
      </c>
      <c r="I1368">
        <v>4.9779999999999996E-4</v>
      </c>
    </row>
    <row r="1369" spans="1:9" x14ac:dyDescent="0.35">
      <c r="A1369">
        <v>5</v>
      </c>
      <c r="B1369" s="16" t="s">
        <v>563</v>
      </c>
      <c r="C1369" s="4">
        <v>1.686E-8</v>
      </c>
      <c r="D1369">
        <v>1.335</v>
      </c>
      <c r="E1369">
        <v>1.4690000000000001</v>
      </c>
      <c r="F1369">
        <v>17</v>
      </c>
      <c r="G1369" s="4">
        <v>2.4769999999999999E-8</v>
      </c>
      <c r="H1369" s="4">
        <v>1.268E-8</v>
      </c>
      <c r="I1369" s="4">
        <v>1.1690000000000001E-8</v>
      </c>
    </row>
    <row r="1370" spans="1:9" x14ac:dyDescent="0.35">
      <c r="A1370">
        <v>6</v>
      </c>
      <c r="B1370" s="16" t="s">
        <v>564</v>
      </c>
      <c r="C1370" s="4">
        <v>1.019E-12</v>
      </c>
      <c r="D1370">
        <v>1.516</v>
      </c>
      <c r="E1370">
        <v>1.7330000000000001</v>
      </c>
      <c r="F1370">
        <v>17</v>
      </c>
      <c r="G1370" s="4">
        <v>1.7659999999999999E-12</v>
      </c>
      <c r="H1370" s="4">
        <v>9.0429999999999999E-13</v>
      </c>
      <c r="I1370" s="4">
        <v>8.3380000000000004E-13</v>
      </c>
    </row>
    <row r="1371" spans="1:9" x14ac:dyDescent="0.35">
      <c r="A1371">
        <v>7</v>
      </c>
      <c r="B1371" s="16" t="s">
        <v>565</v>
      </c>
      <c r="C1371">
        <v>4.5529999999999998E-3</v>
      </c>
      <c r="D1371">
        <v>0.84209999999999996</v>
      </c>
      <c r="E1371">
        <v>1.0580000000000001</v>
      </c>
      <c r="F1371">
        <v>17</v>
      </c>
      <c r="G1371">
        <v>4.8149999999999998E-3</v>
      </c>
      <c r="H1371">
        <v>2.4659999999999999E-3</v>
      </c>
      <c r="I1371">
        <v>2.2729999999999998E-3</v>
      </c>
    </row>
    <row r="1372" spans="1:9" x14ac:dyDescent="0.35">
      <c r="A1372">
        <v>8</v>
      </c>
      <c r="B1372" s="16" t="s">
        <v>566</v>
      </c>
      <c r="C1372" s="4">
        <v>3.4680000000000001E-7</v>
      </c>
      <c r="D1372">
        <v>1.069</v>
      </c>
      <c r="E1372">
        <v>1.474</v>
      </c>
      <c r="F1372">
        <v>17</v>
      </c>
      <c r="G1372" s="4">
        <v>5.1119999999999997E-7</v>
      </c>
      <c r="H1372" s="4">
        <v>2.6179999999999998E-7</v>
      </c>
      <c r="I1372" s="4">
        <v>2.4139999999999998E-7</v>
      </c>
    </row>
    <row r="1373" spans="1:9" x14ac:dyDescent="0.35">
      <c r="A1373">
        <v>9</v>
      </c>
      <c r="B1373" s="16" t="s">
        <v>567</v>
      </c>
      <c r="C1373" s="4">
        <v>1.686E-8</v>
      </c>
      <c r="D1373">
        <v>1.258</v>
      </c>
      <c r="E1373">
        <v>1.4259999999999999</v>
      </c>
      <c r="F1373">
        <v>17</v>
      </c>
      <c r="G1373" s="4">
        <v>2.4039999999999999E-8</v>
      </c>
      <c r="H1373" s="4">
        <v>1.2310000000000001E-8</v>
      </c>
      <c r="I1373" s="4">
        <v>1.1350000000000001E-8</v>
      </c>
    </row>
    <row r="1374" spans="1:9" x14ac:dyDescent="0.35">
      <c r="A1374">
        <v>10</v>
      </c>
      <c r="B1374" s="16" t="s">
        <v>568</v>
      </c>
      <c r="C1374" s="4">
        <v>7.1569999999999998E-7</v>
      </c>
      <c r="D1374">
        <v>1.784</v>
      </c>
      <c r="E1374">
        <v>2.0739999999999998</v>
      </c>
      <c r="F1374">
        <v>17</v>
      </c>
      <c r="G1374" s="4">
        <v>1.485E-6</v>
      </c>
      <c r="H1374" s="4">
        <v>7.6020000000000004E-7</v>
      </c>
      <c r="I1374" s="4">
        <v>7.0090000000000004E-7</v>
      </c>
    </row>
    <row r="1375" spans="1:9" x14ac:dyDescent="0.35">
      <c r="A1375">
        <v>11</v>
      </c>
      <c r="B1375" s="16" t="s">
        <v>569</v>
      </c>
      <c r="C1375">
        <v>3.4380000000000001E-2</v>
      </c>
      <c r="D1375">
        <v>1.097</v>
      </c>
      <c r="E1375">
        <v>1.222</v>
      </c>
      <c r="F1375">
        <v>17</v>
      </c>
      <c r="G1375">
        <v>4.2020000000000002E-2</v>
      </c>
      <c r="H1375">
        <v>2.1520000000000001E-2</v>
      </c>
      <c r="I1375">
        <v>1.984E-2</v>
      </c>
    </row>
    <row r="1376" spans="1:9" x14ac:dyDescent="0.35">
      <c r="A1376">
        <v>12</v>
      </c>
      <c r="B1376" s="16" t="s">
        <v>570</v>
      </c>
      <c r="C1376" s="4">
        <v>1.023E-6</v>
      </c>
      <c r="D1376">
        <v>1.07</v>
      </c>
      <c r="E1376">
        <v>1.1499999999999999</v>
      </c>
      <c r="F1376">
        <v>17</v>
      </c>
      <c r="G1376" s="4">
        <v>1.1769999999999999E-6</v>
      </c>
      <c r="H1376" s="4">
        <v>6.0259999999999996E-7</v>
      </c>
      <c r="I1376" s="4">
        <v>5.5560000000000003E-7</v>
      </c>
    </row>
    <row r="1377" spans="1:10" x14ac:dyDescent="0.35">
      <c r="A1377">
        <v>13</v>
      </c>
      <c r="B1377" s="16" t="s">
        <v>571</v>
      </c>
      <c r="C1377">
        <v>7.9359999999999999E-4</v>
      </c>
      <c r="D1377">
        <v>1.2170000000000001</v>
      </c>
      <c r="E1377">
        <v>1.3069999999999999</v>
      </c>
      <c r="F1377">
        <v>17</v>
      </c>
      <c r="G1377">
        <v>1.0369999999999999E-3</v>
      </c>
      <c r="H1377">
        <v>5.3089999999999995E-4</v>
      </c>
      <c r="I1377">
        <v>4.8950000000000003E-4</v>
      </c>
    </row>
    <row r="1378" spans="1:10" x14ac:dyDescent="0.35">
      <c r="A1378">
        <v>14</v>
      </c>
      <c r="B1378" s="16" t="s">
        <v>572</v>
      </c>
      <c r="C1378">
        <v>0.98899999999999999</v>
      </c>
      <c r="D1378">
        <v>1.085</v>
      </c>
      <c r="E1378">
        <v>1.256</v>
      </c>
      <c r="F1378">
        <v>17</v>
      </c>
      <c r="G1378">
        <v>1.242</v>
      </c>
      <c r="H1378">
        <v>0.63600000000000001</v>
      </c>
      <c r="I1378">
        <v>0.58640000000000003</v>
      </c>
    </row>
    <row r="1379" spans="1:10" x14ac:dyDescent="0.35">
      <c r="A1379">
        <v>15</v>
      </c>
      <c r="B1379" s="16" t="s">
        <v>573</v>
      </c>
      <c r="C1379">
        <v>3.8969999999999999E-3</v>
      </c>
      <c r="D1379">
        <v>0.96009999999999995</v>
      </c>
      <c r="E1379">
        <v>1.2070000000000001</v>
      </c>
      <c r="F1379">
        <v>17</v>
      </c>
      <c r="G1379">
        <v>4.7039999999999998E-3</v>
      </c>
      <c r="H1379">
        <v>2.4090000000000001E-3</v>
      </c>
      <c r="I1379">
        <v>2.2209999999999999E-3</v>
      </c>
    </row>
    <row r="1380" spans="1:10" x14ac:dyDescent="0.35">
      <c r="A1380">
        <v>16</v>
      </c>
      <c r="B1380" s="16" t="s">
        <v>574</v>
      </c>
      <c r="C1380">
        <v>0.67149999999999999</v>
      </c>
      <c r="D1380">
        <v>0.54490000000000005</v>
      </c>
      <c r="E1380">
        <v>0.626</v>
      </c>
      <c r="F1380">
        <v>17</v>
      </c>
      <c r="G1380">
        <v>0.4204</v>
      </c>
      <c r="H1380">
        <v>0.2152</v>
      </c>
      <c r="I1380">
        <v>0.19850000000000001</v>
      </c>
    </row>
    <row r="1381" spans="1:10" x14ac:dyDescent="0.35">
      <c r="A1381">
        <v>17</v>
      </c>
      <c r="B1381" s="16" t="s">
        <v>575</v>
      </c>
      <c r="C1381" s="4">
        <v>7.7820000000000005E-8</v>
      </c>
      <c r="D1381">
        <v>1.34</v>
      </c>
      <c r="E1381">
        <v>1.8919999999999999</v>
      </c>
      <c r="F1381">
        <v>17</v>
      </c>
      <c r="G1381" s="4">
        <v>1.4719999999999999E-7</v>
      </c>
      <c r="H1381" s="4">
        <v>7.5390000000000002E-8</v>
      </c>
      <c r="I1381" s="4">
        <v>6.9510000000000005E-8</v>
      </c>
    </row>
    <row r="1382" spans="1:10" x14ac:dyDescent="0.35">
      <c r="A1382">
        <v>18</v>
      </c>
      <c r="B1382" s="16" t="s">
        <v>576</v>
      </c>
      <c r="C1382" s="4">
        <v>6.7349999999999997E-5</v>
      </c>
      <c r="D1382">
        <v>0.99270000000000003</v>
      </c>
      <c r="E1382">
        <v>1.272</v>
      </c>
      <c r="F1382">
        <v>17</v>
      </c>
      <c r="G1382" s="4">
        <v>8.5649999999999995E-5</v>
      </c>
      <c r="H1382" s="4">
        <v>4.3859999999999997E-5</v>
      </c>
      <c r="I1382" s="4">
        <v>4.0439999999999999E-5</v>
      </c>
    </row>
    <row r="1383" spans="1:10" x14ac:dyDescent="0.35">
      <c r="A1383">
        <v>19</v>
      </c>
      <c r="B1383" s="16" t="s">
        <v>464</v>
      </c>
      <c r="C1383">
        <v>0.3029</v>
      </c>
      <c r="D1383">
        <v>0.46479999999999999</v>
      </c>
      <c r="E1383">
        <v>0.54549999999999998</v>
      </c>
      <c r="F1383">
        <v>17</v>
      </c>
      <c r="G1383">
        <v>0.16520000000000001</v>
      </c>
      <c r="H1383" t="s">
        <v>452</v>
      </c>
      <c r="I1383">
        <v>7.8E-2</v>
      </c>
    </row>
    <row r="1384" spans="1:10" x14ac:dyDescent="0.35">
      <c r="A1384">
        <v>20</v>
      </c>
      <c r="B1384" s="16" t="s">
        <v>466</v>
      </c>
      <c r="C1384">
        <v>0.1663</v>
      </c>
      <c r="D1384">
        <v>0.30520000000000003</v>
      </c>
      <c r="E1384">
        <v>0.36349999999999999</v>
      </c>
      <c r="F1384">
        <v>17</v>
      </c>
      <c r="G1384">
        <v>6.0449999999999997E-2</v>
      </c>
      <c r="H1384" t="s">
        <v>452</v>
      </c>
      <c r="I1384">
        <v>3.0020000000000002E-2</v>
      </c>
    </row>
    <row r="1385" spans="1:10" x14ac:dyDescent="0.35">
      <c r="A1385">
        <v>21</v>
      </c>
      <c r="B1385" s="16" t="s">
        <v>467</v>
      </c>
      <c r="C1385">
        <v>0.98899999999999999</v>
      </c>
      <c r="D1385">
        <v>1.085</v>
      </c>
      <c r="E1385">
        <v>1.256</v>
      </c>
      <c r="F1385">
        <v>17</v>
      </c>
      <c r="G1385">
        <v>1.242</v>
      </c>
      <c r="H1385" t="s">
        <v>452</v>
      </c>
      <c r="I1385">
        <v>0.5</v>
      </c>
    </row>
    <row r="1386" spans="1:10" x14ac:dyDescent="0.35">
      <c r="A1386">
        <v>22</v>
      </c>
      <c r="B1386" s="16" t="s">
        <v>469</v>
      </c>
      <c r="C1386">
        <v>0.98899999999999999</v>
      </c>
      <c r="D1386">
        <v>1.085</v>
      </c>
      <c r="E1386">
        <v>1.256</v>
      </c>
      <c r="F1386">
        <v>17</v>
      </c>
      <c r="G1386">
        <v>1.242</v>
      </c>
      <c r="H1386" t="s">
        <v>452</v>
      </c>
      <c r="I1386">
        <v>0.5</v>
      </c>
    </row>
    <row r="1387" spans="1:10" x14ac:dyDescent="0.35">
      <c r="A1387" t="s">
        <v>701</v>
      </c>
      <c r="B1387" s="16"/>
    </row>
    <row r="1388" spans="1:10" x14ac:dyDescent="0.35">
      <c r="A1388" t="s">
        <v>700</v>
      </c>
      <c r="B1388" s="16"/>
    </row>
    <row r="1389" spans="1:10" x14ac:dyDescent="0.35">
      <c r="A1389" t="s">
        <v>470</v>
      </c>
      <c r="B1389" s="16"/>
    </row>
    <row r="1390" spans="1:10" x14ac:dyDescent="0.35">
      <c r="A1390" t="s">
        <v>471</v>
      </c>
      <c r="B1390" s="16"/>
    </row>
    <row r="1391" spans="1:10" x14ac:dyDescent="0.35">
      <c r="A1391" t="s">
        <v>962</v>
      </c>
      <c r="B1391" s="16"/>
      <c r="J1391">
        <v>52</v>
      </c>
    </row>
    <row r="1392" spans="1:10" x14ac:dyDescent="0.35">
      <c r="A1392" t="s">
        <v>700</v>
      </c>
      <c r="B1392" s="16"/>
    </row>
    <row r="1393" spans="1:9" x14ac:dyDescent="0.35">
      <c r="A1393" t="s">
        <v>438</v>
      </c>
      <c r="B1393" s="16"/>
    </row>
    <row r="1394" spans="1:9" x14ac:dyDescent="0.35">
      <c r="A1394" t="s">
        <v>439</v>
      </c>
      <c r="B1394" s="16"/>
    </row>
    <row r="1395" spans="1:9" x14ac:dyDescent="0.35">
      <c r="A1395" t="s">
        <v>441</v>
      </c>
      <c r="B1395" s="16"/>
    </row>
    <row r="1396" spans="1:9" x14ac:dyDescent="0.35">
      <c r="A1396" t="s">
        <v>701</v>
      </c>
      <c r="B1396" s="16"/>
    </row>
    <row r="1397" spans="1:9" x14ac:dyDescent="0.35">
      <c r="A1397" t="s">
        <v>442</v>
      </c>
      <c r="B1397" s="16" t="s">
        <v>443</v>
      </c>
      <c r="C1397" t="s">
        <v>444</v>
      </c>
      <c r="D1397" t="s">
        <v>445</v>
      </c>
      <c r="E1397" t="s">
        <v>445</v>
      </c>
      <c r="F1397" t="s">
        <v>446</v>
      </c>
      <c r="G1397" t="s">
        <v>447</v>
      </c>
      <c r="H1397" t="s">
        <v>448</v>
      </c>
      <c r="I1397" t="s">
        <v>448</v>
      </c>
    </row>
    <row r="1398" spans="1:9" x14ac:dyDescent="0.35">
      <c r="A1398" t="s">
        <v>450</v>
      </c>
      <c r="B1398" s="16" t="s">
        <v>451</v>
      </c>
      <c r="C1398" t="s">
        <v>452</v>
      </c>
      <c r="D1398" t="s">
        <v>453</v>
      </c>
      <c r="E1398" t="s">
        <v>454</v>
      </c>
      <c r="F1398" t="s">
        <v>455</v>
      </c>
      <c r="G1398" t="s">
        <v>456</v>
      </c>
      <c r="H1398" t="s">
        <v>457</v>
      </c>
      <c r="I1398" t="s">
        <v>458</v>
      </c>
    </row>
    <row r="1399" spans="1:9" x14ac:dyDescent="0.35">
      <c r="A1399" t="s">
        <v>702</v>
      </c>
      <c r="B1399" s="16" t="s">
        <v>703</v>
      </c>
      <c r="C1399" t="s">
        <v>704</v>
      </c>
      <c r="D1399" t="s">
        <v>704</v>
      </c>
      <c r="E1399" t="s">
        <v>704</v>
      </c>
      <c r="F1399" t="s">
        <v>705</v>
      </c>
      <c r="G1399" t="s">
        <v>704</v>
      </c>
      <c r="H1399" t="s">
        <v>704</v>
      </c>
      <c r="I1399" t="s">
        <v>704</v>
      </c>
    </row>
    <row r="1400" spans="1:9" x14ac:dyDescent="0.35">
      <c r="A1400">
        <v>1</v>
      </c>
      <c r="B1400" s="16" t="s">
        <v>503</v>
      </c>
      <c r="C1400">
        <v>3.6990000000000002E-2</v>
      </c>
      <c r="D1400">
        <v>0.82130000000000003</v>
      </c>
      <c r="E1400">
        <v>0.92910000000000004</v>
      </c>
      <c r="F1400">
        <v>10</v>
      </c>
      <c r="G1400">
        <v>3.4369999999999998E-2</v>
      </c>
      <c r="H1400">
        <v>2.3439999999999999E-2</v>
      </c>
      <c r="I1400">
        <v>1.8919999999999999E-2</v>
      </c>
    </row>
    <row r="1401" spans="1:9" x14ac:dyDescent="0.35">
      <c r="A1401">
        <v>2</v>
      </c>
      <c r="B1401" s="16" t="s">
        <v>504</v>
      </c>
      <c r="C1401">
        <v>0.17150000000000001</v>
      </c>
      <c r="D1401">
        <v>0.70599999999999996</v>
      </c>
      <c r="E1401">
        <v>1.0029999999999999</v>
      </c>
      <c r="F1401">
        <v>10</v>
      </c>
      <c r="G1401">
        <v>0.17199999999999999</v>
      </c>
      <c r="H1401">
        <v>0.1173</v>
      </c>
      <c r="I1401">
        <v>9.468E-2</v>
      </c>
    </row>
    <row r="1402" spans="1:9" x14ac:dyDescent="0.35">
      <c r="A1402">
        <v>3</v>
      </c>
      <c r="B1402" s="16" t="s">
        <v>505</v>
      </c>
      <c r="C1402">
        <v>1.0529999999999999E-3</v>
      </c>
      <c r="D1402">
        <v>0.66990000000000005</v>
      </c>
      <c r="E1402">
        <v>0.99690000000000001</v>
      </c>
      <c r="F1402">
        <v>10</v>
      </c>
      <c r="G1402">
        <v>1.0499999999999999E-3</v>
      </c>
      <c r="H1402">
        <v>7.1599999999999995E-4</v>
      </c>
      <c r="I1402">
        <v>5.7790000000000001E-4</v>
      </c>
    </row>
    <row r="1403" spans="1:9" x14ac:dyDescent="0.35">
      <c r="A1403">
        <v>4</v>
      </c>
      <c r="B1403" s="16" t="s">
        <v>506</v>
      </c>
      <c r="C1403">
        <v>2.366E-2</v>
      </c>
      <c r="D1403">
        <v>0.6976</v>
      </c>
      <c r="E1403">
        <v>0.81850000000000001</v>
      </c>
      <c r="F1403">
        <v>10</v>
      </c>
      <c r="G1403">
        <v>1.9369999999999998E-2</v>
      </c>
      <c r="H1403">
        <v>1.321E-2</v>
      </c>
      <c r="I1403">
        <v>1.0659999999999999E-2</v>
      </c>
    </row>
    <row r="1404" spans="1:9" x14ac:dyDescent="0.35">
      <c r="A1404">
        <v>5</v>
      </c>
      <c r="B1404" s="16" t="s">
        <v>507</v>
      </c>
      <c r="C1404">
        <v>0.44</v>
      </c>
      <c r="D1404">
        <v>1.1659999999999999</v>
      </c>
      <c r="E1404">
        <v>0.89639999999999997</v>
      </c>
      <c r="F1404">
        <v>10</v>
      </c>
      <c r="G1404">
        <v>0.39439999999999997</v>
      </c>
      <c r="H1404">
        <v>0.26900000000000002</v>
      </c>
      <c r="I1404">
        <v>0.2172</v>
      </c>
    </row>
    <row r="1405" spans="1:9" x14ac:dyDescent="0.35">
      <c r="A1405">
        <v>6</v>
      </c>
      <c r="B1405" s="16" t="s">
        <v>577</v>
      </c>
      <c r="C1405">
        <v>7.7939999999999995E-2</v>
      </c>
      <c r="D1405">
        <v>1.079</v>
      </c>
      <c r="E1405">
        <v>1.468</v>
      </c>
      <c r="F1405">
        <v>10</v>
      </c>
      <c r="G1405">
        <v>0.1145</v>
      </c>
      <c r="H1405">
        <v>7.8070000000000001E-2</v>
      </c>
      <c r="I1405">
        <v>6.3009999999999997E-2</v>
      </c>
    </row>
    <row r="1406" spans="1:9" x14ac:dyDescent="0.35">
      <c r="A1406">
        <v>7</v>
      </c>
      <c r="B1406" s="16" t="s">
        <v>578</v>
      </c>
      <c r="C1406">
        <v>0.68769999999999998</v>
      </c>
      <c r="D1406">
        <v>0.94350000000000001</v>
      </c>
      <c r="E1406">
        <v>1.0620000000000001</v>
      </c>
      <c r="F1406">
        <v>10</v>
      </c>
      <c r="G1406">
        <v>0.73040000000000005</v>
      </c>
      <c r="H1406">
        <v>0.49819999999999998</v>
      </c>
      <c r="I1406">
        <v>0.40210000000000001</v>
      </c>
    </row>
    <row r="1407" spans="1:9" x14ac:dyDescent="0.35">
      <c r="A1407">
        <v>8</v>
      </c>
      <c r="B1407" s="16" t="s">
        <v>464</v>
      </c>
      <c r="C1407">
        <v>0.66400000000000003</v>
      </c>
      <c r="D1407">
        <v>0.46339999999999998</v>
      </c>
      <c r="E1407">
        <v>0.52769999999999995</v>
      </c>
      <c r="F1407">
        <v>10</v>
      </c>
      <c r="G1407">
        <v>0.35039999999999999</v>
      </c>
      <c r="H1407" t="s">
        <v>452</v>
      </c>
      <c r="I1407">
        <v>0.19289999999999999</v>
      </c>
    </row>
    <row r="1408" spans="1:9" x14ac:dyDescent="0.35">
      <c r="A1408">
        <v>9</v>
      </c>
      <c r="B1408" s="16" t="s">
        <v>466</v>
      </c>
      <c r="C1408">
        <v>0.20019999999999999</v>
      </c>
      <c r="D1408">
        <v>0.31609999999999999</v>
      </c>
      <c r="E1408">
        <v>0.45140000000000002</v>
      </c>
      <c r="F1408">
        <v>10</v>
      </c>
      <c r="G1408">
        <v>9.0380000000000002E-2</v>
      </c>
      <c r="H1408" t="s">
        <v>452</v>
      </c>
      <c r="I1408">
        <v>5.8069999999999997E-2</v>
      </c>
    </row>
    <row r="1409" spans="1:10" x14ac:dyDescent="0.35">
      <c r="A1409">
        <v>10</v>
      </c>
      <c r="B1409" s="16" t="s">
        <v>467</v>
      </c>
      <c r="C1409">
        <v>0.68769999999999998</v>
      </c>
      <c r="D1409">
        <v>0.94350000000000001</v>
      </c>
      <c r="E1409">
        <v>1.0620000000000001</v>
      </c>
      <c r="F1409">
        <v>10</v>
      </c>
      <c r="G1409">
        <v>0.73040000000000005</v>
      </c>
      <c r="H1409" t="s">
        <v>452</v>
      </c>
      <c r="I1409">
        <v>0.5</v>
      </c>
    </row>
    <row r="1410" spans="1:10" x14ac:dyDescent="0.35">
      <c r="A1410">
        <v>11</v>
      </c>
      <c r="B1410" s="16" t="s">
        <v>469</v>
      </c>
      <c r="C1410">
        <v>0.68769999999999998</v>
      </c>
      <c r="D1410">
        <v>0.94350000000000001</v>
      </c>
      <c r="E1410">
        <v>1.0620000000000001</v>
      </c>
      <c r="F1410">
        <v>10</v>
      </c>
      <c r="G1410">
        <v>0.73040000000000005</v>
      </c>
      <c r="H1410" t="s">
        <v>452</v>
      </c>
      <c r="I1410">
        <v>0.5</v>
      </c>
    </row>
    <row r="1411" spans="1:10" x14ac:dyDescent="0.35">
      <c r="A1411" t="s">
        <v>701</v>
      </c>
      <c r="B1411" s="16"/>
    </row>
    <row r="1412" spans="1:10" x14ac:dyDescent="0.35">
      <c r="A1412" t="s">
        <v>700</v>
      </c>
      <c r="B1412" s="16"/>
    </row>
    <row r="1413" spans="1:10" x14ac:dyDescent="0.35">
      <c r="A1413" t="s">
        <v>470</v>
      </c>
      <c r="B1413" s="16"/>
    </row>
    <row r="1414" spans="1:10" x14ac:dyDescent="0.35">
      <c r="A1414" t="s">
        <v>471</v>
      </c>
      <c r="B1414" s="16"/>
    </row>
    <row r="1415" spans="1:10" x14ac:dyDescent="0.35">
      <c r="A1415" t="s">
        <v>963</v>
      </c>
      <c r="B1415" s="16"/>
      <c r="J1415">
        <v>53</v>
      </c>
    </row>
    <row r="1416" spans="1:10" x14ac:dyDescent="0.35">
      <c r="A1416" t="s">
        <v>700</v>
      </c>
      <c r="B1416" s="16"/>
    </row>
    <row r="1417" spans="1:10" x14ac:dyDescent="0.35">
      <c r="A1417" t="s">
        <v>438</v>
      </c>
      <c r="B1417" s="16"/>
    </row>
    <row r="1418" spans="1:10" x14ac:dyDescent="0.35">
      <c r="A1418" t="s">
        <v>439</v>
      </c>
      <c r="B1418" s="16"/>
    </row>
    <row r="1419" spans="1:10" x14ac:dyDescent="0.35">
      <c r="A1419" t="s">
        <v>441</v>
      </c>
      <c r="B1419" s="16"/>
    </row>
    <row r="1420" spans="1:10" x14ac:dyDescent="0.35">
      <c r="A1420" t="s">
        <v>701</v>
      </c>
      <c r="B1420" s="16"/>
    </row>
    <row r="1421" spans="1:10" x14ac:dyDescent="0.35">
      <c r="A1421" t="s">
        <v>442</v>
      </c>
      <c r="B1421" s="16" t="s">
        <v>443</v>
      </c>
      <c r="C1421" t="s">
        <v>444</v>
      </c>
      <c r="D1421" t="s">
        <v>445</v>
      </c>
      <c r="E1421" t="s">
        <v>445</v>
      </c>
      <c r="F1421" t="s">
        <v>446</v>
      </c>
      <c r="G1421" t="s">
        <v>447</v>
      </c>
      <c r="H1421" t="s">
        <v>448</v>
      </c>
      <c r="I1421" t="s">
        <v>448</v>
      </c>
    </row>
    <row r="1422" spans="1:10" x14ac:dyDescent="0.35">
      <c r="A1422" t="s">
        <v>450</v>
      </c>
      <c r="B1422" s="16" t="s">
        <v>451</v>
      </c>
      <c r="C1422" t="s">
        <v>452</v>
      </c>
      <c r="D1422" t="s">
        <v>453</v>
      </c>
      <c r="E1422" t="s">
        <v>454</v>
      </c>
      <c r="F1422" t="s">
        <v>455</v>
      </c>
      <c r="G1422" t="s">
        <v>456</v>
      </c>
      <c r="H1422" t="s">
        <v>457</v>
      </c>
      <c r="I1422" t="s">
        <v>458</v>
      </c>
    </row>
    <row r="1423" spans="1:10" x14ac:dyDescent="0.35">
      <c r="A1423" t="s">
        <v>702</v>
      </c>
      <c r="B1423" s="16" t="s">
        <v>703</v>
      </c>
      <c r="C1423" t="s">
        <v>704</v>
      </c>
      <c r="D1423" t="s">
        <v>704</v>
      </c>
      <c r="E1423" t="s">
        <v>704</v>
      </c>
      <c r="F1423" t="s">
        <v>705</v>
      </c>
      <c r="G1423" t="s">
        <v>704</v>
      </c>
      <c r="H1423" t="s">
        <v>704</v>
      </c>
      <c r="I1423" t="s">
        <v>704</v>
      </c>
    </row>
    <row r="1424" spans="1:10" x14ac:dyDescent="0.35">
      <c r="A1424">
        <v>1</v>
      </c>
      <c r="B1424" s="16" t="s">
        <v>516</v>
      </c>
      <c r="C1424">
        <v>5.9679999999999998E-4</v>
      </c>
      <c r="D1424">
        <v>2.8730000000000002</v>
      </c>
      <c r="E1424">
        <v>2.5510000000000002</v>
      </c>
      <c r="F1424">
        <v>16</v>
      </c>
      <c r="G1424">
        <v>1.5219999999999999E-3</v>
      </c>
      <c r="H1424">
        <v>1.4350000000000001E-3</v>
      </c>
      <c r="I1424">
        <v>1.085E-3</v>
      </c>
    </row>
    <row r="1425" spans="1:9" x14ac:dyDescent="0.35">
      <c r="A1425">
        <v>2</v>
      </c>
      <c r="B1425" s="16" t="s">
        <v>579</v>
      </c>
      <c r="C1425" s="4">
        <v>5.3029999999999999E-5</v>
      </c>
      <c r="D1425">
        <v>1.016</v>
      </c>
      <c r="E1425">
        <v>2.4260000000000002</v>
      </c>
      <c r="F1425">
        <v>16</v>
      </c>
      <c r="G1425">
        <v>1.2870000000000001E-4</v>
      </c>
      <c r="H1425">
        <v>1.2129999999999999E-4</v>
      </c>
      <c r="I1425" s="4">
        <v>9.1710000000000001E-5</v>
      </c>
    </row>
    <row r="1426" spans="1:9" x14ac:dyDescent="0.35">
      <c r="A1426">
        <v>3</v>
      </c>
      <c r="B1426" s="16" t="s">
        <v>580</v>
      </c>
      <c r="C1426" s="4">
        <v>6.7990000000000005E-5</v>
      </c>
      <c r="D1426">
        <v>1.7649999999999999</v>
      </c>
      <c r="E1426">
        <v>1.996</v>
      </c>
      <c r="F1426">
        <v>16</v>
      </c>
      <c r="G1426">
        <v>1.3569999999999999E-4</v>
      </c>
      <c r="H1426">
        <v>1.2789999999999999E-4</v>
      </c>
      <c r="I1426" s="4">
        <v>9.6710000000000001E-5</v>
      </c>
    </row>
    <row r="1427" spans="1:9" x14ac:dyDescent="0.35">
      <c r="A1427">
        <v>4</v>
      </c>
      <c r="B1427" s="16" t="s">
        <v>581</v>
      </c>
      <c r="C1427" s="4">
        <v>9.6560000000000004E-6</v>
      </c>
      <c r="D1427">
        <v>2.78</v>
      </c>
      <c r="E1427">
        <v>2.8879999999999999</v>
      </c>
      <c r="F1427">
        <v>16</v>
      </c>
      <c r="G1427" s="4">
        <v>2.7889999999999999E-5</v>
      </c>
      <c r="H1427" s="4">
        <v>2.6290000000000001E-5</v>
      </c>
      <c r="I1427" s="4">
        <v>1.9879999999999999E-5</v>
      </c>
    </row>
    <row r="1428" spans="1:9" x14ac:dyDescent="0.35">
      <c r="A1428">
        <v>5</v>
      </c>
      <c r="B1428" s="16" t="s">
        <v>582</v>
      </c>
      <c r="C1428" s="4">
        <v>3.4350000000000003E-7</v>
      </c>
      <c r="D1428">
        <v>1.7749999999999999</v>
      </c>
      <c r="E1428">
        <v>2.8170000000000002</v>
      </c>
      <c r="F1428">
        <v>16</v>
      </c>
      <c r="G1428" s="4">
        <v>9.6750000000000005E-7</v>
      </c>
      <c r="H1428" s="4">
        <v>9.1220000000000003E-7</v>
      </c>
      <c r="I1428" s="4">
        <v>6.8970000000000004E-7</v>
      </c>
    </row>
    <row r="1429" spans="1:9" x14ac:dyDescent="0.35">
      <c r="A1429">
        <v>6</v>
      </c>
      <c r="B1429" s="16" t="s">
        <v>583</v>
      </c>
      <c r="C1429" s="4">
        <v>1.6339999999999999E-7</v>
      </c>
      <c r="D1429">
        <v>1.736</v>
      </c>
      <c r="E1429">
        <v>2.5059999999999998</v>
      </c>
      <c r="F1429">
        <v>16</v>
      </c>
      <c r="G1429" s="4">
        <v>4.094E-7</v>
      </c>
      <c r="H1429" s="4">
        <v>3.8599999999999999E-7</v>
      </c>
      <c r="I1429" s="4">
        <v>2.9180000000000001E-7</v>
      </c>
    </row>
    <row r="1430" spans="1:9" x14ac:dyDescent="0.35">
      <c r="A1430">
        <v>7</v>
      </c>
      <c r="B1430" s="16" t="s">
        <v>515</v>
      </c>
      <c r="C1430" s="4">
        <v>5.2719999999999997E-6</v>
      </c>
      <c r="D1430">
        <v>2.8010000000000002</v>
      </c>
      <c r="E1430">
        <v>2.919</v>
      </c>
      <c r="F1430">
        <v>16</v>
      </c>
      <c r="G1430" s="4">
        <v>1.539E-5</v>
      </c>
      <c r="H1430" s="4">
        <v>1.451E-5</v>
      </c>
      <c r="I1430" s="4">
        <v>1.097E-5</v>
      </c>
    </row>
    <row r="1431" spans="1:9" x14ac:dyDescent="0.35">
      <c r="A1431">
        <v>8</v>
      </c>
      <c r="B1431" s="16" t="s">
        <v>517</v>
      </c>
      <c r="C1431">
        <v>5.9690000000000003E-3</v>
      </c>
      <c r="D1431">
        <v>1.415</v>
      </c>
      <c r="E1431">
        <v>2.1309999999999998</v>
      </c>
      <c r="F1431">
        <v>16</v>
      </c>
      <c r="G1431">
        <v>1.272E-2</v>
      </c>
      <c r="H1431">
        <v>1.1990000000000001E-2</v>
      </c>
      <c r="I1431">
        <v>9.0659999999999994E-3</v>
      </c>
    </row>
    <row r="1432" spans="1:9" x14ac:dyDescent="0.35">
      <c r="A1432">
        <v>9</v>
      </c>
      <c r="B1432" s="16" t="s">
        <v>518</v>
      </c>
      <c r="C1432" s="4">
        <v>4.418E-12</v>
      </c>
      <c r="D1432">
        <v>3.42</v>
      </c>
      <c r="E1432">
        <v>2.722</v>
      </c>
      <c r="F1432">
        <v>16</v>
      </c>
      <c r="G1432" s="4">
        <v>1.2029999999999999E-11</v>
      </c>
      <c r="H1432" s="4">
        <v>1.134E-11</v>
      </c>
      <c r="I1432" s="4">
        <v>8.5720000000000002E-12</v>
      </c>
    </row>
    <row r="1433" spans="1:9" x14ac:dyDescent="0.35">
      <c r="A1433">
        <v>10</v>
      </c>
      <c r="B1433" s="16" t="s">
        <v>584</v>
      </c>
      <c r="C1433" s="4">
        <v>2.1799999999999999E-6</v>
      </c>
      <c r="D1433">
        <v>1.629</v>
      </c>
      <c r="E1433">
        <v>2.6110000000000002</v>
      </c>
      <c r="F1433">
        <v>16</v>
      </c>
      <c r="G1433" s="4">
        <v>5.6899999999999997E-6</v>
      </c>
      <c r="H1433" s="4">
        <v>5.3639999999999998E-6</v>
      </c>
      <c r="I1433" s="4">
        <v>4.0559999999999998E-6</v>
      </c>
    </row>
    <row r="1434" spans="1:9" x14ac:dyDescent="0.35">
      <c r="A1434">
        <v>11</v>
      </c>
      <c r="B1434" s="16" t="s">
        <v>585</v>
      </c>
      <c r="C1434">
        <v>7.5829999999999995E-4</v>
      </c>
      <c r="D1434">
        <v>1.139</v>
      </c>
      <c r="E1434">
        <v>1.665</v>
      </c>
      <c r="F1434">
        <v>16</v>
      </c>
      <c r="G1434">
        <v>1.263E-3</v>
      </c>
      <c r="H1434">
        <v>1.191E-3</v>
      </c>
      <c r="I1434">
        <v>9.0019999999999998E-4</v>
      </c>
    </row>
    <row r="1435" spans="1:9" x14ac:dyDescent="0.35">
      <c r="A1435">
        <v>12</v>
      </c>
      <c r="B1435" s="16" t="s">
        <v>586</v>
      </c>
      <c r="C1435" s="4">
        <v>5.2719999999999997E-6</v>
      </c>
      <c r="D1435">
        <v>1.4710000000000001</v>
      </c>
      <c r="E1435">
        <v>2.8530000000000002</v>
      </c>
      <c r="F1435">
        <v>16</v>
      </c>
      <c r="G1435" s="4">
        <v>1.504E-5</v>
      </c>
      <c r="H1435" s="4">
        <v>1.418E-5</v>
      </c>
      <c r="I1435" s="4">
        <v>1.0720000000000001E-5</v>
      </c>
    </row>
    <row r="1436" spans="1:9" x14ac:dyDescent="0.35">
      <c r="A1436">
        <v>13</v>
      </c>
      <c r="B1436" s="16" t="s">
        <v>500</v>
      </c>
      <c r="C1436" s="4">
        <v>2.8930000000000001E-6</v>
      </c>
      <c r="D1436">
        <v>2.339</v>
      </c>
      <c r="E1436">
        <v>2.2690000000000001</v>
      </c>
      <c r="F1436">
        <v>16</v>
      </c>
      <c r="G1436" s="4">
        <v>6.5640000000000002E-6</v>
      </c>
      <c r="H1436" s="4">
        <v>6.1879999999999999E-6</v>
      </c>
      <c r="I1436" s="4">
        <v>4.6789999999999996E-6</v>
      </c>
    </row>
    <row r="1437" spans="1:9" x14ac:dyDescent="0.35">
      <c r="A1437">
        <v>14</v>
      </c>
      <c r="B1437" s="16" t="s">
        <v>501</v>
      </c>
      <c r="C1437">
        <v>3.5710000000000001E-4</v>
      </c>
      <c r="D1437">
        <v>2</v>
      </c>
      <c r="E1437">
        <v>1.7869999999999999</v>
      </c>
      <c r="F1437">
        <v>16</v>
      </c>
      <c r="G1437">
        <v>6.3820000000000001E-4</v>
      </c>
      <c r="H1437">
        <v>6.0170000000000004E-4</v>
      </c>
      <c r="I1437">
        <v>4.549E-4</v>
      </c>
    </row>
    <row r="1438" spans="1:9" x14ac:dyDescent="0.35">
      <c r="A1438">
        <v>15</v>
      </c>
      <c r="B1438" s="16" t="s">
        <v>502</v>
      </c>
      <c r="C1438" s="4">
        <v>6.0600000000000003E-5</v>
      </c>
      <c r="D1438">
        <v>2.0680000000000001</v>
      </c>
      <c r="E1438">
        <v>2.9529999999999998</v>
      </c>
      <c r="F1438">
        <v>16</v>
      </c>
      <c r="G1438">
        <v>1.7890000000000001E-4</v>
      </c>
      <c r="H1438">
        <v>1.6870000000000001E-4</v>
      </c>
      <c r="I1438">
        <v>1.2760000000000001E-4</v>
      </c>
    </row>
    <row r="1439" spans="1:9" x14ac:dyDescent="0.35">
      <c r="A1439">
        <v>16</v>
      </c>
      <c r="B1439" s="16" t="s">
        <v>587</v>
      </c>
      <c r="C1439" s="4">
        <v>5.3029999999999999E-5</v>
      </c>
      <c r="D1439">
        <v>2.3839999999999999</v>
      </c>
      <c r="E1439">
        <v>3.0680000000000001</v>
      </c>
      <c r="F1439">
        <v>16</v>
      </c>
      <c r="G1439">
        <v>1.627E-4</v>
      </c>
      <c r="H1439">
        <v>1.5339999999999999E-4</v>
      </c>
      <c r="I1439">
        <v>1.16E-4</v>
      </c>
    </row>
    <row r="1440" spans="1:9" x14ac:dyDescent="0.35">
      <c r="A1440">
        <v>17</v>
      </c>
      <c r="B1440" s="16" t="s">
        <v>588</v>
      </c>
      <c r="C1440" s="4">
        <v>1.366E-8</v>
      </c>
      <c r="D1440">
        <v>2.0699999999999998</v>
      </c>
      <c r="E1440">
        <v>3.0169999999999999</v>
      </c>
      <c r="F1440">
        <v>16</v>
      </c>
      <c r="G1440" s="4">
        <v>4.1210000000000003E-8</v>
      </c>
      <c r="H1440" s="4">
        <v>3.885E-8</v>
      </c>
      <c r="I1440" s="4">
        <v>2.9370000000000001E-8</v>
      </c>
    </row>
    <row r="1441" spans="1:10" x14ac:dyDescent="0.35">
      <c r="A1441">
        <v>18</v>
      </c>
      <c r="B1441" s="16" t="s">
        <v>589</v>
      </c>
      <c r="C1441">
        <v>0.41099999999999998</v>
      </c>
      <c r="D1441">
        <v>1.69</v>
      </c>
      <c r="E1441">
        <v>1.4550000000000001</v>
      </c>
      <c r="F1441">
        <v>16</v>
      </c>
      <c r="G1441">
        <v>0.5978</v>
      </c>
      <c r="H1441">
        <v>0.56359999999999999</v>
      </c>
      <c r="I1441">
        <v>0.42609999999999998</v>
      </c>
    </row>
    <row r="1442" spans="1:10" x14ac:dyDescent="0.35">
      <c r="A1442">
        <v>19</v>
      </c>
      <c r="B1442" s="16" t="s">
        <v>590</v>
      </c>
      <c r="C1442">
        <v>5.9679999999999998E-4</v>
      </c>
      <c r="D1442">
        <v>1.673</v>
      </c>
      <c r="E1442">
        <v>2.512</v>
      </c>
      <c r="F1442">
        <v>16</v>
      </c>
      <c r="G1442">
        <v>1.4989999999999999E-3</v>
      </c>
      <c r="H1442">
        <v>1.413E-3</v>
      </c>
      <c r="I1442">
        <v>1.0690000000000001E-3</v>
      </c>
    </row>
    <row r="1443" spans="1:10" x14ac:dyDescent="0.35">
      <c r="A1443">
        <v>20</v>
      </c>
      <c r="B1443" s="16" t="s">
        <v>591</v>
      </c>
      <c r="C1443">
        <v>5.9679999999999998E-4</v>
      </c>
      <c r="D1443">
        <v>1.4630000000000001</v>
      </c>
      <c r="E1443">
        <v>1.9419999999999999</v>
      </c>
      <c r="F1443">
        <v>16</v>
      </c>
      <c r="G1443">
        <v>1.1590000000000001E-3</v>
      </c>
      <c r="H1443">
        <v>1.093E-3</v>
      </c>
      <c r="I1443">
        <v>8.2620000000000002E-4</v>
      </c>
    </row>
    <row r="1444" spans="1:10" x14ac:dyDescent="0.35">
      <c r="A1444">
        <v>21</v>
      </c>
      <c r="B1444" s="16" t="s">
        <v>592</v>
      </c>
      <c r="C1444">
        <v>0.22739999999999999</v>
      </c>
      <c r="D1444">
        <v>1.4510000000000001</v>
      </c>
      <c r="E1444">
        <v>1.95</v>
      </c>
      <c r="F1444">
        <v>16</v>
      </c>
      <c r="G1444">
        <v>0.44340000000000002</v>
      </c>
      <c r="H1444">
        <v>0.41799999999999998</v>
      </c>
      <c r="I1444">
        <v>0.316</v>
      </c>
    </row>
    <row r="1445" spans="1:10" x14ac:dyDescent="0.35">
      <c r="A1445">
        <v>22</v>
      </c>
      <c r="B1445" s="16" t="s">
        <v>464</v>
      </c>
      <c r="C1445">
        <v>0.30520000000000003</v>
      </c>
      <c r="D1445">
        <v>1.056</v>
      </c>
      <c r="E1445">
        <v>1.121</v>
      </c>
      <c r="F1445">
        <v>16</v>
      </c>
      <c r="G1445">
        <v>0.3422</v>
      </c>
      <c r="H1445" t="s">
        <v>452</v>
      </c>
      <c r="I1445">
        <v>0.24390000000000001</v>
      </c>
    </row>
    <row r="1446" spans="1:10" x14ac:dyDescent="0.35">
      <c r="A1446">
        <v>23</v>
      </c>
      <c r="B1446" s="16" t="s">
        <v>466</v>
      </c>
      <c r="C1446">
        <v>0.62860000000000005</v>
      </c>
      <c r="D1446">
        <v>0.66239999999999999</v>
      </c>
      <c r="E1446">
        <v>0.92210000000000003</v>
      </c>
      <c r="F1446">
        <v>16</v>
      </c>
      <c r="G1446">
        <v>0.57969999999999999</v>
      </c>
      <c r="H1446" t="s">
        <v>452</v>
      </c>
      <c r="I1446">
        <v>0.35339999999999999</v>
      </c>
    </row>
    <row r="1447" spans="1:10" x14ac:dyDescent="0.35">
      <c r="A1447">
        <v>24</v>
      </c>
      <c r="B1447" s="16" t="s">
        <v>467</v>
      </c>
      <c r="C1447">
        <v>0.41099999999999998</v>
      </c>
      <c r="D1447">
        <v>1.69</v>
      </c>
      <c r="E1447">
        <v>1.4550000000000001</v>
      </c>
      <c r="F1447">
        <v>16</v>
      </c>
      <c r="G1447">
        <v>0.5978</v>
      </c>
      <c r="H1447" t="s">
        <v>452</v>
      </c>
      <c r="I1447">
        <v>0.5</v>
      </c>
    </row>
    <row r="1448" spans="1:10" x14ac:dyDescent="0.35">
      <c r="A1448">
        <v>25</v>
      </c>
      <c r="B1448" s="16" t="s">
        <v>469</v>
      </c>
      <c r="C1448">
        <v>0.41099999999999998</v>
      </c>
      <c r="D1448">
        <v>1.69</v>
      </c>
      <c r="E1448">
        <v>1.4550000000000001</v>
      </c>
      <c r="F1448">
        <v>16</v>
      </c>
      <c r="G1448">
        <v>0.5978</v>
      </c>
      <c r="H1448" t="s">
        <v>452</v>
      </c>
      <c r="I1448">
        <v>0.5</v>
      </c>
    </row>
    <row r="1449" spans="1:10" x14ac:dyDescent="0.35">
      <c r="A1449" t="s">
        <v>701</v>
      </c>
      <c r="B1449" s="16"/>
    </row>
    <row r="1450" spans="1:10" x14ac:dyDescent="0.35">
      <c r="A1450" t="s">
        <v>700</v>
      </c>
      <c r="B1450" s="16"/>
    </row>
    <row r="1451" spans="1:10" x14ac:dyDescent="0.35">
      <c r="A1451" t="s">
        <v>470</v>
      </c>
      <c r="B1451" s="16"/>
    </row>
    <row r="1452" spans="1:10" x14ac:dyDescent="0.35">
      <c r="A1452" t="s">
        <v>471</v>
      </c>
      <c r="B1452" s="16"/>
    </row>
    <row r="1453" spans="1:10" x14ac:dyDescent="0.35">
      <c r="A1453" t="s">
        <v>635</v>
      </c>
      <c r="B1453" s="16"/>
      <c r="J1453">
        <v>54</v>
      </c>
    </row>
    <row r="1454" spans="1:10" x14ac:dyDescent="0.35">
      <c r="A1454" t="s">
        <v>700</v>
      </c>
      <c r="B1454" s="16"/>
    </row>
    <row r="1455" spans="1:10" x14ac:dyDescent="0.35">
      <c r="A1455" t="s">
        <v>438</v>
      </c>
      <c r="B1455" s="16"/>
    </row>
    <row r="1456" spans="1:10" x14ac:dyDescent="0.35">
      <c r="A1456" t="s">
        <v>439</v>
      </c>
      <c r="B1456" s="16"/>
    </row>
    <row r="1457" spans="1:9" x14ac:dyDescent="0.35">
      <c r="A1457" t="s">
        <v>441</v>
      </c>
      <c r="B1457" s="16"/>
    </row>
    <row r="1458" spans="1:9" x14ac:dyDescent="0.35">
      <c r="A1458" t="s">
        <v>701</v>
      </c>
      <c r="B1458" s="16"/>
    </row>
    <row r="1459" spans="1:9" x14ac:dyDescent="0.35">
      <c r="A1459" t="s">
        <v>442</v>
      </c>
      <c r="B1459" s="16" t="s">
        <v>443</v>
      </c>
      <c r="C1459" t="s">
        <v>444</v>
      </c>
      <c r="D1459" t="s">
        <v>445</v>
      </c>
      <c r="E1459" t="s">
        <v>445</v>
      </c>
      <c r="F1459" t="s">
        <v>446</v>
      </c>
      <c r="G1459" t="s">
        <v>447</v>
      </c>
      <c r="H1459" t="s">
        <v>448</v>
      </c>
      <c r="I1459" t="s">
        <v>448</v>
      </c>
    </row>
    <row r="1460" spans="1:9" x14ac:dyDescent="0.35">
      <c r="A1460" t="s">
        <v>450</v>
      </c>
      <c r="B1460" s="16" t="s">
        <v>451</v>
      </c>
      <c r="C1460" t="s">
        <v>452</v>
      </c>
      <c r="D1460" t="s">
        <v>453</v>
      </c>
      <c r="E1460" t="s">
        <v>454</v>
      </c>
      <c r="F1460" t="s">
        <v>455</v>
      </c>
      <c r="G1460" t="s">
        <v>456</v>
      </c>
      <c r="H1460" t="s">
        <v>457</v>
      </c>
      <c r="I1460" t="s">
        <v>458</v>
      </c>
    </row>
    <row r="1461" spans="1:9" x14ac:dyDescent="0.35">
      <c r="A1461" t="s">
        <v>702</v>
      </c>
      <c r="B1461" s="16" t="s">
        <v>703</v>
      </c>
      <c r="C1461" t="s">
        <v>704</v>
      </c>
      <c r="D1461" t="s">
        <v>704</v>
      </c>
      <c r="E1461" t="s">
        <v>704</v>
      </c>
      <c r="F1461" t="s">
        <v>705</v>
      </c>
      <c r="G1461" t="s">
        <v>704</v>
      </c>
      <c r="H1461" t="s">
        <v>704</v>
      </c>
      <c r="I1461" t="s">
        <v>704</v>
      </c>
    </row>
    <row r="1462" spans="1:9" x14ac:dyDescent="0.35">
      <c r="A1462">
        <v>1</v>
      </c>
      <c r="B1462" s="16">
        <v>1</v>
      </c>
      <c r="C1462">
        <v>1.549E-3</v>
      </c>
      <c r="D1462">
        <v>0.39939999999999998</v>
      </c>
      <c r="E1462">
        <v>0.47320000000000001</v>
      </c>
      <c r="F1462">
        <v>10</v>
      </c>
      <c r="G1462">
        <v>7.3309999999999998E-4</v>
      </c>
      <c r="H1462">
        <v>2.3540000000000002E-3</v>
      </c>
      <c r="I1462">
        <v>1.2030000000000001E-3</v>
      </c>
    </row>
    <row r="1463" spans="1:9" x14ac:dyDescent="0.35">
      <c r="A1463">
        <v>2</v>
      </c>
      <c r="B1463" s="16">
        <v>2</v>
      </c>
      <c r="C1463">
        <v>1.5509999999999999E-2</v>
      </c>
      <c r="D1463">
        <v>1.161</v>
      </c>
      <c r="E1463">
        <v>1.8280000000000001</v>
      </c>
      <c r="F1463">
        <v>10</v>
      </c>
      <c r="G1463">
        <v>2.8340000000000001E-2</v>
      </c>
      <c r="H1463">
        <v>9.0990000000000001E-2</v>
      </c>
      <c r="I1463">
        <v>4.6510000000000003E-2</v>
      </c>
    </row>
    <row r="1464" spans="1:9" x14ac:dyDescent="0.35">
      <c r="A1464">
        <v>3</v>
      </c>
      <c r="B1464" s="16">
        <v>3</v>
      </c>
      <c r="C1464">
        <v>0.18099999999999999</v>
      </c>
      <c r="D1464">
        <v>1.0960000000000001</v>
      </c>
      <c r="E1464">
        <v>1.1299999999999999</v>
      </c>
      <c r="F1464">
        <v>10</v>
      </c>
      <c r="G1464">
        <v>0.2046</v>
      </c>
      <c r="H1464">
        <v>0.65669999999999995</v>
      </c>
      <c r="I1464">
        <v>0.3357</v>
      </c>
    </row>
    <row r="1465" spans="1:9" x14ac:dyDescent="0.35">
      <c r="A1465">
        <v>4</v>
      </c>
      <c r="B1465" s="16">
        <v>4</v>
      </c>
      <c r="C1465">
        <v>0.1847</v>
      </c>
      <c r="D1465">
        <v>1.0429999999999999</v>
      </c>
      <c r="E1465">
        <v>0.39319999999999999</v>
      </c>
      <c r="F1465">
        <v>10</v>
      </c>
      <c r="G1465">
        <v>7.2650000000000006E-2</v>
      </c>
      <c r="H1465">
        <v>0.23319999999999999</v>
      </c>
      <c r="I1465">
        <v>0.1192</v>
      </c>
    </row>
    <row r="1466" spans="1:9" x14ac:dyDescent="0.35">
      <c r="A1466">
        <v>5</v>
      </c>
      <c r="B1466" s="16">
        <v>5</v>
      </c>
      <c r="C1466">
        <v>2.6129999999999999E-3</v>
      </c>
      <c r="D1466">
        <v>1.8560000000000001</v>
      </c>
      <c r="E1466">
        <v>1.99</v>
      </c>
      <c r="F1466">
        <v>10</v>
      </c>
      <c r="G1466">
        <v>5.1989999999999996E-3</v>
      </c>
      <c r="H1466">
        <v>1.669E-2</v>
      </c>
      <c r="I1466">
        <v>8.5319999999999997E-3</v>
      </c>
    </row>
    <row r="1467" spans="1:9" x14ac:dyDescent="0.35">
      <c r="A1467">
        <v>6</v>
      </c>
      <c r="B1467" s="16">
        <v>6</v>
      </c>
      <c r="C1467" s="4">
        <v>1.9560000000000001E-8</v>
      </c>
      <c r="D1467">
        <v>1.7689999999999999</v>
      </c>
      <c r="E1467">
        <v>0.78680000000000005</v>
      </c>
      <c r="F1467">
        <v>10</v>
      </c>
      <c r="G1467" s="4">
        <v>1.5390000000000001E-8</v>
      </c>
      <c r="H1467" s="4">
        <v>4.9399999999999999E-8</v>
      </c>
      <c r="I1467" s="4">
        <v>2.5250000000000001E-8</v>
      </c>
    </row>
    <row r="1468" spans="1:9" x14ac:dyDescent="0.35">
      <c r="A1468">
        <v>7</v>
      </c>
      <c r="B1468" s="16" t="s">
        <v>464</v>
      </c>
      <c r="C1468">
        <v>0.49880000000000002</v>
      </c>
      <c r="D1468">
        <v>0.7198</v>
      </c>
      <c r="E1468">
        <v>0.59719999999999995</v>
      </c>
      <c r="F1468">
        <v>10</v>
      </c>
      <c r="G1468">
        <v>0.2979</v>
      </c>
      <c r="H1468" t="s">
        <v>452</v>
      </c>
      <c r="I1468">
        <v>0.48880000000000001</v>
      </c>
    </row>
    <row r="1469" spans="1:9" x14ac:dyDescent="0.35">
      <c r="A1469">
        <v>8</v>
      </c>
      <c r="B1469" s="16" t="s">
        <v>466</v>
      </c>
      <c r="C1469">
        <v>0.1321</v>
      </c>
      <c r="D1469">
        <v>0.53180000000000005</v>
      </c>
      <c r="E1469">
        <v>0.33069999999999999</v>
      </c>
      <c r="F1469">
        <v>10</v>
      </c>
      <c r="G1469">
        <v>4.3679999999999997E-2</v>
      </c>
      <c r="H1469" t="s">
        <v>452</v>
      </c>
      <c r="I1469">
        <v>0.123</v>
      </c>
    </row>
    <row r="1470" spans="1:9" x14ac:dyDescent="0.35">
      <c r="A1470">
        <v>9</v>
      </c>
      <c r="B1470" s="16" t="s">
        <v>467</v>
      </c>
      <c r="C1470">
        <v>0.49880000000000002</v>
      </c>
      <c r="D1470">
        <v>0.72529999999999994</v>
      </c>
      <c r="E1470">
        <v>0.60589999999999999</v>
      </c>
      <c r="F1470">
        <v>10</v>
      </c>
      <c r="G1470">
        <v>0.30220000000000002</v>
      </c>
      <c r="H1470" t="s">
        <v>452</v>
      </c>
      <c r="I1470">
        <v>0.49309999999999998</v>
      </c>
    </row>
    <row r="1471" spans="1:9" x14ac:dyDescent="0.35">
      <c r="A1471">
        <v>10</v>
      </c>
      <c r="B1471" s="16" t="s">
        <v>469</v>
      </c>
      <c r="C1471">
        <v>0.21779999999999999</v>
      </c>
      <c r="D1471">
        <v>0.9647</v>
      </c>
      <c r="E1471">
        <v>0.66110000000000002</v>
      </c>
      <c r="F1471">
        <v>10</v>
      </c>
      <c r="G1471">
        <v>0.14399999999999999</v>
      </c>
      <c r="H1471" t="s">
        <v>452</v>
      </c>
      <c r="I1471">
        <v>0.34189999999999998</v>
      </c>
    </row>
    <row r="1472" spans="1:9" x14ac:dyDescent="0.35">
      <c r="A1472" t="s">
        <v>701</v>
      </c>
      <c r="B1472" s="16"/>
    </row>
    <row r="1473" spans="1:10" x14ac:dyDescent="0.35">
      <c r="A1473" t="s">
        <v>700</v>
      </c>
      <c r="B1473" s="16"/>
    </row>
    <row r="1474" spans="1:10" x14ac:dyDescent="0.35">
      <c r="A1474" t="s">
        <v>470</v>
      </c>
      <c r="B1474" s="16"/>
    </row>
    <row r="1475" spans="1:10" x14ac:dyDescent="0.35">
      <c r="A1475" t="s">
        <v>471</v>
      </c>
      <c r="B1475" s="16"/>
    </row>
    <row r="1476" spans="1:10" x14ac:dyDescent="0.35">
      <c r="A1476" t="s">
        <v>964</v>
      </c>
      <c r="B1476" s="16"/>
      <c r="J1476">
        <v>55</v>
      </c>
    </row>
    <row r="1477" spans="1:10" x14ac:dyDescent="0.35">
      <c r="A1477" t="s">
        <v>700</v>
      </c>
      <c r="B1477" s="16"/>
    </row>
    <row r="1478" spans="1:10" x14ac:dyDescent="0.35">
      <c r="A1478" t="s">
        <v>438</v>
      </c>
      <c r="B1478" s="16"/>
    </row>
    <row r="1479" spans="1:10" x14ac:dyDescent="0.35">
      <c r="A1479" t="s">
        <v>439</v>
      </c>
      <c r="B1479" s="16"/>
    </row>
    <row r="1480" spans="1:10" x14ac:dyDescent="0.35">
      <c r="A1480" t="s">
        <v>441</v>
      </c>
      <c r="B1480" s="16"/>
    </row>
    <row r="1481" spans="1:10" x14ac:dyDescent="0.35">
      <c r="A1481" t="s">
        <v>701</v>
      </c>
      <c r="B1481" s="16"/>
    </row>
    <row r="1482" spans="1:10" x14ac:dyDescent="0.35">
      <c r="A1482" t="s">
        <v>442</v>
      </c>
      <c r="B1482" s="16" t="s">
        <v>443</v>
      </c>
      <c r="C1482" t="s">
        <v>444</v>
      </c>
      <c r="D1482" t="s">
        <v>445</v>
      </c>
      <c r="E1482" t="s">
        <v>445</v>
      </c>
      <c r="F1482" t="s">
        <v>446</v>
      </c>
      <c r="G1482" t="s">
        <v>447</v>
      </c>
      <c r="H1482" t="s">
        <v>448</v>
      </c>
      <c r="I1482" t="s">
        <v>448</v>
      </c>
    </row>
    <row r="1483" spans="1:10" x14ac:dyDescent="0.35">
      <c r="A1483" t="s">
        <v>450</v>
      </c>
      <c r="B1483" s="16" t="s">
        <v>451</v>
      </c>
      <c r="C1483" t="s">
        <v>452</v>
      </c>
      <c r="D1483" t="s">
        <v>453</v>
      </c>
      <c r="E1483" t="s">
        <v>454</v>
      </c>
      <c r="F1483" t="s">
        <v>455</v>
      </c>
      <c r="G1483" t="s">
        <v>456</v>
      </c>
      <c r="H1483" t="s">
        <v>457</v>
      </c>
      <c r="I1483" t="s">
        <v>458</v>
      </c>
    </row>
    <row r="1484" spans="1:10" x14ac:dyDescent="0.35">
      <c r="A1484" t="s">
        <v>702</v>
      </c>
      <c r="B1484" s="16" t="s">
        <v>703</v>
      </c>
      <c r="C1484" t="s">
        <v>704</v>
      </c>
      <c r="D1484" t="s">
        <v>704</v>
      </c>
      <c r="E1484" t="s">
        <v>704</v>
      </c>
      <c r="F1484" t="s">
        <v>705</v>
      </c>
      <c r="G1484" t="s">
        <v>704</v>
      </c>
      <c r="H1484" t="s">
        <v>704</v>
      </c>
      <c r="I1484" t="s">
        <v>704</v>
      </c>
    </row>
    <row r="1485" spans="1:10" x14ac:dyDescent="0.35">
      <c r="A1485">
        <v>1</v>
      </c>
      <c r="B1485" s="16" t="s">
        <v>503</v>
      </c>
      <c r="C1485">
        <v>0.49199999999999999</v>
      </c>
      <c r="D1485">
        <v>1.6120000000000001</v>
      </c>
      <c r="E1485">
        <v>1.581</v>
      </c>
      <c r="F1485">
        <v>11</v>
      </c>
      <c r="G1485">
        <v>0.77769999999999995</v>
      </c>
      <c r="H1485">
        <v>0.35599999999999998</v>
      </c>
      <c r="I1485">
        <v>0.26939999999999997</v>
      </c>
    </row>
    <row r="1486" spans="1:10" x14ac:dyDescent="0.35">
      <c r="A1486">
        <v>2</v>
      </c>
      <c r="B1486" s="16" t="s">
        <v>504</v>
      </c>
      <c r="C1486" s="4">
        <v>7.5430000000000005E-12</v>
      </c>
      <c r="D1486">
        <v>4.641</v>
      </c>
      <c r="E1486">
        <v>3.8050000000000002</v>
      </c>
      <c r="F1486">
        <v>11</v>
      </c>
      <c r="G1486" s="4">
        <v>2.8699999999999998E-11</v>
      </c>
      <c r="H1486" s="4">
        <v>1.3139999999999999E-11</v>
      </c>
      <c r="I1486" s="4">
        <v>9.9389999999999996E-12</v>
      </c>
    </row>
    <row r="1487" spans="1:10" x14ac:dyDescent="0.35">
      <c r="A1487">
        <v>3</v>
      </c>
      <c r="B1487" s="16" t="s">
        <v>577</v>
      </c>
      <c r="C1487" s="4">
        <v>2.4959999999999999E-6</v>
      </c>
      <c r="D1487">
        <v>1.472</v>
      </c>
      <c r="E1487">
        <v>2.1819999999999999</v>
      </c>
      <c r="F1487">
        <v>11</v>
      </c>
      <c r="G1487" s="4">
        <v>5.4450000000000004E-6</v>
      </c>
      <c r="H1487" s="4">
        <v>2.4930000000000001E-6</v>
      </c>
      <c r="I1487" s="4">
        <v>1.886E-6</v>
      </c>
    </row>
    <row r="1488" spans="1:10" x14ac:dyDescent="0.35">
      <c r="A1488">
        <v>4</v>
      </c>
      <c r="B1488" s="16" t="s">
        <v>506</v>
      </c>
      <c r="C1488">
        <v>7.9849999999999995E-4</v>
      </c>
      <c r="D1488">
        <v>0.9546</v>
      </c>
      <c r="E1488">
        <v>0.57369999999999999</v>
      </c>
      <c r="F1488">
        <v>11</v>
      </c>
      <c r="G1488">
        <v>4.5810000000000002E-4</v>
      </c>
      <c r="H1488">
        <v>2.097E-4</v>
      </c>
      <c r="I1488">
        <v>1.5870000000000001E-4</v>
      </c>
    </row>
    <row r="1489" spans="1:10" x14ac:dyDescent="0.35">
      <c r="A1489">
        <v>5</v>
      </c>
      <c r="B1489" s="16" t="s">
        <v>507</v>
      </c>
      <c r="C1489" s="4">
        <v>3.2110000000000002E-14</v>
      </c>
      <c r="D1489">
        <v>4.1260000000000003</v>
      </c>
      <c r="E1489">
        <v>3.45</v>
      </c>
      <c r="F1489">
        <v>11</v>
      </c>
      <c r="G1489" s="4">
        <v>1.108E-13</v>
      </c>
      <c r="H1489" s="4">
        <v>5.0719999999999997E-14</v>
      </c>
      <c r="I1489" s="4">
        <v>3.8369999999999998E-14</v>
      </c>
    </row>
    <row r="1490" spans="1:10" x14ac:dyDescent="0.35">
      <c r="A1490">
        <v>6</v>
      </c>
      <c r="B1490" s="16" t="s">
        <v>578</v>
      </c>
      <c r="C1490" s="4">
        <v>2.7889999999999999E-5</v>
      </c>
      <c r="D1490">
        <v>2.7509999999999999</v>
      </c>
      <c r="E1490">
        <v>2.7360000000000002</v>
      </c>
      <c r="F1490">
        <v>11</v>
      </c>
      <c r="G1490" s="4">
        <v>7.6310000000000006E-5</v>
      </c>
      <c r="H1490" s="4">
        <v>3.4929999999999999E-5</v>
      </c>
      <c r="I1490" s="4">
        <v>2.6429999999999999E-5</v>
      </c>
    </row>
    <row r="1491" spans="1:10" x14ac:dyDescent="0.35">
      <c r="A1491">
        <v>7</v>
      </c>
      <c r="B1491" s="16" t="s">
        <v>593</v>
      </c>
      <c r="C1491">
        <v>7.9849999999999995E-4</v>
      </c>
      <c r="D1491">
        <v>2.5920000000000001</v>
      </c>
      <c r="E1491">
        <v>2.3980000000000001</v>
      </c>
      <c r="F1491">
        <v>11</v>
      </c>
      <c r="G1491">
        <v>1.915E-3</v>
      </c>
      <c r="H1491">
        <v>8.7679999999999995E-4</v>
      </c>
      <c r="I1491">
        <v>6.6330000000000002E-4</v>
      </c>
    </row>
    <row r="1492" spans="1:10" x14ac:dyDescent="0.35">
      <c r="A1492">
        <v>8</v>
      </c>
      <c r="B1492" s="16" t="s">
        <v>594</v>
      </c>
      <c r="C1492">
        <v>0.70620000000000005</v>
      </c>
      <c r="D1492">
        <v>1.895</v>
      </c>
      <c r="E1492">
        <v>1.988</v>
      </c>
      <c r="F1492">
        <v>11</v>
      </c>
      <c r="G1492">
        <v>1.4039999999999999</v>
      </c>
      <c r="H1492">
        <v>0.64259999999999995</v>
      </c>
      <c r="I1492">
        <v>0.48620000000000002</v>
      </c>
    </row>
    <row r="1493" spans="1:10" x14ac:dyDescent="0.35">
      <c r="A1493">
        <v>9</v>
      </c>
      <c r="B1493" s="16" t="s">
        <v>595</v>
      </c>
      <c r="C1493">
        <v>1.1000000000000001E-3</v>
      </c>
      <c r="D1493">
        <v>0.31759999999999999</v>
      </c>
      <c r="E1493">
        <v>0.46110000000000001</v>
      </c>
      <c r="F1493">
        <v>11</v>
      </c>
      <c r="G1493">
        <v>5.0719999999999997E-4</v>
      </c>
      <c r="H1493">
        <v>2.3220000000000001E-4</v>
      </c>
      <c r="I1493">
        <v>1.7569999999999999E-4</v>
      </c>
    </row>
    <row r="1494" spans="1:10" x14ac:dyDescent="0.35">
      <c r="A1494">
        <v>10</v>
      </c>
      <c r="B1494" s="16" t="s">
        <v>464</v>
      </c>
      <c r="C1494">
        <v>0.49199999999999999</v>
      </c>
      <c r="D1494">
        <v>1.4359999999999999</v>
      </c>
      <c r="E1494">
        <v>1.429</v>
      </c>
      <c r="F1494">
        <v>11</v>
      </c>
      <c r="G1494">
        <v>0.70289999999999997</v>
      </c>
      <c r="H1494" t="s">
        <v>452</v>
      </c>
      <c r="I1494">
        <v>0.24349999999999999</v>
      </c>
    </row>
    <row r="1495" spans="1:10" x14ac:dyDescent="0.35">
      <c r="A1495">
        <v>11</v>
      </c>
      <c r="B1495" s="16" t="s">
        <v>466</v>
      </c>
      <c r="C1495">
        <v>6.7659999999999998E-2</v>
      </c>
      <c r="D1495">
        <v>0.75039999999999996</v>
      </c>
      <c r="E1495">
        <v>0.80369999999999997</v>
      </c>
      <c r="F1495">
        <v>11</v>
      </c>
      <c r="G1495">
        <v>5.4379999999999998E-2</v>
      </c>
      <c r="H1495" t="s">
        <v>452</v>
      </c>
      <c r="I1495">
        <v>2.4289999999999999E-2</v>
      </c>
    </row>
    <row r="1496" spans="1:10" x14ac:dyDescent="0.35">
      <c r="A1496">
        <v>12</v>
      </c>
      <c r="B1496" s="16" t="s">
        <v>467</v>
      </c>
      <c r="C1496">
        <v>0.70620000000000005</v>
      </c>
      <c r="D1496">
        <v>1.895</v>
      </c>
      <c r="E1496">
        <v>1.988</v>
      </c>
      <c r="F1496">
        <v>11</v>
      </c>
      <c r="G1496">
        <v>1.4039999999999999</v>
      </c>
      <c r="H1496" t="s">
        <v>452</v>
      </c>
      <c r="I1496">
        <v>0.5</v>
      </c>
    </row>
    <row r="1497" spans="1:10" x14ac:dyDescent="0.35">
      <c r="A1497">
        <v>13</v>
      </c>
      <c r="B1497" s="16" t="s">
        <v>469</v>
      </c>
      <c r="C1497">
        <v>0.70620000000000005</v>
      </c>
      <c r="D1497">
        <v>1.895</v>
      </c>
      <c r="E1497">
        <v>1.988</v>
      </c>
      <c r="F1497">
        <v>11</v>
      </c>
      <c r="G1497">
        <v>1.4039999999999999</v>
      </c>
      <c r="H1497" t="s">
        <v>452</v>
      </c>
      <c r="I1497">
        <v>0.5</v>
      </c>
    </row>
    <row r="1498" spans="1:10" x14ac:dyDescent="0.35">
      <c r="A1498" t="s">
        <v>701</v>
      </c>
      <c r="B1498" s="16"/>
    </row>
    <row r="1499" spans="1:10" x14ac:dyDescent="0.35">
      <c r="A1499" t="s">
        <v>700</v>
      </c>
      <c r="B1499" s="16"/>
    </row>
    <row r="1500" spans="1:10" x14ac:dyDescent="0.35">
      <c r="A1500" t="s">
        <v>470</v>
      </c>
      <c r="B1500" s="16"/>
    </row>
    <row r="1501" spans="1:10" x14ac:dyDescent="0.35">
      <c r="A1501" t="s">
        <v>471</v>
      </c>
      <c r="B1501" s="16"/>
    </row>
    <row r="1502" spans="1:10" x14ac:dyDescent="0.35">
      <c r="A1502" t="s">
        <v>602</v>
      </c>
      <c r="B1502" s="16"/>
      <c r="J1502">
        <v>56</v>
      </c>
    </row>
    <row r="1503" spans="1:10" x14ac:dyDescent="0.35">
      <c r="A1503" t="s">
        <v>700</v>
      </c>
      <c r="B1503" s="16"/>
    </row>
    <row r="1504" spans="1:10" x14ac:dyDescent="0.35">
      <c r="A1504" t="s">
        <v>438</v>
      </c>
      <c r="B1504" s="16"/>
    </row>
    <row r="1505" spans="1:9" x14ac:dyDescent="0.35">
      <c r="A1505" t="s">
        <v>439</v>
      </c>
      <c r="B1505" s="16"/>
    </row>
    <row r="1506" spans="1:9" x14ac:dyDescent="0.35">
      <c r="A1506" t="s">
        <v>441</v>
      </c>
      <c r="B1506" s="16"/>
    </row>
    <row r="1507" spans="1:9" x14ac:dyDescent="0.35">
      <c r="A1507" t="s">
        <v>701</v>
      </c>
      <c r="B1507" s="16"/>
    </row>
    <row r="1508" spans="1:9" x14ac:dyDescent="0.35">
      <c r="A1508" t="s">
        <v>442</v>
      </c>
      <c r="B1508" s="16" t="s">
        <v>443</v>
      </c>
      <c r="C1508" t="s">
        <v>444</v>
      </c>
      <c r="D1508" t="s">
        <v>445</v>
      </c>
      <c r="E1508" t="s">
        <v>445</v>
      </c>
      <c r="F1508" t="s">
        <v>446</v>
      </c>
      <c r="G1508" t="s">
        <v>447</v>
      </c>
      <c r="H1508" t="s">
        <v>448</v>
      </c>
      <c r="I1508" t="s">
        <v>448</v>
      </c>
    </row>
    <row r="1509" spans="1:9" x14ac:dyDescent="0.35">
      <c r="A1509" t="s">
        <v>450</v>
      </c>
      <c r="B1509" s="16" t="s">
        <v>451</v>
      </c>
      <c r="C1509" t="s">
        <v>452</v>
      </c>
      <c r="D1509" t="s">
        <v>453</v>
      </c>
      <c r="E1509" t="s">
        <v>454</v>
      </c>
      <c r="F1509" t="s">
        <v>455</v>
      </c>
      <c r="G1509" t="s">
        <v>456</v>
      </c>
      <c r="H1509" t="s">
        <v>457</v>
      </c>
      <c r="I1509" t="s">
        <v>458</v>
      </c>
    </row>
    <row r="1510" spans="1:9" x14ac:dyDescent="0.35">
      <c r="A1510" t="s">
        <v>702</v>
      </c>
      <c r="B1510" s="16" t="s">
        <v>703</v>
      </c>
      <c r="C1510" t="s">
        <v>704</v>
      </c>
      <c r="D1510" t="s">
        <v>704</v>
      </c>
      <c r="E1510" t="s">
        <v>704</v>
      </c>
      <c r="F1510" t="s">
        <v>705</v>
      </c>
      <c r="G1510" t="s">
        <v>704</v>
      </c>
      <c r="H1510" t="s">
        <v>704</v>
      </c>
      <c r="I1510" t="s">
        <v>704</v>
      </c>
    </row>
    <row r="1511" spans="1:9" x14ac:dyDescent="0.35">
      <c r="A1511">
        <v>1</v>
      </c>
      <c r="B1511" s="16" t="s">
        <v>603</v>
      </c>
      <c r="C1511">
        <v>8.0889999999999998E-4</v>
      </c>
      <c r="D1511">
        <v>1.6890000000000001</v>
      </c>
      <c r="E1511">
        <v>1.94</v>
      </c>
      <c r="F1511">
        <v>18</v>
      </c>
      <c r="G1511">
        <v>1.5690000000000001E-3</v>
      </c>
      <c r="H1511">
        <v>8.2000000000000007E-3</v>
      </c>
      <c r="I1511">
        <v>4.7540000000000004E-3</v>
      </c>
    </row>
    <row r="1512" spans="1:9" x14ac:dyDescent="0.35">
      <c r="A1512">
        <v>2</v>
      </c>
      <c r="B1512" s="16" t="s">
        <v>604</v>
      </c>
      <c r="C1512" s="4">
        <v>1.007E-8</v>
      </c>
      <c r="D1512">
        <v>2.0259999999999998</v>
      </c>
      <c r="E1512">
        <v>2.2770000000000001</v>
      </c>
      <c r="F1512">
        <v>18</v>
      </c>
      <c r="G1512" s="4">
        <v>2.2939999999999999E-8</v>
      </c>
      <c r="H1512" s="4">
        <v>1.1990000000000001E-7</v>
      </c>
      <c r="I1512" s="4">
        <v>6.9489999999999996E-8</v>
      </c>
    </row>
    <row r="1513" spans="1:9" x14ac:dyDescent="0.35">
      <c r="A1513">
        <v>3</v>
      </c>
      <c r="B1513" s="16" t="s">
        <v>605</v>
      </c>
      <c r="C1513" s="4">
        <v>2.1880000000000001E-6</v>
      </c>
      <c r="D1513">
        <v>1.843</v>
      </c>
      <c r="E1513">
        <v>2.3010000000000002</v>
      </c>
      <c r="F1513">
        <v>18</v>
      </c>
      <c r="G1513" s="4">
        <v>5.0340000000000004E-6</v>
      </c>
      <c r="H1513" s="4">
        <v>2.6299999999999999E-5</v>
      </c>
      <c r="I1513" s="4">
        <v>1.525E-5</v>
      </c>
    </row>
    <row r="1514" spans="1:9" x14ac:dyDescent="0.35">
      <c r="A1514">
        <v>4</v>
      </c>
      <c r="B1514" s="16" t="s">
        <v>606</v>
      </c>
      <c r="C1514" s="4">
        <v>1.7839999999999999E-5</v>
      </c>
      <c r="D1514">
        <v>1.4890000000000001</v>
      </c>
      <c r="E1514">
        <v>1.9179999999999999</v>
      </c>
      <c r="F1514">
        <v>18</v>
      </c>
      <c r="G1514" s="4">
        <v>3.4220000000000001E-5</v>
      </c>
      <c r="H1514">
        <v>1.7880000000000001E-4</v>
      </c>
      <c r="I1514">
        <v>1.037E-4</v>
      </c>
    </row>
    <row r="1515" spans="1:9" x14ac:dyDescent="0.35">
      <c r="A1515">
        <v>5</v>
      </c>
      <c r="B1515" s="16" t="s">
        <v>607</v>
      </c>
      <c r="C1515" s="4">
        <v>1.2119999999999999E-5</v>
      </c>
      <c r="D1515">
        <v>1.611</v>
      </c>
      <c r="E1515">
        <v>2.0070000000000001</v>
      </c>
      <c r="F1515">
        <v>18</v>
      </c>
      <c r="G1515" s="4">
        <v>2.4329999999999999E-5</v>
      </c>
      <c r="H1515">
        <v>1.271E-4</v>
      </c>
      <c r="I1515" s="4">
        <v>7.3709999999999997E-5</v>
      </c>
    </row>
    <row r="1516" spans="1:9" x14ac:dyDescent="0.35">
      <c r="A1516">
        <v>6</v>
      </c>
      <c r="B1516" s="16" t="s">
        <v>608</v>
      </c>
      <c r="C1516" s="4">
        <v>8.1869999999999997E-11</v>
      </c>
      <c r="D1516">
        <v>2.5499999999999998</v>
      </c>
      <c r="E1516">
        <v>2.9590000000000001</v>
      </c>
      <c r="F1516">
        <v>18</v>
      </c>
      <c r="G1516" s="4">
        <v>2.422E-10</v>
      </c>
      <c r="H1516" s="4">
        <v>1.266E-9</v>
      </c>
      <c r="I1516" s="4">
        <v>7.3390000000000002E-10</v>
      </c>
    </row>
    <row r="1517" spans="1:9" x14ac:dyDescent="0.35">
      <c r="A1517">
        <v>7</v>
      </c>
      <c r="B1517" s="16" t="s">
        <v>609</v>
      </c>
      <c r="C1517">
        <v>1.9760000000000001E-4</v>
      </c>
      <c r="D1517">
        <v>1.833</v>
      </c>
      <c r="E1517">
        <v>2.0230000000000001</v>
      </c>
      <c r="F1517">
        <v>18</v>
      </c>
      <c r="G1517">
        <v>3.9980000000000001E-4</v>
      </c>
      <c r="H1517">
        <v>2.0890000000000001E-3</v>
      </c>
      <c r="I1517">
        <v>1.2110000000000001E-3</v>
      </c>
    </row>
    <row r="1518" spans="1:9" x14ac:dyDescent="0.35">
      <c r="A1518">
        <v>8</v>
      </c>
      <c r="B1518" s="16" t="s">
        <v>610</v>
      </c>
      <c r="C1518" s="4">
        <v>1.2119999999999999E-5</v>
      </c>
      <c r="D1518">
        <v>1.59</v>
      </c>
      <c r="E1518">
        <v>1.9590000000000001</v>
      </c>
      <c r="F1518">
        <v>18</v>
      </c>
      <c r="G1518" s="4">
        <v>2.3750000000000001E-5</v>
      </c>
      <c r="H1518">
        <v>1.2410000000000001E-4</v>
      </c>
      <c r="I1518" s="4">
        <v>7.1950000000000001E-5</v>
      </c>
    </row>
    <row r="1519" spans="1:9" x14ac:dyDescent="0.35">
      <c r="A1519">
        <v>9</v>
      </c>
      <c r="B1519" s="16" t="s">
        <v>611</v>
      </c>
      <c r="C1519">
        <v>5.5500000000000001E-2</v>
      </c>
      <c r="D1519">
        <v>1.5669999999999999</v>
      </c>
      <c r="E1519">
        <v>1.82</v>
      </c>
      <c r="F1519">
        <v>18</v>
      </c>
      <c r="G1519">
        <v>0.10100000000000001</v>
      </c>
      <c r="H1519">
        <v>0.52769999999999995</v>
      </c>
      <c r="I1519">
        <v>0.30599999999999999</v>
      </c>
    </row>
    <row r="1520" spans="1:9" x14ac:dyDescent="0.35">
      <c r="A1520">
        <v>10</v>
      </c>
      <c r="B1520" s="16" t="s">
        <v>612</v>
      </c>
      <c r="C1520">
        <v>2.068E-3</v>
      </c>
      <c r="D1520">
        <v>1.5760000000000001</v>
      </c>
      <c r="E1520">
        <v>1.8280000000000001</v>
      </c>
      <c r="F1520">
        <v>18</v>
      </c>
      <c r="G1520">
        <v>3.7799999999999999E-3</v>
      </c>
      <c r="H1520">
        <v>1.975E-2</v>
      </c>
      <c r="I1520">
        <v>1.145E-2</v>
      </c>
    </row>
    <row r="1521" spans="1:9" x14ac:dyDescent="0.35">
      <c r="A1521">
        <v>11</v>
      </c>
      <c r="B1521" s="16" t="s">
        <v>613</v>
      </c>
      <c r="C1521" s="4">
        <v>7.1130000000000001E-13</v>
      </c>
      <c r="D1521">
        <v>2.6859999999999999</v>
      </c>
      <c r="E1521">
        <v>2.95</v>
      </c>
      <c r="F1521">
        <v>18</v>
      </c>
      <c r="G1521" s="4">
        <v>2.0980000000000001E-12</v>
      </c>
      <c r="H1521" s="4">
        <v>1.096E-11</v>
      </c>
      <c r="I1521" s="4">
        <v>6.356E-12</v>
      </c>
    </row>
    <row r="1522" spans="1:9" x14ac:dyDescent="0.35">
      <c r="A1522">
        <v>12</v>
      </c>
      <c r="B1522" s="16" t="s">
        <v>614</v>
      </c>
      <c r="C1522" s="4">
        <v>3.1629999999999999E-7</v>
      </c>
      <c r="D1522">
        <v>2.1819999999999999</v>
      </c>
      <c r="E1522">
        <v>2.754</v>
      </c>
      <c r="F1522">
        <v>18</v>
      </c>
      <c r="G1522" s="4">
        <v>8.7110000000000001E-7</v>
      </c>
      <c r="H1522" s="4">
        <v>4.5510000000000001E-6</v>
      </c>
      <c r="I1522" s="4">
        <v>2.6390000000000001E-6</v>
      </c>
    </row>
    <row r="1523" spans="1:9" x14ac:dyDescent="0.35">
      <c r="A1523">
        <v>13</v>
      </c>
      <c r="B1523" s="16" t="s">
        <v>615</v>
      </c>
      <c r="C1523">
        <v>1.382E-4</v>
      </c>
      <c r="D1523">
        <v>1.417</v>
      </c>
      <c r="E1523">
        <v>1.833</v>
      </c>
      <c r="F1523">
        <v>18</v>
      </c>
      <c r="G1523">
        <v>2.5339999999999998E-4</v>
      </c>
      <c r="H1523">
        <v>1.3240000000000001E-3</v>
      </c>
      <c r="I1523">
        <v>7.6769999999999996E-4</v>
      </c>
    </row>
    <row r="1524" spans="1:9" x14ac:dyDescent="0.35">
      <c r="A1524">
        <v>14</v>
      </c>
      <c r="B1524" s="16" t="s">
        <v>616</v>
      </c>
      <c r="C1524">
        <v>1.5669999999999999E-4</v>
      </c>
      <c r="D1524">
        <v>1.583</v>
      </c>
      <c r="E1524">
        <v>1.875</v>
      </c>
      <c r="F1524">
        <v>18</v>
      </c>
      <c r="G1524">
        <v>2.9389999999999999E-4</v>
      </c>
      <c r="H1524">
        <v>1.536E-3</v>
      </c>
      <c r="I1524">
        <v>8.9039999999999996E-4</v>
      </c>
    </row>
    <row r="1525" spans="1:9" x14ac:dyDescent="0.35">
      <c r="A1525">
        <v>15</v>
      </c>
      <c r="B1525" s="16" t="s">
        <v>617</v>
      </c>
      <c r="C1525" s="4">
        <v>1.8779999999999999E-9</v>
      </c>
      <c r="D1525">
        <v>1.9039999999999999</v>
      </c>
      <c r="E1525">
        <v>2.41</v>
      </c>
      <c r="F1525">
        <v>18</v>
      </c>
      <c r="G1525" s="4">
        <v>4.5269999999999998E-9</v>
      </c>
      <c r="H1525" s="4">
        <v>2.365E-8</v>
      </c>
      <c r="I1525" s="4">
        <v>1.371E-8</v>
      </c>
    </row>
    <row r="1526" spans="1:9" x14ac:dyDescent="0.35">
      <c r="A1526">
        <v>16</v>
      </c>
      <c r="B1526" s="16" t="s">
        <v>618</v>
      </c>
      <c r="C1526" s="4">
        <v>1.7210000000000001E-7</v>
      </c>
      <c r="D1526">
        <v>2.2080000000000002</v>
      </c>
      <c r="E1526">
        <v>2.5</v>
      </c>
      <c r="F1526">
        <v>18</v>
      </c>
      <c r="G1526" s="4">
        <v>4.3019999999999997E-7</v>
      </c>
      <c r="H1526" s="4">
        <v>2.2479999999999999E-6</v>
      </c>
      <c r="I1526" s="4">
        <v>1.3030000000000001E-6</v>
      </c>
    </row>
    <row r="1527" spans="1:9" x14ac:dyDescent="0.35">
      <c r="A1527">
        <v>17</v>
      </c>
      <c r="B1527" s="16" t="s">
        <v>619</v>
      </c>
      <c r="C1527" s="4">
        <v>1.1810000000000001E-11</v>
      </c>
      <c r="D1527">
        <v>2.5609999999999999</v>
      </c>
      <c r="E1527">
        <v>2.6589999999999998</v>
      </c>
      <c r="F1527">
        <v>18</v>
      </c>
      <c r="G1527" s="4">
        <v>3.1409999999999998E-11</v>
      </c>
      <c r="H1527" s="4">
        <v>1.6410000000000001E-10</v>
      </c>
      <c r="I1527" s="4">
        <v>9.5150000000000002E-11</v>
      </c>
    </row>
    <row r="1528" spans="1:9" x14ac:dyDescent="0.35">
      <c r="A1528">
        <v>18</v>
      </c>
      <c r="B1528" s="16" t="s">
        <v>620</v>
      </c>
      <c r="C1528">
        <v>3.8510000000000003E-2</v>
      </c>
      <c r="D1528">
        <v>1.6859999999999999</v>
      </c>
      <c r="E1528">
        <v>2.0110000000000001</v>
      </c>
      <c r="F1528">
        <v>18</v>
      </c>
      <c r="G1528">
        <v>7.7450000000000005E-2</v>
      </c>
      <c r="H1528">
        <v>0.4047</v>
      </c>
      <c r="I1528">
        <v>0.2346</v>
      </c>
    </row>
    <row r="1529" spans="1:9" x14ac:dyDescent="0.35">
      <c r="A1529">
        <v>19</v>
      </c>
      <c r="B1529" s="16" t="s">
        <v>621</v>
      </c>
      <c r="C1529">
        <v>8.0889999999999998E-4</v>
      </c>
      <c r="D1529">
        <v>1.9470000000000001</v>
      </c>
      <c r="E1529">
        <v>2.448</v>
      </c>
      <c r="F1529">
        <v>18</v>
      </c>
      <c r="G1529">
        <v>1.98E-3</v>
      </c>
      <c r="H1529">
        <v>1.035E-2</v>
      </c>
      <c r="I1529">
        <v>6.0000000000000001E-3</v>
      </c>
    </row>
    <row r="1530" spans="1:9" x14ac:dyDescent="0.35">
      <c r="A1530">
        <v>20</v>
      </c>
      <c r="B1530" s="16" t="s">
        <v>622</v>
      </c>
      <c r="C1530" s="4">
        <v>1.2119999999999999E-5</v>
      </c>
      <c r="D1530">
        <v>1.62</v>
      </c>
      <c r="E1530">
        <v>2.2519999999999998</v>
      </c>
      <c r="F1530">
        <v>18</v>
      </c>
      <c r="G1530" s="4">
        <v>2.73E-5</v>
      </c>
      <c r="H1530">
        <v>1.427E-4</v>
      </c>
      <c r="I1530" s="4">
        <v>8.2719999999999994E-5</v>
      </c>
    </row>
    <row r="1531" spans="1:9" x14ac:dyDescent="0.35">
      <c r="A1531">
        <v>21</v>
      </c>
      <c r="B1531" s="16" t="s">
        <v>623</v>
      </c>
      <c r="C1531" s="4">
        <v>4.9309999999999999E-6</v>
      </c>
      <c r="D1531">
        <v>1.893</v>
      </c>
      <c r="E1531">
        <v>2.161</v>
      </c>
      <c r="F1531">
        <v>18</v>
      </c>
      <c r="G1531" s="4">
        <v>1.066E-5</v>
      </c>
      <c r="H1531" s="4">
        <v>5.5680000000000002E-5</v>
      </c>
      <c r="I1531" s="4">
        <v>3.2289999999999997E-5</v>
      </c>
    </row>
    <row r="1532" spans="1:9" x14ac:dyDescent="0.35">
      <c r="A1532">
        <v>22</v>
      </c>
      <c r="B1532" s="16" t="s">
        <v>624</v>
      </c>
      <c r="C1532" s="4">
        <v>3.1259999999999998E-6</v>
      </c>
      <c r="D1532">
        <v>1.7030000000000001</v>
      </c>
      <c r="E1532">
        <v>1.885</v>
      </c>
      <c r="F1532">
        <v>18</v>
      </c>
      <c r="G1532" s="4">
        <v>5.8919999999999997E-6</v>
      </c>
      <c r="H1532" s="4">
        <v>3.078E-5</v>
      </c>
      <c r="I1532" s="4">
        <v>1.785E-5</v>
      </c>
    </row>
    <row r="1533" spans="1:9" x14ac:dyDescent="0.35">
      <c r="A1533">
        <v>23</v>
      </c>
      <c r="B1533" s="16" t="s">
        <v>625</v>
      </c>
      <c r="C1533" s="4">
        <v>2.1880000000000001E-6</v>
      </c>
      <c r="D1533">
        <v>1.724</v>
      </c>
      <c r="E1533">
        <v>2.1539999999999999</v>
      </c>
      <c r="F1533">
        <v>18</v>
      </c>
      <c r="G1533" s="4">
        <v>4.7119999999999999E-6</v>
      </c>
      <c r="H1533" s="4">
        <v>2.4620000000000001E-5</v>
      </c>
      <c r="I1533" s="4">
        <v>1.4270000000000001E-5</v>
      </c>
    </row>
    <row r="1534" spans="1:9" x14ac:dyDescent="0.35">
      <c r="A1534">
        <v>24</v>
      </c>
      <c r="B1534" s="16" t="s">
        <v>626</v>
      </c>
      <c r="C1534" s="4">
        <v>3.3149999999999999E-5</v>
      </c>
      <c r="D1534">
        <v>1.6639999999999999</v>
      </c>
      <c r="E1534">
        <v>1.948</v>
      </c>
      <c r="F1534">
        <v>18</v>
      </c>
      <c r="G1534" s="4">
        <v>6.4579999999999995E-5</v>
      </c>
      <c r="H1534">
        <v>3.3740000000000002E-4</v>
      </c>
      <c r="I1534">
        <v>1.9560000000000001E-4</v>
      </c>
    </row>
    <row r="1535" spans="1:9" x14ac:dyDescent="0.35">
      <c r="A1535">
        <v>25</v>
      </c>
      <c r="B1535" s="16" t="s">
        <v>627</v>
      </c>
      <c r="C1535" s="4">
        <v>4.9339999999999997E-8</v>
      </c>
      <c r="D1535">
        <v>2.2109999999999999</v>
      </c>
      <c r="E1535">
        <v>2.65</v>
      </c>
      <c r="F1535">
        <v>18</v>
      </c>
      <c r="G1535" s="4">
        <v>1.307E-7</v>
      </c>
      <c r="H1535" s="4">
        <v>6.8299999999999996E-7</v>
      </c>
      <c r="I1535" s="4">
        <v>3.96E-7</v>
      </c>
    </row>
    <row r="1536" spans="1:9" x14ac:dyDescent="0.35">
      <c r="A1536">
        <v>26</v>
      </c>
      <c r="B1536" s="16" t="s">
        <v>628</v>
      </c>
      <c r="C1536">
        <v>1.9760000000000001E-4</v>
      </c>
      <c r="D1536">
        <v>1.946</v>
      </c>
      <c r="E1536">
        <v>2.2130000000000001</v>
      </c>
      <c r="F1536">
        <v>18</v>
      </c>
      <c r="G1536">
        <v>4.372E-4</v>
      </c>
      <c r="H1536">
        <v>2.2850000000000001E-3</v>
      </c>
      <c r="I1536">
        <v>1.325E-3</v>
      </c>
    </row>
    <row r="1537" spans="1:10" x14ac:dyDescent="0.35">
      <c r="A1537">
        <v>27</v>
      </c>
      <c r="B1537" s="16" t="s">
        <v>629</v>
      </c>
      <c r="C1537" s="4">
        <v>1.462E-7</v>
      </c>
      <c r="D1537">
        <v>2</v>
      </c>
      <c r="E1537">
        <v>2.6539999999999999</v>
      </c>
      <c r="F1537">
        <v>18</v>
      </c>
      <c r="G1537" s="4">
        <v>3.8809999999999999E-7</v>
      </c>
      <c r="H1537" s="4">
        <v>2.0279999999999999E-6</v>
      </c>
      <c r="I1537" s="4">
        <v>1.176E-6</v>
      </c>
    </row>
    <row r="1538" spans="1:10" x14ac:dyDescent="0.35">
      <c r="A1538">
        <v>28</v>
      </c>
      <c r="B1538" s="16" t="s">
        <v>630</v>
      </c>
      <c r="C1538" s="4">
        <v>1.2569999999999999E-8</v>
      </c>
      <c r="D1538">
        <v>2.0960000000000001</v>
      </c>
      <c r="E1538">
        <v>2.4660000000000002</v>
      </c>
      <c r="F1538">
        <v>18</v>
      </c>
      <c r="G1538" s="4">
        <v>3.1E-8</v>
      </c>
      <c r="H1538" s="4">
        <v>1.6199999999999999E-7</v>
      </c>
      <c r="I1538" s="4">
        <v>9.3909999999999999E-8</v>
      </c>
    </row>
    <row r="1539" spans="1:10" x14ac:dyDescent="0.35">
      <c r="A1539">
        <v>29</v>
      </c>
      <c r="B1539" s="16" t="s">
        <v>631</v>
      </c>
      <c r="C1539" s="4">
        <v>3.1590000000000001E-5</v>
      </c>
      <c r="D1539">
        <v>1.786</v>
      </c>
      <c r="E1539">
        <v>2.0790000000000002</v>
      </c>
      <c r="F1539">
        <v>18</v>
      </c>
      <c r="G1539" s="4">
        <v>6.5679999999999995E-5</v>
      </c>
      <c r="H1539">
        <v>3.4319999999999999E-4</v>
      </c>
      <c r="I1539">
        <v>1.9900000000000001E-4</v>
      </c>
    </row>
    <row r="1540" spans="1:10" x14ac:dyDescent="0.35">
      <c r="A1540">
        <v>30</v>
      </c>
      <c r="B1540" s="16" t="s">
        <v>632</v>
      </c>
      <c r="C1540" s="4">
        <v>1.8779999999999999E-9</v>
      </c>
      <c r="D1540">
        <v>2.371</v>
      </c>
      <c r="E1540">
        <v>2.4990000000000001</v>
      </c>
      <c r="F1540">
        <v>18</v>
      </c>
      <c r="G1540" s="4">
        <v>4.6939999999999997E-9</v>
      </c>
      <c r="H1540" s="4">
        <v>2.4520000000000001E-8</v>
      </c>
      <c r="I1540" s="4">
        <v>1.4219999999999999E-8</v>
      </c>
    </row>
    <row r="1541" spans="1:10" x14ac:dyDescent="0.35">
      <c r="A1541">
        <v>31</v>
      </c>
      <c r="B1541" s="16" t="s">
        <v>633</v>
      </c>
      <c r="C1541">
        <v>2.2430000000000002E-3</v>
      </c>
      <c r="D1541">
        <v>1.5549999999999999</v>
      </c>
      <c r="E1541">
        <v>1.762</v>
      </c>
      <c r="F1541">
        <v>18</v>
      </c>
      <c r="G1541">
        <v>3.954E-3</v>
      </c>
      <c r="H1541">
        <v>2.0660000000000001E-2</v>
      </c>
      <c r="I1541">
        <v>1.1979999999999999E-2</v>
      </c>
    </row>
    <row r="1542" spans="1:10" x14ac:dyDescent="0.35">
      <c r="A1542">
        <v>32</v>
      </c>
      <c r="B1542" s="16" t="s">
        <v>634</v>
      </c>
      <c r="C1542" s="4">
        <v>2.85E-10</v>
      </c>
      <c r="D1542">
        <v>2.1459999999999999</v>
      </c>
      <c r="E1542">
        <v>2.5099999999999998</v>
      </c>
      <c r="F1542">
        <v>18</v>
      </c>
      <c r="G1542" s="4">
        <v>7.1559999999999999E-10</v>
      </c>
      <c r="H1542" s="4">
        <v>3.7389999999999996E-9</v>
      </c>
      <c r="I1542" s="4">
        <v>2.168E-9</v>
      </c>
    </row>
    <row r="1543" spans="1:10" x14ac:dyDescent="0.35">
      <c r="A1543">
        <v>33</v>
      </c>
      <c r="B1543" s="16" t="s">
        <v>464</v>
      </c>
      <c r="C1543">
        <v>0.1201</v>
      </c>
      <c r="D1543">
        <v>0.96879999999999999</v>
      </c>
      <c r="E1543">
        <v>1.155</v>
      </c>
      <c r="F1543">
        <v>18</v>
      </c>
      <c r="G1543">
        <v>0.13869999999999999</v>
      </c>
      <c r="H1543" t="s">
        <v>452</v>
      </c>
      <c r="I1543">
        <v>0.42020000000000002</v>
      </c>
    </row>
    <row r="1544" spans="1:10" x14ac:dyDescent="0.35">
      <c r="A1544">
        <v>34</v>
      </c>
      <c r="B1544" s="16" t="s">
        <v>466</v>
      </c>
      <c r="C1544">
        <v>5.815E-2</v>
      </c>
      <c r="D1544">
        <v>0.61860000000000004</v>
      </c>
      <c r="E1544">
        <v>0.7954</v>
      </c>
      <c r="F1544">
        <v>18</v>
      </c>
      <c r="G1544">
        <v>4.6249999999999999E-2</v>
      </c>
      <c r="H1544" t="s">
        <v>452</v>
      </c>
      <c r="I1544">
        <v>0.1946</v>
      </c>
    </row>
    <row r="1545" spans="1:10" x14ac:dyDescent="0.35">
      <c r="A1545">
        <v>35</v>
      </c>
      <c r="B1545" s="16" t="s">
        <v>467</v>
      </c>
      <c r="C1545">
        <v>0.50700000000000001</v>
      </c>
      <c r="D1545">
        <v>1.175</v>
      </c>
      <c r="E1545">
        <v>1.4159999999999999</v>
      </c>
      <c r="F1545">
        <v>18</v>
      </c>
      <c r="G1545">
        <v>0.71760000000000002</v>
      </c>
      <c r="H1545" t="s">
        <v>452</v>
      </c>
      <c r="I1545">
        <v>0.80079999999999996</v>
      </c>
    </row>
    <row r="1546" spans="1:10" x14ac:dyDescent="0.35">
      <c r="A1546">
        <v>36</v>
      </c>
      <c r="B1546" s="16" t="s">
        <v>469</v>
      </c>
      <c r="C1546">
        <v>0.50700000000000001</v>
      </c>
      <c r="D1546">
        <v>1.2629999999999999</v>
      </c>
      <c r="E1546">
        <v>1.512</v>
      </c>
      <c r="F1546">
        <v>18</v>
      </c>
      <c r="G1546">
        <v>0.76639999999999997</v>
      </c>
      <c r="H1546" t="s">
        <v>452</v>
      </c>
      <c r="I1546">
        <v>0.81110000000000004</v>
      </c>
    </row>
    <row r="1547" spans="1:10" x14ac:dyDescent="0.35">
      <c r="A1547" t="s">
        <v>701</v>
      </c>
      <c r="B1547" s="16"/>
    </row>
    <row r="1548" spans="1:10" x14ac:dyDescent="0.35">
      <c r="A1548" t="s">
        <v>700</v>
      </c>
      <c r="B1548" s="16"/>
    </row>
    <row r="1549" spans="1:10" x14ac:dyDescent="0.35">
      <c r="A1549" t="s">
        <v>470</v>
      </c>
      <c r="B1549" s="16"/>
    </row>
    <row r="1550" spans="1:10" x14ac:dyDescent="0.35">
      <c r="A1550" t="s">
        <v>471</v>
      </c>
      <c r="B1550" s="16"/>
    </row>
    <row r="1551" spans="1:10" x14ac:dyDescent="0.35">
      <c r="A1551" t="s">
        <v>965</v>
      </c>
      <c r="B1551" s="16"/>
      <c r="J1551">
        <v>57</v>
      </c>
    </row>
    <row r="1552" spans="1:10" x14ac:dyDescent="0.35">
      <c r="A1552" t="s">
        <v>700</v>
      </c>
      <c r="B1552" s="16"/>
    </row>
    <row r="1553" spans="1:9" x14ac:dyDescent="0.35">
      <c r="A1553" t="s">
        <v>438</v>
      </c>
      <c r="B1553" s="16"/>
    </row>
    <row r="1554" spans="1:9" x14ac:dyDescent="0.35">
      <c r="A1554" t="s">
        <v>439</v>
      </c>
      <c r="B1554" s="16"/>
    </row>
    <row r="1555" spans="1:9" x14ac:dyDescent="0.35">
      <c r="A1555" t="s">
        <v>441</v>
      </c>
      <c r="B1555" s="16"/>
    </row>
    <row r="1556" spans="1:9" x14ac:dyDescent="0.35">
      <c r="A1556" t="s">
        <v>701</v>
      </c>
      <c r="B1556" s="16"/>
    </row>
    <row r="1557" spans="1:9" x14ac:dyDescent="0.35">
      <c r="A1557" t="s">
        <v>442</v>
      </c>
      <c r="B1557" s="16" t="s">
        <v>443</v>
      </c>
      <c r="C1557" t="s">
        <v>444</v>
      </c>
      <c r="D1557" t="s">
        <v>445</v>
      </c>
      <c r="E1557" t="s">
        <v>445</v>
      </c>
      <c r="F1557" t="s">
        <v>446</v>
      </c>
      <c r="G1557" t="s">
        <v>447</v>
      </c>
      <c r="H1557" t="s">
        <v>448</v>
      </c>
      <c r="I1557" t="s">
        <v>448</v>
      </c>
    </row>
    <row r="1558" spans="1:9" x14ac:dyDescent="0.35">
      <c r="A1558" t="s">
        <v>450</v>
      </c>
      <c r="B1558" s="16" t="s">
        <v>451</v>
      </c>
      <c r="C1558" t="s">
        <v>452</v>
      </c>
      <c r="D1558" t="s">
        <v>453</v>
      </c>
      <c r="E1558" t="s">
        <v>454</v>
      </c>
      <c r="F1558" t="s">
        <v>455</v>
      </c>
      <c r="G1558" t="s">
        <v>456</v>
      </c>
      <c r="H1558" t="s">
        <v>457</v>
      </c>
      <c r="I1558" t="s">
        <v>458</v>
      </c>
    </row>
    <row r="1559" spans="1:9" x14ac:dyDescent="0.35">
      <c r="A1559" t="s">
        <v>702</v>
      </c>
      <c r="B1559" s="16" t="s">
        <v>703</v>
      </c>
      <c r="C1559" t="s">
        <v>704</v>
      </c>
      <c r="D1559" t="s">
        <v>704</v>
      </c>
      <c r="E1559" t="s">
        <v>704</v>
      </c>
      <c r="F1559" t="s">
        <v>705</v>
      </c>
      <c r="G1559" t="s">
        <v>704</v>
      </c>
      <c r="H1559" t="s">
        <v>704</v>
      </c>
      <c r="I1559" t="s">
        <v>704</v>
      </c>
    </row>
    <row r="1560" spans="1:9" x14ac:dyDescent="0.35">
      <c r="A1560">
        <v>1</v>
      </c>
      <c r="B1560" s="16" t="s">
        <v>596</v>
      </c>
      <c r="C1560">
        <v>5.8909999999999997E-2</v>
      </c>
      <c r="D1560">
        <v>1.6</v>
      </c>
      <c r="E1560">
        <v>1.29</v>
      </c>
      <c r="F1560">
        <v>10</v>
      </c>
      <c r="G1560">
        <v>7.6009999999999994E-2</v>
      </c>
      <c r="H1560">
        <v>0.4254</v>
      </c>
      <c r="I1560">
        <v>0.24540000000000001</v>
      </c>
    </row>
    <row r="1561" spans="1:9" x14ac:dyDescent="0.35">
      <c r="A1561">
        <v>2</v>
      </c>
      <c r="B1561" s="16" t="s">
        <v>597</v>
      </c>
      <c r="C1561">
        <v>1.8579999999999999E-2</v>
      </c>
      <c r="D1561">
        <v>1.611</v>
      </c>
      <c r="E1561">
        <v>1.8029999999999999</v>
      </c>
      <c r="F1561">
        <v>10</v>
      </c>
      <c r="G1561">
        <v>3.3520000000000001E-2</v>
      </c>
      <c r="H1561">
        <v>0.18759999999999999</v>
      </c>
      <c r="I1561">
        <v>0.1082</v>
      </c>
    </row>
    <row r="1562" spans="1:9" x14ac:dyDescent="0.35">
      <c r="A1562">
        <v>3</v>
      </c>
      <c r="B1562" s="16" t="s">
        <v>598</v>
      </c>
      <c r="C1562">
        <v>3.8170000000000001E-3</v>
      </c>
      <c r="D1562">
        <v>1.6970000000000001</v>
      </c>
      <c r="E1562">
        <v>1.7270000000000001</v>
      </c>
      <c r="F1562">
        <v>10</v>
      </c>
      <c r="G1562">
        <v>6.5929999999999999E-3</v>
      </c>
      <c r="H1562">
        <v>3.6900000000000002E-2</v>
      </c>
      <c r="I1562">
        <v>2.128E-2</v>
      </c>
    </row>
    <row r="1563" spans="1:9" x14ac:dyDescent="0.35">
      <c r="A1563">
        <v>4</v>
      </c>
      <c r="B1563" s="16" t="s">
        <v>599</v>
      </c>
      <c r="C1563">
        <v>6.9819999999999993E-2</v>
      </c>
      <c r="D1563">
        <v>1.1180000000000001</v>
      </c>
      <c r="E1563">
        <v>0.82840000000000003</v>
      </c>
      <c r="F1563">
        <v>10</v>
      </c>
      <c r="G1563">
        <v>5.7829999999999999E-2</v>
      </c>
      <c r="H1563">
        <v>0.32369999999999999</v>
      </c>
      <c r="I1563">
        <v>0.1867</v>
      </c>
    </row>
    <row r="1564" spans="1:9" x14ac:dyDescent="0.35">
      <c r="A1564">
        <v>5</v>
      </c>
      <c r="B1564" s="16" t="s">
        <v>600</v>
      </c>
      <c r="C1564">
        <v>5.9280000000000001E-3</v>
      </c>
      <c r="D1564">
        <v>0.62519999999999998</v>
      </c>
      <c r="E1564">
        <v>0.7974</v>
      </c>
      <c r="F1564">
        <v>10</v>
      </c>
      <c r="G1564">
        <v>4.7270000000000003E-3</v>
      </c>
      <c r="H1564">
        <v>2.6450000000000001E-2</v>
      </c>
      <c r="I1564">
        <v>1.5259999999999999E-2</v>
      </c>
    </row>
    <row r="1565" spans="1:9" x14ac:dyDescent="0.35">
      <c r="A1565">
        <v>6</v>
      </c>
      <c r="B1565" s="16" t="s">
        <v>464</v>
      </c>
      <c r="C1565">
        <v>0.20019999999999999</v>
      </c>
      <c r="D1565">
        <v>0.74780000000000002</v>
      </c>
      <c r="E1565">
        <v>0.65490000000000004</v>
      </c>
      <c r="F1565">
        <v>10</v>
      </c>
      <c r="G1565">
        <v>0.13109999999999999</v>
      </c>
      <c r="H1565" t="s">
        <v>452</v>
      </c>
      <c r="I1565">
        <v>0.42320000000000002</v>
      </c>
    </row>
    <row r="1566" spans="1:9" x14ac:dyDescent="0.35">
      <c r="A1566">
        <v>7</v>
      </c>
      <c r="B1566" s="16" t="s">
        <v>466</v>
      </c>
      <c r="C1566">
        <v>0.15479999999999999</v>
      </c>
      <c r="D1566">
        <v>0.50170000000000003</v>
      </c>
      <c r="E1566">
        <v>0.52929999999999999</v>
      </c>
      <c r="F1566">
        <v>10</v>
      </c>
      <c r="G1566">
        <v>8.1930000000000003E-2</v>
      </c>
      <c r="H1566" t="s">
        <v>452</v>
      </c>
      <c r="I1566">
        <v>0.31440000000000001</v>
      </c>
    </row>
    <row r="1567" spans="1:9" x14ac:dyDescent="0.35">
      <c r="A1567">
        <v>8</v>
      </c>
      <c r="B1567" s="16" t="s">
        <v>467</v>
      </c>
      <c r="C1567">
        <v>0.20019999999999999</v>
      </c>
      <c r="D1567">
        <v>0.86729999999999996</v>
      </c>
      <c r="E1567">
        <v>0.7238</v>
      </c>
      <c r="F1567">
        <v>10</v>
      </c>
      <c r="G1567">
        <v>0.1449</v>
      </c>
      <c r="H1567" t="s">
        <v>452</v>
      </c>
      <c r="I1567">
        <v>0.46410000000000001</v>
      </c>
    </row>
    <row r="1568" spans="1:9" x14ac:dyDescent="0.35">
      <c r="A1568">
        <v>9</v>
      </c>
      <c r="B1568" s="16" t="s">
        <v>469</v>
      </c>
      <c r="C1568">
        <v>0.49880000000000002</v>
      </c>
      <c r="D1568">
        <v>1.2130000000000001</v>
      </c>
      <c r="E1568">
        <v>0.98839999999999995</v>
      </c>
      <c r="F1568">
        <v>10</v>
      </c>
      <c r="G1568">
        <v>0.49309999999999998</v>
      </c>
      <c r="H1568" t="s">
        <v>452</v>
      </c>
      <c r="I1568">
        <v>0.78649999999999998</v>
      </c>
    </row>
    <row r="1569" spans="1:10" x14ac:dyDescent="0.35">
      <c r="A1569" t="s">
        <v>701</v>
      </c>
      <c r="B1569" s="16"/>
    </row>
    <row r="1570" spans="1:10" x14ac:dyDescent="0.35">
      <c r="A1570" t="s">
        <v>700</v>
      </c>
      <c r="B1570" s="16"/>
    </row>
    <row r="1571" spans="1:10" x14ac:dyDescent="0.35">
      <c r="A1571" t="s">
        <v>470</v>
      </c>
      <c r="B1571" s="16"/>
    </row>
    <row r="1572" spans="1:10" x14ac:dyDescent="0.35">
      <c r="A1572" t="s">
        <v>471</v>
      </c>
      <c r="B1572" s="16"/>
    </row>
    <row r="1573" spans="1:10" x14ac:dyDescent="0.35">
      <c r="A1573" t="s">
        <v>991</v>
      </c>
      <c r="B1573" s="16"/>
      <c r="F1573" s="95"/>
      <c r="J1573">
        <v>58</v>
      </c>
    </row>
    <row r="1574" spans="1:10" x14ac:dyDescent="0.35">
      <c r="A1574" t="s">
        <v>700</v>
      </c>
      <c r="B1574" s="16"/>
    </row>
    <row r="1575" spans="1:10" x14ac:dyDescent="0.35">
      <c r="A1575" t="s">
        <v>438</v>
      </c>
      <c r="B1575" s="16"/>
    </row>
    <row r="1576" spans="1:10" x14ac:dyDescent="0.35">
      <c r="A1576" t="s">
        <v>439</v>
      </c>
      <c r="B1576" s="16"/>
    </row>
    <row r="1577" spans="1:10" x14ac:dyDescent="0.35">
      <c r="A1577" t="s">
        <v>441</v>
      </c>
      <c r="B1577" s="16"/>
    </row>
    <row r="1578" spans="1:10" x14ac:dyDescent="0.35">
      <c r="A1578" t="s">
        <v>701</v>
      </c>
      <c r="B1578" s="16"/>
    </row>
    <row r="1579" spans="1:10" x14ac:dyDescent="0.35">
      <c r="A1579" t="s">
        <v>442</v>
      </c>
      <c r="B1579" s="16" t="s">
        <v>443</v>
      </c>
      <c r="C1579" t="s">
        <v>444</v>
      </c>
      <c r="D1579" t="s">
        <v>445</v>
      </c>
      <c r="E1579" t="s">
        <v>445</v>
      </c>
      <c r="F1579" t="s">
        <v>446</v>
      </c>
      <c r="G1579" t="s">
        <v>447</v>
      </c>
      <c r="H1579" t="s">
        <v>448</v>
      </c>
      <c r="I1579" t="s">
        <v>448</v>
      </c>
    </row>
    <row r="1580" spans="1:10" x14ac:dyDescent="0.35">
      <c r="A1580" t="s">
        <v>450</v>
      </c>
      <c r="B1580" s="16" t="s">
        <v>451</v>
      </c>
      <c r="C1580" t="s">
        <v>452</v>
      </c>
      <c r="D1580" t="s">
        <v>453</v>
      </c>
      <c r="E1580" t="s">
        <v>454</v>
      </c>
      <c r="F1580" t="s">
        <v>455</v>
      </c>
      <c r="G1580" t="s">
        <v>456</v>
      </c>
      <c r="H1580" t="s">
        <v>457</v>
      </c>
      <c r="I1580" t="s">
        <v>458</v>
      </c>
    </row>
    <row r="1581" spans="1:10" x14ac:dyDescent="0.35">
      <c r="A1581" t="s">
        <v>702</v>
      </c>
      <c r="B1581" s="16" t="s">
        <v>703</v>
      </c>
      <c r="C1581" t="s">
        <v>704</v>
      </c>
      <c r="D1581" t="s">
        <v>704</v>
      </c>
      <c r="E1581" t="s">
        <v>704</v>
      </c>
      <c r="F1581" t="s">
        <v>705</v>
      </c>
      <c r="G1581" t="s">
        <v>704</v>
      </c>
      <c r="H1581" t="s">
        <v>704</v>
      </c>
      <c r="I1581" t="s">
        <v>704</v>
      </c>
    </row>
    <row r="1582" spans="1:10" x14ac:dyDescent="0.35">
      <c r="A1582">
        <v>1</v>
      </c>
      <c r="B1582" s="16" t="s">
        <v>603</v>
      </c>
      <c r="C1582">
        <v>2.5329999999999998E-4</v>
      </c>
      <c r="D1582">
        <v>1.323</v>
      </c>
      <c r="E1582">
        <v>1.323</v>
      </c>
      <c r="F1582">
        <v>8</v>
      </c>
      <c r="G1582">
        <v>3.3510000000000001E-4</v>
      </c>
      <c r="H1582" s="4">
        <v>9.132E-5</v>
      </c>
      <c r="I1582" s="4">
        <v>7.7210000000000001E-5</v>
      </c>
    </row>
    <row r="1583" spans="1:10" x14ac:dyDescent="0.35">
      <c r="A1583">
        <v>2</v>
      </c>
      <c r="B1583" s="16" t="s">
        <v>604</v>
      </c>
      <c r="C1583">
        <v>1.566E-2</v>
      </c>
      <c r="D1583">
        <v>1.079</v>
      </c>
      <c r="E1583">
        <v>1.079</v>
      </c>
      <c r="F1583">
        <v>8</v>
      </c>
      <c r="G1583">
        <v>1.6910000000000001E-2</v>
      </c>
      <c r="H1583">
        <v>4.607E-3</v>
      </c>
      <c r="I1583">
        <v>3.895E-3</v>
      </c>
    </row>
    <row r="1584" spans="1:10" x14ac:dyDescent="0.35">
      <c r="A1584">
        <v>3</v>
      </c>
      <c r="B1584" s="16" t="s">
        <v>605</v>
      </c>
      <c r="C1584">
        <v>2.6509999999999999E-2</v>
      </c>
      <c r="D1584">
        <v>2.2290000000000001</v>
      </c>
      <c r="E1584">
        <v>2.2290000000000001</v>
      </c>
      <c r="F1584">
        <v>8</v>
      </c>
      <c r="G1584">
        <v>5.9110000000000003E-2</v>
      </c>
      <c r="H1584">
        <v>1.6109999999999999E-2</v>
      </c>
      <c r="I1584">
        <v>1.362E-2</v>
      </c>
    </row>
    <row r="1585" spans="1:9" x14ac:dyDescent="0.35">
      <c r="A1585">
        <v>4</v>
      </c>
      <c r="B1585" s="16" t="s">
        <v>606</v>
      </c>
      <c r="C1585">
        <v>0.68759999999999999</v>
      </c>
      <c r="D1585">
        <v>2.1</v>
      </c>
      <c r="E1585">
        <v>2.1</v>
      </c>
      <c r="F1585">
        <v>8</v>
      </c>
      <c r="G1585">
        <v>1.444</v>
      </c>
      <c r="H1585">
        <v>0.39360000000000001</v>
      </c>
      <c r="I1585">
        <v>0.33279999999999998</v>
      </c>
    </row>
    <row r="1586" spans="1:9" x14ac:dyDescent="0.35">
      <c r="A1586">
        <v>5</v>
      </c>
      <c r="B1586" s="16" t="s">
        <v>607</v>
      </c>
      <c r="C1586">
        <v>0.64</v>
      </c>
      <c r="D1586">
        <v>1.5249999999999999</v>
      </c>
      <c r="E1586">
        <v>1.5249999999999999</v>
      </c>
      <c r="F1586">
        <v>8</v>
      </c>
      <c r="G1586">
        <v>0.97609999999999997</v>
      </c>
      <c r="H1586">
        <v>0.26600000000000001</v>
      </c>
      <c r="I1586">
        <v>0.22489999999999999</v>
      </c>
    </row>
    <row r="1587" spans="1:9" x14ac:dyDescent="0.35">
      <c r="A1587">
        <v>6</v>
      </c>
      <c r="B1587" s="16" t="s">
        <v>634</v>
      </c>
      <c r="C1587">
        <v>6.6919999999999993E-2</v>
      </c>
      <c r="D1587">
        <v>1.3540000000000001</v>
      </c>
      <c r="E1587">
        <v>1.3540000000000001</v>
      </c>
      <c r="F1587">
        <v>8</v>
      </c>
      <c r="G1587">
        <v>9.0639999999999998E-2</v>
      </c>
      <c r="H1587">
        <v>2.47E-2</v>
      </c>
      <c r="I1587">
        <v>2.0889999999999999E-2</v>
      </c>
    </row>
    <row r="1588" spans="1:9" x14ac:dyDescent="0.35">
      <c r="A1588">
        <v>7</v>
      </c>
      <c r="B1588" s="16" t="s">
        <v>608</v>
      </c>
      <c r="C1588">
        <v>0.185</v>
      </c>
      <c r="D1588">
        <v>2.9569999999999999</v>
      </c>
      <c r="E1588">
        <v>2.9569999999999999</v>
      </c>
      <c r="F1588">
        <v>8</v>
      </c>
      <c r="G1588">
        <v>0.54710000000000003</v>
      </c>
      <c r="H1588">
        <v>0.14910000000000001</v>
      </c>
      <c r="I1588">
        <v>0.12609999999999999</v>
      </c>
    </row>
    <row r="1589" spans="1:9" x14ac:dyDescent="0.35">
      <c r="A1589">
        <v>8</v>
      </c>
      <c r="B1589" s="16" t="s">
        <v>609</v>
      </c>
      <c r="C1589">
        <v>2.6509999999999999E-2</v>
      </c>
      <c r="D1589">
        <v>1.7310000000000001</v>
      </c>
      <c r="E1589">
        <v>1.7310000000000001</v>
      </c>
      <c r="F1589">
        <v>8</v>
      </c>
      <c r="G1589">
        <v>4.5900000000000003E-2</v>
      </c>
      <c r="H1589">
        <v>1.251E-2</v>
      </c>
      <c r="I1589">
        <v>1.0580000000000001E-2</v>
      </c>
    </row>
    <row r="1590" spans="1:9" x14ac:dyDescent="0.35">
      <c r="A1590">
        <v>9</v>
      </c>
      <c r="B1590" s="16" t="s">
        <v>610</v>
      </c>
      <c r="C1590">
        <v>1.644E-2</v>
      </c>
      <c r="D1590">
        <v>1.9159999999999999</v>
      </c>
      <c r="E1590">
        <v>1.9159999999999999</v>
      </c>
      <c r="F1590">
        <v>8</v>
      </c>
      <c r="G1590">
        <v>3.1489999999999997E-2</v>
      </c>
      <c r="H1590">
        <v>8.5819999999999994E-3</v>
      </c>
      <c r="I1590">
        <v>7.2550000000000002E-3</v>
      </c>
    </row>
    <row r="1591" spans="1:9" x14ac:dyDescent="0.35">
      <c r="A1591">
        <v>10</v>
      </c>
      <c r="B1591" s="16" t="s">
        <v>611</v>
      </c>
      <c r="C1591">
        <v>0.17699999999999999</v>
      </c>
      <c r="D1591">
        <v>2.5830000000000002</v>
      </c>
      <c r="E1591">
        <v>2.5830000000000002</v>
      </c>
      <c r="F1591">
        <v>8</v>
      </c>
      <c r="G1591">
        <v>0.4572</v>
      </c>
      <c r="H1591">
        <v>0.1246</v>
      </c>
      <c r="I1591">
        <v>0.1053</v>
      </c>
    </row>
    <row r="1592" spans="1:9" x14ac:dyDescent="0.35">
      <c r="A1592">
        <v>11</v>
      </c>
      <c r="B1592" s="16" t="s">
        <v>651</v>
      </c>
      <c r="C1592" s="4">
        <v>4.9180000000000002E-6</v>
      </c>
      <c r="D1592">
        <v>1.3540000000000001</v>
      </c>
      <c r="E1592">
        <v>1.3540000000000001</v>
      </c>
      <c r="F1592">
        <v>8</v>
      </c>
      <c r="G1592" s="4">
        <v>6.6590000000000001E-6</v>
      </c>
      <c r="H1592" s="4">
        <v>1.815E-6</v>
      </c>
      <c r="I1592" s="4">
        <v>1.5340000000000001E-6</v>
      </c>
    </row>
    <row r="1593" spans="1:9" x14ac:dyDescent="0.35">
      <c r="A1593">
        <v>12</v>
      </c>
      <c r="B1593" s="16" t="s">
        <v>612</v>
      </c>
      <c r="C1593" s="4">
        <v>3.885E-8</v>
      </c>
      <c r="D1593">
        <v>3.3319999999999999</v>
      </c>
      <c r="E1593">
        <v>3.3319999999999999</v>
      </c>
      <c r="F1593">
        <v>8</v>
      </c>
      <c r="G1593" s="4">
        <v>1.2949999999999999E-7</v>
      </c>
      <c r="H1593" s="4">
        <v>3.5280000000000002E-8</v>
      </c>
      <c r="I1593" s="4">
        <v>2.9830000000000003E-8</v>
      </c>
    </row>
    <row r="1594" spans="1:9" x14ac:dyDescent="0.35">
      <c r="A1594">
        <v>13</v>
      </c>
      <c r="B1594" s="16" t="s">
        <v>464</v>
      </c>
      <c r="C1594">
        <v>0.64</v>
      </c>
      <c r="D1594">
        <v>1.048</v>
      </c>
      <c r="E1594">
        <v>1.048</v>
      </c>
      <c r="F1594">
        <v>8</v>
      </c>
      <c r="G1594">
        <v>0.67079999999999995</v>
      </c>
      <c r="H1594" t="s">
        <v>452</v>
      </c>
      <c r="I1594">
        <v>0.15459999999999999</v>
      </c>
    </row>
    <row r="1595" spans="1:9" x14ac:dyDescent="0.35">
      <c r="A1595">
        <v>14</v>
      </c>
      <c r="B1595" s="16" t="s">
        <v>466</v>
      </c>
      <c r="C1595">
        <v>0.53380000000000005</v>
      </c>
      <c r="D1595">
        <v>0.66930000000000001</v>
      </c>
      <c r="E1595">
        <v>0.66930000000000001</v>
      </c>
      <c r="F1595">
        <v>8</v>
      </c>
      <c r="G1595">
        <v>0.35730000000000001</v>
      </c>
      <c r="H1595" t="s">
        <v>452</v>
      </c>
      <c r="I1595">
        <v>8.8739999999999999E-2</v>
      </c>
    </row>
    <row r="1596" spans="1:9" x14ac:dyDescent="0.35">
      <c r="A1596">
        <v>15</v>
      </c>
      <c r="B1596" s="16" t="s">
        <v>467</v>
      </c>
      <c r="C1596">
        <v>0.68759999999999999</v>
      </c>
      <c r="D1596">
        <v>2.1</v>
      </c>
      <c r="E1596">
        <v>2.1</v>
      </c>
      <c r="F1596">
        <v>8</v>
      </c>
      <c r="G1596">
        <v>1.444</v>
      </c>
      <c r="H1596" t="s">
        <v>452</v>
      </c>
      <c r="I1596">
        <v>0.5</v>
      </c>
    </row>
    <row r="1597" spans="1:9" x14ac:dyDescent="0.35">
      <c r="A1597">
        <v>16</v>
      </c>
      <c r="B1597" s="16" t="s">
        <v>469</v>
      </c>
      <c r="C1597">
        <v>0.68759999999999999</v>
      </c>
      <c r="D1597">
        <v>2.1</v>
      </c>
      <c r="E1597">
        <v>2.1</v>
      </c>
      <c r="F1597">
        <v>8</v>
      </c>
      <c r="G1597">
        <v>1.444</v>
      </c>
      <c r="H1597" t="s">
        <v>452</v>
      </c>
      <c r="I1597">
        <v>0.5</v>
      </c>
    </row>
    <row r="1598" spans="1:9" x14ac:dyDescent="0.35">
      <c r="A1598" t="s">
        <v>701</v>
      </c>
      <c r="B1598" s="16"/>
    </row>
    <row r="1599" spans="1:9" x14ac:dyDescent="0.35">
      <c r="A1599" t="s">
        <v>700</v>
      </c>
      <c r="B1599" s="16"/>
    </row>
    <row r="1600" spans="1:9" x14ac:dyDescent="0.35">
      <c r="A1600" t="s">
        <v>470</v>
      </c>
      <c r="B1600" s="16"/>
    </row>
    <row r="1601" spans="1:10" x14ac:dyDescent="0.35">
      <c r="A1601" t="s">
        <v>471</v>
      </c>
      <c r="B1601" s="16"/>
    </row>
    <row r="1602" spans="1:10" x14ac:dyDescent="0.35">
      <c r="A1602" t="s">
        <v>1003</v>
      </c>
      <c r="B1602" s="16"/>
      <c r="J1602">
        <v>59</v>
      </c>
    </row>
    <row r="1603" spans="1:10" x14ac:dyDescent="0.35">
      <c r="A1603" t="s">
        <v>700</v>
      </c>
    </row>
    <row r="1604" spans="1:10" x14ac:dyDescent="0.35">
      <c r="A1604" t="s">
        <v>438</v>
      </c>
      <c r="B1604" s="16"/>
    </row>
    <row r="1605" spans="1:10" x14ac:dyDescent="0.35">
      <c r="A1605" t="s">
        <v>439</v>
      </c>
      <c r="B1605" s="16"/>
    </row>
    <row r="1606" spans="1:10" x14ac:dyDescent="0.35">
      <c r="A1606" t="s">
        <v>441</v>
      </c>
      <c r="B1606" s="16"/>
    </row>
    <row r="1607" spans="1:10" x14ac:dyDescent="0.35">
      <c r="A1607" t="s">
        <v>701</v>
      </c>
      <c r="B1607" s="16"/>
    </row>
    <row r="1608" spans="1:10" x14ac:dyDescent="0.35">
      <c r="A1608" t="s">
        <v>442</v>
      </c>
      <c r="B1608" s="16" t="s">
        <v>443</v>
      </c>
      <c r="C1608" t="s">
        <v>444</v>
      </c>
      <c r="D1608" t="s">
        <v>445</v>
      </c>
      <c r="E1608" t="s">
        <v>445</v>
      </c>
      <c r="F1608" t="s">
        <v>446</v>
      </c>
      <c r="G1608" t="s">
        <v>447</v>
      </c>
      <c r="H1608" t="s">
        <v>448</v>
      </c>
      <c r="I1608" t="s">
        <v>448</v>
      </c>
    </row>
    <row r="1609" spans="1:10" x14ac:dyDescent="0.35">
      <c r="A1609" t="s">
        <v>450</v>
      </c>
      <c r="B1609" s="16" t="s">
        <v>451</v>
      </c>
      <c r="C1609" t="s">
        <v>452</v>
      </c>
      <c r="D1609" t="s">
        <v>453</v>
      </c>
      <c r="E1609" t="s">
        <v>454</v>
      </c>
      <c r="F1609" t="s">
        <v>455</v>
      </c>
      <c r="G1609" t="s">
        <v>456</v>
      </c>
      <c r="H1609" t="s">
        <v>457</v>
      </c>
      <c r="I1609" t="s">
        <v>458</v>
      </c>
    </row>
    <row r="1610" spans="1:10" x14ac:dyDescent="0.35">
      <c r="A1610" t="s">
        <v>702</v>
      </c>
      <c r="B1610" s="16" t="s">
        <v>703</v>
      </c>
      <c r="C1610" t="s">
        <v>704</v>
      </c>
      <c r="D1610" t="s">
        <v>704</v>
      </c>
      <c r="E1610" t="s">
        <v>704</v>
      </c>
      <c r="F1610" t="s">
        <v>705</v>
      </c>
      <c r="G1610" t="s">
        <v>704</v>
      </c>
      <c r="H1610" t="s">
        <v>704</v>
      </c>
      <c r="I1610" t="s">
        <v>704</v>
      </c>
    </row>
    <row r="1611" spans="1:10" x14ac:dyDescent="0.35">
      <c r="A1611">
        <v>1</v>
      </c>
      <c r="B1611" s="16" t="s">
        <v>515</v>
      </c>
      <c r="C1611">
        <v>0.2225</v>
      </c>
      <c r="D1611">
        <v>1.024</v>
      </c>
      <c r="E1611">
        <v>0.98370000000000002</v>
      </c>
      <c r="F1611">
        <v>14</v>
      </c>
      <c r="G1611">
        <v>0.21890000000000001</v>
      </c>
      <c r="H1611">
        <v>4.215E-2</v>
      </c>
      <c r="I1611">
        <v>4.1029999999999997E-2</v>
      </c>
    </row>
    <row r="1612" spans="1:10" x14ac:dyDescent="0.35">
      <c r="A1612">
        <v>2</v>
      </c>
      <c r="B1612" s="16" t="s">
        <v>516</v>
      </c>
      <c r="C1612">
        <v>0.35649999999999998</v>
      </c>
      <c r="D1612">
        <v>1.1379999999999999</v>
      </c>
      <c r="E1612">
        <v>0.86439999999999995</v>
      </c>
      <c r="F1612">
        <v>14</v>
      </c>
      <c r="G1612">
        <v>0.30819999999999997</v>
      </c>
      <c r="H1612">
        <v>5.9330000000000001E-2</v>
      </c>
      <c r="I1612">
        <v>5.7759999999999999E-2</v>
      </c>
    </row>
    <row r="1613" spans="1:10" x14ac:dyDescent="0.35">
      <c r="A1613">
        <v>3</v>
      </c>
      <c r="B1613" s="16" t="s">
        <v>517</v>
      </c>
      <c r="C1613">
        <v>0.56910000000000005</v>
      </c>
      <c r="D1613">
        <v>1.518</v>
      </c>
      <c r="E1613">
        <v>1.7230000000000001</v>
      </c>
      <c r="F1613">
        <v>14</v>
      </c>
      <c r="G1613">
        <v>0.98070000000000002</v>
      </c>
      <c r="H1613">
        <v>0.1888</v>
      </c>
      <c r="I1613">
        <v>0.18379999999999999</v>
      </c>
    </row>
    <row r="1614" spans="1:10" x14ac:dyDescent="0.35">
      <c r="A1614">
        <v>4</v>
      </c>
      <c r="B1614" s="16" t="s">
        <v>518</v>
      </c>
      <c r="C1614">
        <v>2.202E-3</v>
      </c>
      <c r="D1614">
        <v>1.331</v>
      </c>
      <c r="E1614">
        <v>1.9139999999999999</v>
      </c>
      <c r="F1614">
        <v>14</v>
      </c>
      <c r="G1614">
        <v>4.2160000000000001E-3</v>
      </c>
      <c r="H1614">
        <v>8.116E-4</v>
      </c>
      <c r="I1614">
        <v>7.9009999999999996E-4</v>
      </c>
    </row>
    <row r="1615" spans="1:10" x14ac:dyDescent="0.35">
      <c r="A1615">
        <v>5</v>
      </c>
      <c r="B1615" s="16" t="s">
        <v>584</v>
      </c>
      <c r="C1615">
        <v>2.019E-2</v>
      </c>
      <c r="D1615">
        <v>1.4970000000000001</v>
      </c>
      <c r="E1615">
        <v>1.7729999999999999</v>
      </c>
      <c r="F1615">
        <v>14</v>
      </c>
      <c r="G1615">
        <v>3.5790000000000002E-2</v>
      </c>
      <c r="H1615">
        <v>6.8900000000000003E-3</v>
      </c>
      <c r="I1615">
        <v>6.7070000000000003E-3</v>
      </c>
    </row>
    <row r="1616" spans="1:10" x14ac:dyDescent="0.35">
      <c r="A1616">
        <v>6</v>
      </c>
      <c r="B1616" s="16" t="s">
        <v>585</v>
      </c>
      <c r="C1616">
        <v>6.7819999999999998E-3</v>
      </c>
      <c r="D1616">
        <v>0.78839999999999999</v>
      </c>
      <c r="E1616">
        <v>0.82089999999999996</v>
      </c>
      <c r="F1616">
        <v>14</v>
      </c>
      <c r="G1616">
        <v>5.568E-3</v>
      </c>
      <c r="H1616">
        <v>1.072E-3</v>
      </c>
      <c r="I1616">
        <v>1.044E-3</v>
      </c>
    </row>
    <row r="1617" spans="1:9" x14ac:dyDescent="0.35">
      <c r="A1617">
        <v>7</v>
      </c>
      <c r="B1617" s="16" t="s">
        <v>579</v>
      </c>
      <c r="C1617">
        <v>1.6100000000000001E-3</v>
      </c>
      <c r="D1617">
        <v>1.448</v>
      </c>
      <c r="E1617">
        <v>1.177</v>
      </c>
      <c r="F1617">
        <v>14</v>
      </c>
      <c r="G1617">
        <v>1.8940000000000001E-3</v>
      </c>
      <c r="H1617">
        <v>3.6469999999999997E-4</v>
      </c>
      <c r="I1617">
        <v>3.5500000000000001E-4</v>
      </c>
    </row>
    <row r="1618" spans="1:9" x14ac:dyDescent="0.35">
      <c r="A1618">
        <v>8</v>
      </c>
      <c r="B1618" s="16" t="s">
        <v>580</v>
      </c>
      <c r="C1618">
        <v>1.168E-3</v>
      </c>
      <c r="D1618">
        <v>0.94550000000000001</v>
      </c>
      <c r="E1618">
        <v>1.2130000000000001</v>
      </c>
      <c r="F1618">
        <v>14</v>
      </c>
      <c r="G1618">
        <v>1.4159999999999999E-3</v>
      </c>
      <c r="H1618">
        <v>2.7270000000000001E-4</v>
      </c>
      <c r="I1618">
        <v>2.655E-4</v>
      </c>
    </row>
    <row r="1619" spans="1:9" x14ac:dyDescent="0.35">
      <c r="A1619">
        <v>9</v>
      </c>
      <c r="B1619" s="16" t="s">
        <v>586</v>
      </c>
      <c r="C1619">
        <v>0.56910000000000005</v>
      </c>
      <c r="D1619">
        <v>1.234</v>
      </c>
      <c r="E1619">
        <v>1.0289999999999999</v>
      </c>
      <c r="F1619">
        <v>14</v>
      </c>
      <c r="G1619">
        <v>0.58579999999999999</v>
      </c>
      <c r="H1619">
        <v>0.1128</v>
      </c>
      <c r="I1619">
        <v>0.10979999999999999</v>
      </c>
    </row>
    <row r="1620" spans="1:9" x14ac:dyDescent="0.35">
      <c r="A1620">
        <v>10</v>
      </c>
      <c r="B1620" s="16" t="s">
        <v>500</v>
      </c>
      <c r="C1620">
        <v>0.65900000000000003</v>
      </c>
      <c r="D1620">
        <v>0.94420000000000004</v>
      </c>
      <c r="E1620">
        <v>0.64</v>
      </c>
      <c r="F1620">
        <v>14</v>
      </c>
      <c r="G1620">
        <v>0.42180000000000001</v>
      </c>
      <c r="H1620">
        <v>8.1199999999999994E-2</v>
      </c>
      <c r="I1620">
        <v>7.9049999999999995E-2</v>
      </c>
    </row>
    <row r="1621" spans="1:9" x14ac:dyDescent="0.35">
      <c r="A1621">
        <v>11</v>
      </c>
      <c r="B1621" s="16" t="s">
        <v>501</v>
      </c>
      <c r="C1621">
        <v>0.89849999999999997</v>
      </c>
      <c r="D1621">
        <v>1.0009999999999999</v>
      </c>
      <c r="E1621">
        <v>1.169</v>
      </c>
      <c r="F1621">
        <v>14</v>
      </c>
      <c r="G1621">
        <v>1.0509999999999999</v>
      </c>
      <c r="H1621">
        <v>0.20230000000000001</v>
      </c>
      <c r="I1621">
        <v>0.19689999999999999</v>
      </c>
    </row>
    <row r="1622" spans="1:9" x14ac:dyDescent="0.35">
      <c r="A1622">
        <v>12</v>
      </c>
      <c r="B1622" s="16" t="s">
        <v>502</v>
      </c>
      <c r="C1622">
        <v>9.8429999999999993E-3</v>
      </c>
      <c r="D1622">
        <v>1.3859999999999999</v>
      </c>
      <c r="E1622">
        <v>1.889</v>
      </c>
      <c r="F1622">
        <v>14</v>
      </c>
      <c r="G1622">
        <v>1.8589999999999999E-2</v>
      </c>
      <c r="H1622">
        <v>3.5799999999999998E-3</v>
      </c>
      <c r="I1622">
        <v>3.4849999999999998E-3</v>
      </c>
    </row>
    <row r="1623" spans="1:9" x14ac:dyDescent="0.35">
      <c r="A1623">
        <v>13</v>
      </c>
      <c r="B1623" s="16" t="s">
        <v>581</v>
      </c>
      <c r="C1623">
        <v>9.0929999999999997E-2</v>
      </c>
      <c r="D1623">
        <v>0.92949999999999999</v>
      </c>
      <c r="E1623">
        <v>0.95599999999999996</v>
      </c>
      <c r="F1623">
        <v>14</v>
      </c>
      <c r="G1623">
        <v>8.6929999999999993E-2</v>
      </c>
      <c r="H1623">
        <v>1.6740000000000001E-2</v>
      </c>
      <c r="I1623">
        <v>1.6289999999999999E-2</v>
      </c>
    </row>
    <row r="1624" spans="1:9" x14ac:dyDescent="0.35">
      <c r="A1624">
        <v>14</v>
      </c>
      <c r="B1624" s="16" t="s">
        <v>587</v>
      </c>
      <c r="C1624">
        <v>0.89849999999999997</v>
      </c>
      <c r="D1624">
        <v>1.0780000000000001</v>
      </c>
      <c r="E1624">
        <v>1.2230000000000001</v>
      </c>
      <c r="F1624">
        <v>14</v>
      </c>
      <c r="G1624">
        <v>1.099</v>
      </c>
      <c r="H1624">
        <v>0.21160000000000001</v>
      </c>
      <c r="I1624">
        <v>0.20599999999999999</v>
      </c>
    </row>
    <row r="1625" spans="1:9" x14ac:dyDescent="0.35">
      <c r="A1625">
        <v>15</v>
      </c>
      <c r="B1625" s="16" t="s">
        <v>588</v>
      </c>
      <c r="C1625">
        <v>4.827E-2</v>
      </c>
      <c r="D1625">
        <v>1.494</v>
      </c>
      <c r="E1625">
        <v>1.617</v>
      </c>
      <c r="F1625">
        <v>14</v>
      </c>
      <c r="G1625">
        <v>7.8060000000000004E-2</v>
      </c>
      <c r="H1625">
        <v>1.503E-2</v>
      </c>
      <c r="I1625">
        <v>1.4630000000000001E-2</v>
      </c>
    </row>
    <row r="1626" spans="1:9" x14ac:dyDescent="0.35">
      <c r="A1626">
        <v>16</v>
      </c>
      <c r="B1626" s="16" t="s">
        <v>589</v>
      </c>
      <c r="C1626">
        <v>0.2324</v>
      </c>
      <c r="D1626">
        <v>1.4339999999999999</v>
      </c>
      <c r="E1626">
        <v>1.1779999999999999</v>
      </c>
      <c r="F1626">
        <v>14</v>
      </c>
      <c r="G1626">
        <v>0.27379999999999999</v>
      </c>
      <c r="H1626">
        <v>5.2720000000000003E-2</v>
      </c>
      <c r="I1626">
        <v>5.1319999999999998E-2</v>
      </c>
    </row>
    <row r="1627" spans="1:9" x14ac:dyDescent="0.35">
      <c r="A1627">
        <v>17</v>
      </c>
      <c r="B1627" s="16" t="s">
        <v>590</v>
      </c>
      <c r="C1627" s="4">
        <v>3.5219999999999998E-10</v>
      </c>
      <c r="D1627">
        <v>1.56</v>
      </c>
      <c r="E1627">
        <v>2.3809999999999998</v>
      </c>
      <c r="F1627">
        <v>14</v>
      </c>
      <c r="G1627" s="4">
        <v>8.3870000000000001E-10</v>
      </c>
      <c r="H1627" s="4">
        <v>1.6150000000000001E-10</v>
      </c>
      <c r="I1627" s="4">
        <v>1.5720000000000001E-10</v>
      </c>
    </row>
    <row r="1628" spans="1:9" x14ac:dyDescent="0.35">
      <c r="A1628">
        <v>18</v>
      </c>
      <c r="B1628" s="16" t="s">
        <v>591</v>
      </c>
      <c r="C1628">
        <v>1.345E-2</v>
      </c>
      <c r="D1628">
        <v>0.9677</v>
      </c>
      <c r="E1628">
        <v>1.452</v>
      </c>
      <c r="F1628">
        <v>14</v>
      </c>
      <c r="G1628">
        <v>1.9539999999999998E-2</v>
      </c>
      <c r="H1628">
        <v>3.761E-3</v>
      </c>
      <c r="I1628">
        <v>3.6610000000000002E-3</v>
      </c>
    </row>
    <row r="1629" spans="1:9" x14ac:dyDescent="0.35">
      <c r="A1629">
        <v>19</v>
      </c>
      <c r="B1629" s="16" t="s">
        <v>582</v>
      </c>
      <c r="C1629" s="4">
        <v>1.9040000000000001E-5</v>
      </c>
      <c r="D1629">
        <v>1.792</v>
      </c>
      <c r="E1629">
        <v>1.734</v>
      </c>
      <c r="F1629">
        <v>14</v>
      </c>
      <c r="G1629" s="4">
        <v>3.3019999999999999E-5</v>
      </c>
      <c r="H1629" s="4">
        <v>6.3579999999999999E-6</v>
      </c>
      <c r="I1629" s="4">
        <v>6.1890000000000004E-6</v>
      </c>
    </row>
    <row r="1630" spans="1:9" x14ac:dyDescent="0.35">
      <c r="A1630">
        <v>20</v>
      </c>
      <c r="B1630" s="16" t="s">
        <v>583</v>
      </c>
      <c r="C1630">
        <v>3.3159999999999999E-3</v>
      </c>
      <c r="D1630">
        <v>0.98329999999999995</v>
      </c>
      <c r="E1630">
        <v>0.9798</v>
      </c>
      <c r="F1630">
        <v>14</v>
      </c>
      <c r="G1630">
        <v>3.2499999999999999E-3</v>
      </c>
      <c r="H1630">
        <v>6.2560000000000003E-4</v>
      </c>
      <c r="I1630">
        <v>6.0899999999999995E-4</v>
      </c>
    </row>
    <row r="1631" spans="1:9" x14ac:dyDescent="0.35">
      <c r="A1631">
        <v>21</v>
      </c>
      <c r="B1631" s="16" t="s">
        <v>464</v>
      </c>
      <c r="C1631">
        <v>0.35649999999999998</v>
      </c>
      <c r="D1631">
        <v>0.46089999999999998</v>
      </c>
      <c r="E1631">
        <v>0.39660000000000001</v>
      </c>
      <c r="F1631">
        <v>14</v>
      </c>
      <c r="G1631">
        <v>0.1414</v>
      </c>
      <c r="H1631" t="s">
        <v>452</v>
      </c>
      <c r="I1631">
        <v>2.6499999999999999E-2</v>
      </c>
    </row>
    <row r="1632" spans="1:9" x14ac:dyDescent="0.35">
      <c r="A1632">
        <v>22</v>
      </c>
      <c r="B1632" s="16" t="s">
        <v>466</v>
      </c>
      <c r="C1632">
        <v>0.35649999999999998</v>
      </c>
      <c r="D1632">
        <v>0.32919999999999999</v>
      </c>
      <c r="E1632">
        <v>0.3115</v>
      </c>
      <c r="F1632">
        <v>14</v>
      </c>
      <c r="G1632">
        <v>0.1111</v>
      </c>
      <c r="H1632" t="s">
        <v>452</v>
      </c>
      <c r="I1632">
        <v>2.0930000000000001E-2</v>
      </c>
    </row>
    <row r="1633" spans="1:10" x14ac:dyDescent="0.35">
      <c r="A1633">
        <v>23</v>
      </c>
      <c r="B1633" s="16" t="s">
        <v>467</v>
      </c>
      <c r="C1633">
        <v>0.3992</v>
      </c>
      <c r="D1633">
        <v>0.73419999999999996</v>
      </c>
      <c r="E1633">
        <v>0.82679999999999998</v>
      </c>
      <c r="F1633">
        <v>14</v>
      </c>
      <c r="G1633">
        <v>0.33</v>
      </c>
      <c r="H1633" t="s">
        <v>452</v>
      </c>
      <c r="I1633">
        <v>0.1331</v>
      </c>
    </row>
    <row r="1634" spans="1:10" x14ac:dyDescent="0.35">
      <c r="A1634">
        <v>24</v>
      </c>
      <c r="B1634" s="16" t="s">
        <v>469</v>
      </c>
      <c r="C1634">
        <v>0.3992</v>
      </c>
      <c r="D1634">
        <v>0.75109999999999999</v>
      </c>
      <c r="E1634">
        <v>0.85289999999999999</v>
      </c>
      <c r="F1634">
        <v>14</v>
      </c>
      <c r="G1634">
        <v>0.34050000000000002</v>
      </c>
      <c r="H1634" t="s">
        <v>452</v>
      </c>
      <c r="I1634">
        <v>0.13669999999999999</v>
      </c>
    </row>
    <row r="1635" spans="1:10" x14ac:dyDescent="0.35">
      <c r="A1635" t="s">
        <v>701</v>
      </c>
      <c r="B1635" s="16"/>
    </row>
    <row r="1636" spans="1:10" x14ac:dyDescent="0.35">
      <c r="A1636" t="s">
        <v>700</v>
      </c>
      <c r="B1636" s="16"/>
    </row>
    <row r="1637" spans="1:10" x14ac:dyDescent="0.35">
      <c r="A1637" t="s">
        <v>470</v>
      </c>
      <c r="B1637" s="16"/>
    </row>
    <row r="1638" spans="1:10" x14ac:dyDescent="0.35">
      <c r="A1638" t="s">
        <v>471</v>
      </c>
      <c r="B1638" s="16"/>
    </row>
    <row r="1639" spans="1:10" x14ac:dyDescent="0.35">
      <c r="A1639" t="s">
        <v>1004</v>
      </c>
      <c r="B1639" s="16"/>
      <c r="J1639">
        <v>60</v>
      </c>
    </row>
    <row r="1640" spans="1:10" x14ac:dyDescent="0.35">
      <c r="A1640" t="s">
        <v>700</v>
      </c>
      <c r="B1640" s="16"/>
    </row>
    <row r="1641" spans="1:10" x14ac:dyDescent="0.35">
      <c r="A1641" t="s">
        <v>438</v>
      </c>
      <c r="B1641" s="16"/>
    </row>
    <row r="1642" spans="1:10" x14ac:dyDescent="0.35">
      <c r="A1642" t="s">
        <v>439</v>
      </c>
      <c r="B1642" s="16"/>
    </row>
    <row r="1643" spans="1:10" x14ac:dyDescent="0.35">
      <c r="A1643" t="s">
        <v>441</v>
      </c>
      <c r="B1643" s="16"/>
    </row>
    <row r="1644" spans="1:10" x14ac:dyDescent="0.35">
      <c r="A1644" t="s">
        <v>701</v>
      </c>
      <c r="B1644" s="16"/>
    </row>
    <row r="1645" spans="1:10" x14ac:dyDescent="0.35">
      <c r="A1645" t="s">
        <v>442</v>
      </c>
      <c r="B1645" s="16" t="s">
        <v>443</v>
      </c>
      <c r="C1645" t="s">
        <v>444</v>
      </c>
      <c r="D1645" t="s">
        <v>445</v>
      </c>
      <c r="E1645" t="s">
        <v>445</v>
      </c>
      <c r="F1645" t="s">
        <v>446</v>
      </c>
      <c r="G1645" t="s">
        <v>447</v>
      </c>
      <c r="H1645" t="s">
        <v>448</v>
      </c>
      <c r="I1645" t="s">
        <v>448</v>
      </c>
    </row>
    <row r="1646" spans="1:10" x14ac:dyDescent="0.35">
      <c r="A1646" t="s">
        <v>450</v>
      </c>
      <c r="B1646" s="16" t="s">
        <v>451</v>
      </c>
      <c r="C1646" t="s">
        <v>452</v>
      </c>
      <c r="D1646" t="s">
        <v>453</v>
      </c>
      <c r="E1646" t="s">
        <v>454</v>
      </c>
      <c r="F1646" t="s">
        <v>455</v>
      </c>
      <c r="G1646" t="s">
        <v>456</v>
      </c>
      <c r="H1646" t="s">
        <v>457</v>
      </c>
      <c r="I1646" t="s">
        <v>458</v>
      </c>
    </row>
    <row r="1647" spans="1:10" x14ac:dyDescent="0.35">
      <c r="A1647" t="s">
        <v>702</v>
      </c>
      <c r="B1647" s="16" t="s">
        <v>703</v>
      </c>
      <c r="C1647" t="s">
        <v>704</v>
      </c>
      <c r="D1647" t="s">
        <v>704</v>
      </c>
      <c r="E1647" t="s">
        <v>704</v>
      </c>
      <c r="F1647" t="s">
        <v>705</v>
      </c>
      <c r="G1647" t="s">
        <v>704</v>
      </c>
      <c r="H1647" t="s">
        <v>704</v>
      </c>
      <c r="I1647" t="s">
        <v>704</v>
      </c>
    </row>
    <row r="1648" spans="1:10" x14ac:dyDescent="0.35">
      <c r="A1648">
        <v>1</v>
      </c>
      <c r="B1648" s="17" t="s">
        <v>515</v>
      </c>
      <c r="C1648">
        <v>1.8459999999999999E-4</v>
      </c>
      <c r="D1648">
        <v>2.4169999999999998</v>
      </c>
      <c r="E1648">
        <v>2.7010000000000001</v>
      </c>
      <c r="F1648">
        <v>15</v>
      </c>
      <c r="G1648">
        <v>4.9859999999999998E-4</v>
      </c>
      <c r="H1648">
        <v>2.7680000000000001E-4</v>
      </c>
      <c r="I1648">
        <v>2.4489999999999999E-4</v>
      </c>
    </row>
    <row r="1649" spans="1:9" x14ac:dyDescent="0.35">
      <c r="A1649">
        <v>2</v>
      </c>
      <c r="B1649" s="17" t="s">
        <v>516</v>
      </c>
      <c r="C1649" s="4">
        <v>1.1710000000000001E-6</v>
      </c>
      <c r="D1649">
        <v>3.226</v>
      </c>
      <c r="E1649">
        <v>3.5139999999999998</v>
      </c>
      <c r="F1649">
        <v>15</v>
      </c>
      <c r="G1649" s="4">
        <v>4.1150000000000004E-6</v>
      </c>
      <c r="H1649" s="4">
        <v>2.2850000000000001E-6</v>
      </c>
      <c r="I1649" s="4">
        <v>2.0209999999999998E-6</v>
      </c>
    </row>
    <row r="1650" spans="1:9" x14ac:dyDescent="0.35">
      <c r="A1650">
        <v>3</v>
      </c>
      <c r="B1650" s="17" t="s">
        <v>517</v>
      </c>
      <c r="C1650" s="4">
        <v>7.7009999999999996E-10</v>
      </c>
      <c r="D1650">
        <v>2.411</v>
      </c>
      <c r="E1650">
        <v>2.0030000000000001</v>
      </c>
      <c r="F1650">
        <v>15</v>
      </c>
      <c r="G1650" s="4">
        <v>1.5429999999999999E-9</v>
      </c>
      <c r="H1650" s="4">
        <v>8.5639999999999996E-10</v>
      </c>
      <c r="I1650" s="4">
        <v>7.5760000000000005E-10</v>
      </c>
    </row>
    <row r="1651" spans="1:9" x14ac:dyDescent="0.35">
      <c r="A1651">
        <v>4</v>
      </c>
      <c r="B1651" s="17" t="s">
        <v>584</v>
      </c>
      <c r="C1651">
        <v>8.4229999999999999E-2</v>
      </c>
      <c r="D1651">
        <v>1.948</v>
      </c>
      <c r="E1651">
        <v>2.0259999999999998</v>
      </c>
      <c r="F1651">
        <v>15</v>
      </c>
      <c r="G1651">
        <v>0.17069999999999999</v>
      </c>
      <c r="H1651">
        <v>9.4729999999999995E-2</v>
      </c>
      <c r="I1651">
        <v>8.3799999999999999E-2</v>
      </c>
    </row>
    <row r="1652" spans="1:9" x14ac:dyDescent="0.35">
      <c r="A1652">
        <v>5</v>
      </c>
      <c r="B1652" s="17" t="s">
        <v>585</v>
      </c>
      <c r="C1652">
        <v>1.482E-3</v>
      </c>
      <c r="D1652">
        <v>1.6679999999999999</v>
      </c>
      <c r="E1652">
        <v>1.3049999999999999</v>
      </c>
      <c r="F1652">
        <v>15</v>
      </c>
      <c r="G1652">
        <v>1.9350000000000001E-3</v>
      </c>
      <c r="H1652">
        <v>1.0740000000000001E-3</v>
      </c>
      <c r="I1652">
        <v>9.502E-4</v>
      </c>
    </row>
    <row r="1653" spans="1:9" x14ac:dyDescent="0.35">
      <c r="A1653">
        <v>6</v>
      </c>
      <c r="B1653" s="17" t="s">
        <v>579</v>
      </c>
      <c r="C1653">
        <v>1.8459999999999999E-4</v>
      </c>
      <c r="D1653">
        <v>2.423</v>
      </c>
      <c r="E1653">
        <v>2.3820000000000001</v>
      </c>
      <c r="F1653">
        <v>15</v>
      </c>
      <c r="G1653">
        <v>4.3980000000000001E-4</v>
      </c>
      <c r="H1653">
        <v>2.441E-4</v>
      </c>
      <c r="I1653">
        <v>2.1599999999999999E-4</v>
      </c>
    </row>
    <row r="1654" spans="1:9" x14ac:dyDescent="0.35">
      <c r="A1654">
        <v>7</v>
      </c>
      <c r="B1654" s="17" t="s">
        <v>580</v>
      </c>
      <c r="C1654" s="4">
        <v>3.4799999999999999E-5</v>
      </c>
      <c r="D1654">
        <v>2.6789999999999998</v>
      </c>
      <c r="E1654">
        <v>2.327</v>
      </c>
      <c r="F1654">
        <v>15</v>
      </c>
      <c r="G1654" s="4">
        <v>8.0980000000000001E-5</v>
      </c>
      <c r="H1654" s="4">
        <v>4.4950000000000002E-5</v>
      </c>
      <c r="I1654" s="4">
        <v>3.9759999999999999E-5</v>
      </c>
    </row>
    <row r="1655" spans="1:9" x14ac:dyDescent="0.35">
      <c r="A1655">
        <v>8</v>
      </c>
      <c r="B1655" s="17" t="s">
        <v>586</v>
      </c>
      <c r="C1655" s="4">
        <v>8.0840000000000005E-5</v>
      </c>
      <c r="D1655">
        <v>2.581</v>
      </c>
      <c r="E1655">
        <v>2.5489999999999999</v>
      </c>
      <c r="F1655">
        <v>15</v>
      </c>
      <c r="G1655">
        <v>2.061E-4</v>
      </c>
      <c r="H1655">
        <v>1.144E-4</v>
      </c>
      <c r="I1655">
        <v>1.0119999999999999E-4</v>
      </c>
    </row>
    <row r="1656" spans="1:9" x14ac:dyDescent="0.35">
      <c r="A1656">
        <v>9</v>
      </c>
      <c r="B1656" s="17" t="s">
        <v>500</v>
      </c>
      <c r="C1656">
        <v>0.43109999999999998</v>
      </c>
      <c r="D1656">
        <v>1.365</v>
      </c>
      <c r="E1656">
        <v>1.2470000000000001</v>
      </c>
      <c r="F1656">
        <v>15</v>
      </c>
      <c r="G1656">
        <v>0.53779999999999994</v>
      </c>
      <c r="H1656">
        <v>0.29849999999999999</v>
      </c>
      <c r="I1656">
        <v>0.2641</v>
      </c>
    </row>
    <row r="1657" spans="1:9" x14ac:dyDescent="0.35">
      <c r="A1657">
        <v>10</v>
      </c>
      <c r="B1657" s="17" t="s">
        <v>501</v>
      </c>
      <c r="C1657">
        <v>0.18609999999999999</v>
      </c>
      <c r="D1657">
        <v>1.756</v>
      </c>
      <c r="E1657">
        <v>1.421</v>
      </c>
      <c r="F1657">
        <v>15</v>
      </c>
      <c r="G1657">
        <v>0.26450000000000001</v>
      </c>
      <c r="H1657">
        <v>0.14680000000000001</v>
      </c>
      <c r="I1657">
        <v>0.12989999999999999</v>
      </c>
    </row>
    <row r="1658" spans="1:9" x14ac:dyDescent="0.35">
      <c r="A1658">
        <v>11</v>
      </c>
      <c r="B1658" s="17" t="s">
        <v>581</v>
      </c>
      <c r="C1658" s="4">
        <v>1.8029999999999999E-7</v>
      </c>
      <c r="D1658">
        <v>2.8159999999999998</v>
      </c>
      <c r="E1658">
        <v>2.9169999999999998</v>
      </c>
      <c r="F1658">
        <v>15</v>
      </c>
      <c r="G1658" s="4">
        <v>5.2590000000000002E-7</v>
      </c>
      <c r="H1658" s="4">
        <v>2.9190000000000001E-7</v>
      </c>
      <c r="I1658" s="4">
        <v>2.5829999999999998E-7</v>
      </c>
    </row>
    <row r="1659" spans="1:9" x14ac:dyDescent="0.35">
      <c r="A1659">
        <v>12</v>
      </c>
      <c r="B1659" s="17" t="s">
        <v>588</v>
      </c>
      <c r="C1659">
        <v>2.2359999999999999E-4</v>
      </c>
      <c r="D1659">
        <v>1.734</v>
      </c>
      <c r="E1659">
        <v>1.5109999999999999</v>
      </c>
      <c r="F1659">
        <v>15</v>
      </c>
      <c r="G1659">
        <v>3.3780000000000003E-4</v>
      </c>
      <c r="H1659">
        <v>1.875E-4</v>
      </c>
      <c r="I1659">
        <v>1.6589999999999999E-4</v>
      </c>
    </row>
    <row r="1660" spans="1:9" x14ac:dyDescent="0.35">
      <c r="A1660">
        <v>13</v>
      </c>
      <c r="B1660" s="17" t="s">
        <v>589</v>
      </c>
      <c r="C1660">
        <v>6.2459999999999998E-3</v>
      </c>
      <c r="D1660">
        <v>1.76</v>
      </c>
      <c r="E1660">
        <v>1.7130000000000001</v>
      </c>
      <c r="F1660">
        <v>15</v>
      </c>
      <c r="G1660">
        <v>1.0699999999999999E-2</v>
      </c>
      <c r="H1660">
        <v>5.9379999999999997E-3</v>
      </c>
      <c r="I1660">
        <v>5.2529999999999999E-3</v>
      </c>
    </row>
    <row r="1661" spans="1:9" x14ac:dyDescent="0.35">
      <c r="A1661">
        <v>14</v>
      </c>
      <c r="B1661" s="17" t="s">
        <v>590</v>
      </c>
      <c r="C1661">
        <v>1.7510000000000001E-2</v>
      </c>
      <c r="D1661">
        <v>2.2879999999999998</v>
      </c>
      <c r="E1661">
        <v>2.2450000000000001</v>
      </c>
      <c r="F1661">
        <v>15</v>
      </c>
      <c r="G1661">
        <v>3.9300000000000002E-2</v>
      </c>
      <c r="H1661">
        <v>2.1819999999999999E-2</v>
      </c>
      <c r="I1661">
        <v>1.9300000000000001E-2</v>
      </c>
    </row>
    <row r="1662" spans="1:9" x14ac:dyDescent="0.35">
      <c r="A1662">
        <v>15</v>
      </c>
      <c r="B1662" s="17" t="s">
        <v>591</v>
      </c>
      <c r="C1662" s="4">
        <v>3.1139999999999997E-5</v>
      </c>
      <c r="D1662">
        <v>2.3919999999999999</v>
      </c>
      <c r="E1662">
        <v>2.5299999999999998</v>
      </c>
      <c r="F1662">
        <v>15</v>
      </c>
      <c r="G1662" s="4">
        <v>7.8789999999999996E-5</v>
      </c>
      <c r="H1662" s="4">
        <v>4.3739999999999998E-5</v>
      </c>
      <c r="I1662" s="4">
        <v>3.8689999999999997E-5</v>
      </c>
    </row>
    <row r="1663" spans="1:9" x14ac:dyDescent="0.35">
      <c r="A1663">
        <v>16</v>
      </c>
      <c r="B1663" s="17" t="s">
        <v>582</v>
      </c>
      <c r="C1663">
        <v>0.13919999999999999</v>
      </c>
      <c r="D1663">
        <v>1.331</v>
      </c>
      <c r="E1663">
        <v>1.1910000000000001</v>
      </c>
      <c r="F1663">
        <v>15</v>
      </c>
      <c r="G1663">
        <v>0.1658</v>
      </c>
      <c r="H1663">
        <v>9.2039999999999997E-2</v>
      </c>
      <c r="I1663">
        <v>8.1420000000000006E-2</v>
      </c>
    </row>
    <row r="1664" spans="1:9" x14ac:dyDescent="0.35">
      <c r="A1664">
        <v>17</v>
      </c>
      <c r="B1664" s="17" t="s">
        <v>583</v>
      </c>
      <c r="C1664">
        <v>0.2356</v>
      </c>
      <c r="D1664">
        <v>1.0880000000000001</v>
      </c>
      <c r="E1664">
        <v>1.0620000000000001</v>
      </c>
      <c r="F1664">
        <v>15</v>
      </c>
      <c r="G1664">
        <v>0.25009999999999999</v>
      </c>
      <c r="H1664">
        <v>0.1389</v>
      </c>
      <c r="I1664">
        <v>0.12280000000000001</v>
      </c>
    </row>
    <row r="1665" spans="1:9" x14ac:dyDescent="0.35">
      <c r="A1665">
        <v>18</v>
      </c>
      <c r="B1665" s="17" t="s">
        <v>592</v>
      </c>
      <c r="C1665">
        <v>4.7239999999999999E-3</v>
      </c>
      <c r="D1665">
        <v>1.5720000000000001</v>
      </c>
      <c r="E1665">
        <v>2.0630000000000002</v>
      </c>
      <c r="F1665">
        <v>15</v>
      </c>
      <c r="G1665">
        <v>9.7470000000000005E-3</v>
      </c>
      <c r="H1665">
        <v>5.4099999999999999E-3</v>
      </c>
      <c r="I1665">
        <v>4.7860000000000003E-3</v>
      </c>
    </row>
    <row r="1666" spans="1:9" x14ac:dyDescent="0.35">
      <c r="A1666">
        <v>19</v>
      </c>
      <c r="B1666" s="17" t="s">
        <v>1005</v>
      </c>
      <c r="C1666" s="4">
        <v>1.423E-6</v>
      </c>
      <c r="D1666">
        <v>2.327</v>
      </c>
      <c r="E1666">
        <v>2.0310000000000001</v>
      </c>
      <c r="F1666">
        <v>15</v>
      </c>
      <c r="G1666" s="4">
        <v>2.8899999999999999E-6</v>
      </c>
      <c r="H1666" s="4">
        <v>1.604E-6</v>
      </c>
      <c r="I1666" s="4">
        <v>1.4190000000000001E-6</v>
      </c>
    </row>
    <row r="1667" spans="1:9" x14ac:dyDescent="0.35">
      <c r="A1667">
        <v>20</v>
      </c>
      <c r="B1667" s="17" t="s">
        <v>1006</v>
      </c>
      <c r="C1667">
        <v>8.4719999999999999E-4</v>
      </c>
      <c r="D1667">
        <v>2.3279999999999998</v>
      </c>
      <c r="E1667">
        <v>2.1960000000000002</v>
      </c>
      <c r="F1667">
        <v>15</v>
      </c>
      <c r="G1667">
        <v>1.8600000000000001E-3</v>
      </c>
      <c r="H1667">
        <v>1.0330000000000001E-3</v>
      </c>
      <c r="I1667">
        <v>9.1350000000000003E-4</v>
      </c>
    </row>
    <row r="1668" spans="1:9" x14ac:dyDescent="0.35">
      <c r="A1668">
        <v>21</v>
      </c>
      <c r="B1668" s="17" t="s">
        <v>1007</v>
      </c>
      <c r="C1668">
        <v>1.5769999999999999E-2</v>
      </c>
      <c r="D1668">
        <v>1.9219999999999999</v>
      </c>
      <c r="E1668">
        <v>2.286</v>
      </c>
      <c r="F1668">
        <v>15</v>
      </c>
      <c r="G1668">
        <v>3.6060000000000002E-2</v>
      </c>
      <c r="H1668">
        <v>2.002E-2</v>
      </c>
      <c r="I1668">
        <v>1.771E-2</v>
      </c>
    </row>
    <row r="1669" spans="1:9" x14ac:dyDescent="0.35">
      <c r="A1669">
        <v>22</v>
      </c>
      <c r="B1669" s="17" t="s">
        <v>1008</v>
      </c>
      <c r="C1669" s="4">
        <v>7.5759999999999998E-8</v>
      </c>
      <c r="D1669">
        <v>2.206</v>
      </c>
      <c r="E1669">
        <v>1.86</v>
      </c>
      <c r="F1669">
        <v>15</v>
      </c>
      <c r="G1669" s="4">
        <v>1.409E-7</v>
      </c>
      <c r="H1669" s="4">
        <v>7.8209999999999997E-8</v>
      </c>
      <c r="I1669" s="4">
        <v>6.919E-8</v>
      </c>
    </row>
    <row r="1670" spans="1:9" x14ac:dyDescent="0.35">
      <c r="A1670">
        <v>23</v>
      </c>
      <c r="B1670" s="17" t="s">
        <v>1009</v>
      </c>
      <c r="C1670" s="4">
        <v>2.6989999999999999E-6</v>
      </c>
      <c r="D1670">
        <v>2.63</v>
      </c>
      <c r="E1670">
        <v>2.2669999999999999</v>
      </c>
      <c r="F1670">
        <v>15</v>
      </c>
      <c r="G1670" s="4">
        <v>6.1199999999999999E-6</v>
      </c>
      <c r="H1670" s="4">
        <v>3.3969999999999998E-6</v>
      </c>
      <c r="I1670" s="4">
        <v>3.005E-6</v>
      </c>
    </row>
    <row r="1671" spans="1:9" x14ac:dyDescent="0.35">
      <c r="A1671">
        <v>24</v>
      </c>
      <c r="B1671" s="17" t="s">
        <v>1010</v>
      </c>
      <c r="C1671" s="4">
        <v>7.5759999999999998E-8</v>
      </c>
      <c r="D1671">
        <v>3.1309999999999998</v>
      </c>
      <c r="E1671">
        <v>2.9319999999999999</v>
      </c>
      <c r="F1671">
        <v>15</v>
      </c>
      <c r="G1671" s="4">
        <v>2.2219999999999999E-7</v>
      </c>
      <c r="H1671" s="4">
        <v>1.233E-7</v>
      </c>
      <c r="I1671" s="4">
        <v>1.091E-7</v>
      </c>
    </row>
    <row r="1672" spans="1:9" x14ac:dyDescent="0.35">
      <c r="A1672">
        <v>25</v>
      </c>
      <c r="B1672" s="17" t="s">
        <v>1011</v>
      </c>
      <c r="C1672">
        <v>2.2359999999999999E-4</v>
      </c>
      <c r="D1672">
        <v>3.012</v>
      </c>
      <c r="E1672">
        <v>3.3820000000000001</v>
      </c>
      <c r="F1672">
        <v>15</v>
      </c>
      <c r="G1672">
        <v>7.5619999999999995E-4</v>
      </c>
      <c r="H1672">
        <v>4.1980000000000001E-4</v>
      </c>
      <c r="I1672">
        <v>3.7130000000000003E-4</v>
      </c>
    </row>
    <row r="1673" spans="1:9" x14ac:dyDescent="0.35">
      <c r="A1673">
        <v>26</v>
      </c>
      <c r="B1673" s="17" t="s">
        <v>1012</v>
      </c>
      <c r="C1673" s="4">
        <v>1.2590000000000001E-7</v>
      </c>
      <c r="D1673">
        <v>2.9049999999999998</v>
      </c>
      <c r="E1673">
        <v>2.7050000000000001</v>
      </c>
      <c r="F1673">
        <v>15</v>
      </c>
      <c r="G1673" s="4">
        <v>3.4069999999999997E-7</v>
      </c>
      <c r="H1673" s="4">
        <v>1.8909999999999999E-7</v>
      </c>
      <c r="I1673" s="4">
        <v>1.673E-7</v>
      </c>
    </row>
    <row r="1674" spans="1:9" x14ac:dyDescent="0.35">
      <c r="A1674">
        <v>27</v>
      </c>
      <c r="B1674" s="17" t="s">
        <v>1013</v>
      </c>
      <c r="C1674">
        <v>1.048E-4</v>
      </c>
      <c r="D1674">
        <v>3.476</v>
      </c>
      <c r="E1674">
        <v>4.101</v>
      </c>
      <c r="F1674">
        <v>15</v>
      </c>
      <c r="G1674">
        <v>4.2989999999999999E-4</v>
      </c>
      <c r="H1674">
        <v>2.386E-4</v>
      </c>
      <c r="I1674">
        <v>2.1110000000000001E-4</v>
      </c>
    </row>
    <row r="1675" spans="1:9" x14ac:dyDescent="0.35">
      <c r="A1675">
        <v>28</v>
      </c>
      <c r="B1675" s="17" t="s">
        <v>1014</v>
      </c>
      <c r="C1675">
        <v>0.12039999999999999</v>
      </c>
      <c r="D1675">
        <v>2.3929999999999998</v>
      </c>
      <c r="E1675">
        <v>2.5760000000000001</v>
      </c>
      <c r="F1675">
        <v>15</v>
      </c>
      <c r="G1675">
        <v>0.31009999999999999</v>
      </c>
      <c r="H1675">
        <v>0.1721</v>
      </c>
      <c r="I1675">
        <v>0.15229999999999999</v>
      </c>
    </row>
    <row r="1676" spans="1:9" x14ac:dyDescent="0.35">
      <c r="A1676">
        <v>29</v>
      </c>
      <c r="B1676" s="17" t="s">
        <v>464</v>
      </c>
      <c r="C1676">
        <v>0.35780000000000001</v>
      </c>
      <c r="D1676">
        <v>0.73670000000000002</v>
      </c>
      <c r="E1676">
        <v>0.65669999999999995</v>
      </c>
      <c r="F1676">
        <v>15</v>
      </c>
      <c r="G1676">
        <v>0.23499999999999999</v>
      </c>
      <c r="H1676" t="s">
        <v>452</v>
      </c>
      <c r="I1676">
        <v>0.1154</v>
      </c>
    </row>
    <row r="1677" spans="1:9" x14ac:dyDescent="0.35">
      <c r="A1677">
        <v>30</v>
      </c>
      <c r="B1677" s="17" t="s">
        <v>466</v>
      </c>
      <c r="C1677">
        <v>8.7400000000000005E-2</v>
      </c>
      <c r="D1677">
        <v>0.70009999999999994</v>
      </c>
      <c r="E1677">
        <v>0.58409999999999995</v>
      </c>
      <c r="F1677">
        <v>15</v>
      </c>
      <c r="G1677">
        <v>5.1049999999999998E-2</v>
      </c>
      <c r="H1677" t="s">
        <v>452</v>
      </c>
      <c r="I1677">
        <v>2.7560000000000001E-2</v>
      </c>
    </row>
    <row r="1678" spans="1:9" x14ac:dyDescent="0.35">
      <c r="A1678">
        <v>31</v>
      </c>
      <c r="B1678" s="17" t="s">
        <v>467</v>
      </c>
      <c r="C1678">
        <v>0.43109999999999998</v>
      </c>
      <c r="D1678">
        <v>1.365</v>
      </c>
      <c r="E1678">
        <v>1.2470000000000001</v>
      </c>
      <c r="F1678">
        <v>15</v>
      </c>
      <c r="G1678">
        <v>0.53779999999999994</v>
      </c>
      <c r="H1678" t="s">
        <v>452</v>
      </c>
      <c r="I1678">
        <v>0.5</v>
      </c>
    </row>
    <row r="1679" spans="1:9" x14ac:dyDescent="0.35">
      <c r="A1679">
        <v>32</v>
      </c>
      <c r="B1679" s="17" t="s">
        <v>469</v>
      </c>
      <c r="C1679">
        <v>0.43109999999999998</v>
      </c>
      <c r="D1679">
        <v>1.365</v>
      </c>
      <c r="E1679">
        <v>1.2470000000000001</v>
      </c>
      <c r="F1679">
        <v>15</v>
      </c>
      <c r="G1679">
        <v>0.53779999999999994</v>
      </c>
      <c r="H1679" t="s">
        <v>452</v>
      </c>
      <c r="I1679">
        <v>0.5</v>
      </c>
    </row>
    <row r="1680" spans="1:9" x14ac:dyDescent="0.35">
      <c r="A1680" t="s">
        <v>701</v>
      </c>
    </row>
    <row r="1681" spans="1:1" x14ac:dyDescent="0.35">
      <c r="A1681" t="s">
        <v>700</v>
      </c>
    </row>
    <row r="1682" spans="1:1" x14ac:dyDescent="0.35">
      <c r="A1682" t="s">
        <v>470</v>
      </c>
    </row>
    <row r="1683" spans="1:1" x14ac:dyDescent="0.35">
      <c r="A1683" t="s">
        <v>471</v>
      </c>
    </row>
  </sheetData>
  <sortState xmlns:xlrd2="http://schemas.microsoft.com/office/spreadsheetml/2017/richdata2" ref="L2:AH61">
    <sortCondition ref="N2:N61"/>
  </sortState>
  <hyperlinks>
    <hyperlink ref="N28" r:id="rId1" location=".VoTb-fkrK_4" xr:uid="{BE724498-7677-47ED-9413-980E7DAB9B95}"/>
  </hyperlinks>
  <pageMargins left="0.7" right="0.7" top="0.75" bottom="0.75" header="0.3" footer="0.3"/>
  <pageSetup orientation="portrait" horizontalDpi="90" verticalDpi="90"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9"/>
  <dimension ref="A1:X664"/>
  <sheetViews>
    <sheetView zoomScale="70" zoomScaleNormal="70" workbookViewId="0">
      <selection activeCell="I15" sqref="I15"/>
    </sheetView>
  </sheetViews>
  <sheetFormatPr defaultColWidth="11.81640625" defaultRowHeight="14.5" x14ac:dyDescent="0.35"/>
  <cols>
    <col min="3" max="3" width="11.81640625" style="16"/>
  </cols>
  <sheetData>
    <row r="1" spans="1:24" x14ac:dyDescent="0.35">
      <c r="A1" s="3" t="s">
        <v>857</v>
      </c>
      <c r="B1" s="3" t="s">
        <v>966</v>
      </c>
      <c r="C1" s="8" t="s">
        <v>967</v>
      </c>
      <c r="D1" s="3" t="s">
        <v>968</v>
      </c>
      <c r="E1" s="3" t="s">
        <v>969</v>
      </c>
      <c r="F1" s="3" t="s">
        <v>970</v>
      </c>
      <c r="G1" s="3" t="s">
        <v>971</v>
      </c>
      <c r="H1" s="3"/>
      <c r="I1" s="3"/>
      <c r="J1" s="3"/>
      <c r="K1" s="3"/>
      <c r="L1" s="3"/>
      <c r="M1" s="3"/>
      <c r="N1" s="3"/>
      <c r="O1" s="3"/>
      <c r="P1" s="3"/>
      <c r="U1" t="s">
        <v>1076</v>
      </c>
      <c r="V1" t="s">
        <v>1077</v>
      </c>
    </row>
    <row r="2" spans="1:24" x14ac:dyDescent="0.35">
      <c r="A2" t="s">
        <v>807</v>
      </c>
      <c r="B2">
        <v>1</v>
      </c>
      <c r="C2" s="16" t="s">
        <v>463</v>
      </c>
      <c r="D2">
        <v>7.8319999999999996E-5</v>
      </c>
      <c r="E2">
        <v>0.6038</v>
      </c>
      <c r="F2">
        <v>4.7290000000000003E-5</v>
      </c>
      <c r="G2">
        <v>10</v>
      </c>
      <c r="U2">
        <f>COUNTIF(D:D,"&gt;0.05")</f>
        <v>174</v>
      </c>
      <c r="V2">
        <f>COUNTIF(D:D,"&gt;0.01")</f>
        <v>253</v>
      </c>
      <c r="W2" s="12"/>
      <c r="X2" s="12"/>
    </row>
    <row r="3" spans="1:24" x14ac:dyDescent="0.35">
      <c r="A3" t="s">
        <v>807</v>
      </c>
      <c r="B3">
        <v>2</v>
      </c>
      <c r="C3" s="16" t="s">
        <v>462</v>
      </c>
      <c r="D3">
        <v>6.9819999999999993E-2</v>
      </c>
      <c r="E3">
        <v>0.41389999999999999</v>
      </c>
      <c r="F3">
        <v>2.8899999999999999E-2</v>
      </c>
      <c r="G3">
        <v>10</v>
      </c>
    </row>
    <row r="4" spans="1:24" x14ac:dyDescent="0.35">
      <c r="A4" t="s">
        <v>807</v>
      </c>
      <c r="B4">
        <v>3</v>
      </c>
      <c r="C4" s="16" t="s">
        <v>461</v>
      </c>
      <c r="D4">
        <v>7.1469999999999997E-3</v>
      </c>
      <c r="E4">
        <v>1.22</v>
      </c>
      <c r="F4">
        <v>8.7200000000000003E-3</v>
      </c>
      <c r="G4">
        <v>10</v>
      </c>
    </row>
    <row r="5" spans="1:24" x14ac:dyDescent="0.35">
      <c r="A5" t="s">
        <v>807</v>
      </c>
      <c r="B5">
        <v>4</v>
      </c>
      <c r="C5" s="16" t="s">
        <v>460</v>
      </c>
      <c r="D5">
        <v>1.145E-5</v>
      </c>
      <c r="E5">
        <v>1.4750000000000001</v>
      </c>
      <c r="F5">
        <v>1.6889999999999999E-5</v>
      </c>
      <c r="G5">
        <v>10</v>
      </c>
      <c r="P5" s="16"/>
      <c r="Q5" s="16"/>
      <c r="R5" s="8"/>
    </row>
    <row r="6" spans="1:24" x14ac:dyDescent="0.35">
      <c r="A6" t="s">
        <v>808</v>
      </c>
      <c r="B6">
        <v>5</v>
      </c>
      <c r="C6" s="16">
        <v>9</v>
      </c>
      <c r="D6">
        <v>9.8599999999999996E-7</v>
      </c>
      <c r="E6">
        <v>3.339</v>
      </c>
      <c r="F6">
        <v>3.292E-6</v>
      </c>
      <c r="G6">
        <v>10</v>
      </c>
      <c r="P6" s="16"/>
      <c r="Q6" s="16"/>
      <c r="R6" s="16"/>
    </row>
    <row r="7" spans="1:24" x14ac:dyDescent="0.35">
      <c r="A7" t="s">
        <v>808</v>
      </c>
      <c r="B7">
        <v>6</v>
      </c>
      <c r="C7" s="16">
        <v>8</v>
      </c>
      <c r="D7">
        <v>1.579E-5</v>
      </c>
      <c r="E7">
        <v>2.3159999999999998</v>
      </c>
      <c r="F7">
        <v>3.6560000000000002E-5</v>
      </c>
      <c r="G7">
        <v>10</v>
      </c>
      <c r="P7" s="16"/>
      <c r="Q7" s="16"/>
      <c r="R7" s="16"/>
    </row>
    <row r="8" spans="1:24" x14ac:dyDescent="0.35">
      <c r="A8" t="s">
        <v>808</v>
      </c>
      <c r="B8">
        <v>7</v>
      </c>
      <c r="C8" s="16">
        <v>7</v>
      </c>
      <c r="D8">
        <v>4.5600000000000003E-4</v>
      </c>
      <c r="E8">
        <v>1.5309999999999999</v>
      </c>
      <c r="F8">
        <v>6.9830000000000001E-4</v>
      </c>
      <c r="G8">
        <v>10</v>
      </c>
      <c r="P8" s="16"/>
      <c r="Q8" s="16"/>
      <c r="R8" s="16"/>
    </row>
    <row r="9" spans="1:24" x14ac:dyDescent="0.35">
      <c r="A9" t="s">
        <v>808</v>
      </c>
      <c r="B9">
        <v>8</v>
      </c>
      <c r="C9" s="16">
        <v>6</v>
      </c>
      <c r="D9">
        <v>9.3949999999999993E-5</v>
      </c>
      <c r="E9">
        <v>2.633</v>
      </c>
      <c r="F9">
        <v>2.474E-4</v>
      </c>
      <c r="G9">
        <v>10</v>
      </c>
      <c r="P9" s="16"/>
      <c r="Q9" s="16"/>
      <c r="R9" s="16"/>
    </row>
    <row r="10" spans="1:24" x14ac:dyDescent="0.35">
      <c r="A10" t="s">
        <v>808</v>
      </c>
      <c r="B10">
        <v>9</v>
      </c>
      <c r="C10" s="16">
        <v>5</v>
      </c>
      <c r="D10">
        <v>3.5749999999999997E-2</v>
      </c>
      <c r="E10">
        <v>2.7389999999999999</v>
      </c>
      <c r="F10">
        <v>9.7939999999999999E-2</v>
      </c>
      <c r="G10">
        <v>10</v>
      </c>
    </row>
    <row r="11" spans="1:24" x14ac:dyDescent="0.35">
      <c r="A11" t="s">
        <v>808</v>
      </c>
      <c r="B11">
        <v>10</v>
      </c>
      <c r="C11" s="16">
        <v>4</v>
      </c>
      <c r="D11">
        <v>6.2870000000000001E-3</v>
      </c>
      <c r="E11">
        <v>1.897</v>
      </c>
      <c r="F11">
        <v>1.193E-2</v>
      </c>
      <c r="G11">
        <v>10</v>
      </c>
    </row>
    <row r="12" spans="1:24" x14ac:dyDescent="0.35">
      <c r="A12" t="s">
        <v>808</v>
      </c>
      <c r="B12">
        <v>11</v>
      </c>
      <c r="C12" s="16">
        <v>3</v>
      </c>
      <c r="D12">
        <v>3.4430000000000001E-5</v>
      </c>
      <c r="E12">
        <v>2.6659999999999999</v>
      </c>
      <c r="F12">
        <v>9.1780000000000006E-5</v>
      </c>
      <c r="G12">
        <v>10</v>
      </c>
    </row>
    <row r="13" spans="1:24" x14ac:dyDescent="0.35">
      <c r="A13" t="s">
        <v>808</v>
      </c>
      <c r="B13">
        <v>12</v>
      </c>
      <c r="C13" s="16">
        <v>2</v>
      </c>
      <c r="D13">
        <v>9.3949999999999993E-5</v>
      </c>
      <c r="E13">
        <v>2.4830000000000001</v>
      </c>
      <c r="F13">
        <v>2.3330000000000001E-4</v>
      </c>
      <c r="G13">
        <v>10</v>
      </c>
    </row>
    <row r="14" spans="1:24" x14ac:dyDescent="0.35">
      <c r="A14" t="s">
        <v>808</v>
      </c>
      <c r="B14">
        <v>13</v>
      </c>
      <c r="C14" s="16">
        <v>1</v>
      </c>
      <c r="D14">
        <v>7.9929999999999997E-4</v>
      </c>
      <c r="E14">
        <v>2.327</v>
      </c>
      <c r="F14">
        <v>1.8600000000000001E-3</v>
      </c>
      <c r="G14">
        <v>10</v>
      </c>
    </row>
    <row r="15" spans="1:24" x14ac:dyDescent="0.35">
      <c r="A15" t="s">
        <v>809</v>
      </c>
      <c r="B15">
        <v>14</v>
      </c>
      <c r="C15" s="16">
        <v>5</v>
      </c>
      <c r="D15">
        <v>2.5009999999999999E-6</v>
      </c>
      <c r="E15">
        <v>0.96240000000000003</v>
      </c>
      <c r="F15">
        <v>2.407E-6</v>
      </c>
      <c r="G15">
        <v>10</v>
      </c>
    </row>
    <row r="16" spans="1:24" x14ac:dyDescent="0.35">
      <c r="A16" t="s">
        <v>809</v>
      </c>
      <c r="B16">
        <v>15</v>
      </c>
      <c r="C16" s="16">
        <v>4</v>
      </c>
      <c r="D16">
        <v>2.795E-9</v>
      </c>
      <c r="E16">
        <v>1.655</v>
      </c>
      <c r="F16">
        <v>4.6250000000000001E-9</v>
      </c>
      <c r="G16">
        <v>10</v>
      </c>
    </row>
    <row r="17" spans="1:11" x14ac:dyDescent="0.35">
      <c r="A17" t="s">
        <v>809</v>
      </c>
      <c r="B17">
        <v>16</v>
      </c>
      <c r="C17" s="16">
        <v>3</v>
      </c>
      <c r="D17">
        <v>1.31E-3</v>
      </c>
      <c r="E17">
        <v>1.349</v>
      </c>
      <c r="F17">
        <v>1.7669999999999999E-3</v>
      </c>
      <c r="G17">
        <v>10</v>
      </c>
    </row>
    <row r="18" spans="1:11" x14ac:dyDescent="0.35">
      <c r="A18" t="s">
        <v>809</v>
      </c>
      <c r="B18">
        <v>17</v>
      </c>
      <c r="C18" s="16">
        <v>2</v>
      </c>
      <c r="D18">
        <v>4.7059999999999998E-2</v>
      </c>
      <c r="E18">
        <v>0.95879999999999999</v>
      </c>
      <c r="F18">
        <v>4.512E-2</v>
      </c>
      <c r="G18">
        <v>10</v>
      </c>
    </row>
    <row r="19" spans="1:11" x14ac:dyDescent="0.35">
      <c r="A19" t="s">
        <v>809</v>
      </c>
      <c r="B19">
        <v>18</v>
      </c>
      <c r="C19" s="16">
        <v>1</v>
      </c>
      <c r="D19">
        <v>0.1012</v>
      </c>
      <c r="E19">
        <v>0.50339999999999996</v>
      </c>
      <c r="F19">
        <v>5.0950000000000002E-2</v>
      </c>
      <c r="G19">
        <v>10</v>
      </c>
    </row>
    <row r="20" spans="1:11" x14ac:dyDescent="0.35">
      <c r="A20" t="s">
        <v>836</v>
      </c>
      <c r="B20">
        <v>19</v>
      </c>
      <c r="C20" s="16">
        <v>7</v>
      </c>
      <c r="D20">
        <v>3.0150000000000001E-4</v>
      </c>
      <c r="E20">
        <v>1.5169999999999999</v>
      </c>
      <c r="F20">
        <v>4.574E-4</v>
      </c>
      <c r="G20">
        <v>11</v>
      </c>
    </row>
    <row r="21" spans="1:11" x14ac:dyDescent="0.35">
      <c r="A21" t="s">
        <v>836</v>
      </c>
      <c r="B21">
        <v>20</v>
      </c>
      <c r="C21" s="16">
        <v>6</v>
      </c>
      <c r="D21">
        <v>0.69240000000000002</v>
      </c>
      <c r="E21">
        <v>0.57299999999999995</v>
      </c>
      <c r="F21">
        <v>0.39679999999999999</v>
      </c>
      <c r="G21">
        <v>11</v>
      </c>
    </row>
    <row r="22" spans="1:11" x14ac:dyDescent="0.35">
      <c r="A22" t="s">
        <v>836</v>
      </c>
      <c r="B22">
        <v>21</v>
      </c>
      <c r="C22" s="16">
        <v>5</v>
      </c>
      <c r="D22">
        <v>0.2306</v>
      </c>
      <c r="E22">
        <v>0.4153</v>
      </c>
      <c r="F22">
        <v>9.5780000000000004E-2</v>
      </c>
      <c r="G22">
        <v>11</v>
      </c>
    </row>
    <row r="23" spans="1:11" x14ac:dyDescent="0.35">
      <c r="A23" t="s">
        <v>836</v>
      </c>
      <c r="B23">
        <v>22</v>
      </c>
      <c r="C23" s="16">
        <v>4</v>
      </c>
      <c r="D23">
        <v>2.0479999999999999E-3</v>
      </c>
      <c r="E23">
        <v>0.78610000000000002</v>
      </c>
      <c r="F23">
        <v>1.6100000000000001E-3</v>
      </c>
      <c r="G23">
        <v>11</v>
      </c>
    </row>
    <row r="24" spans="1:11" x14ac:dyDescent="0.35">
      <c r="A24" t="s">
        <v>836</v>
      </c>
      <c r="B24">
        <v>23</v>
      </c>
      <c r="C24" s="16">
        <v>3</v>
      </c>
      <c r="D24">
        <v>4.6709999999999998E-3</v>
      </c>
      <c r="E24">
        <v>0.95099999999999996</v>
      </c>
      <c r="F24">
        <v>4.4419999999999998E-3</v>
      </c>
      <c r="G24">
        <v>11</v>
      </c>
    </row>
    <row r="25" spans="1:11" x14ac:dyDescent="0.35">
      <c r="A25" t="s">
        <v>836</v>
      </c>
      <c r="B25">
        <v>24</v>
      </c>
      <c r="C25" s="16">
        <v>2</v>
      </c>
      <c r="D25">
        <v>8.609E-2</v>
      </c>
      <c r="E25">
        <v>0.73680000000000001</v>
      </c>
      <c r="F25">
        <v>6.343E-2</v>
      </c>
      <c r="G25">
        <v>11</v>
      </c>
    </row>
    <row r="26" spans="1:11" x14ac:dyDescent="0.35">
      <c r="A26" t="s">
        <v>836</v>
      </c>
      <c r="B26">
        <v>25</v>
      </c>
      <c r="C26" s="16">
        <v>1</v>
      </c>
      <c r="D26">
        <v>1.2310000000000001E-3</v>
      </c>
      <c r="E26">
        <v>1.34</v>
      </c>
      <c r="F26">
        <v>1.6490000000000001E-3</v>
      </c>
      <c r="G26">
        <v>11</v>
      </c>
      <c r="J26" s="3"/>
      <c r="K26" s="3"/>
    </row>
    <row r="27" spans="1:11" x14ac:dyDescent="0.35">
      <c r="A27" t="s">
        <v>810</v>
      </c>
      <c r="B27">
        <v>26</v>
      </c>
      <c r="C27" s="16" t="s">
        <v>502</v>
      </c>
      <c r="D27">
        <v>1.217E-3</v>
      </c>
      <c r="E27">
        <v>1.0680000000000001</v>
      </c>
      <c r="F27">
        <v>1.2999999999999999E-3</v>
      </c>
      <c r="G27">
        <v>12</v>
      </c>
    </row>
    <row r="28" spans="1:11" x14ac:dyDescent="0.35">
      <c r="A28" t="s">
        <v>810</v>
      </c>
      <c r="B28">
        <v>27</v>
      </c>
      <c r="C28" s="16" t="s">
        <v>501</v>
      </c>
      <c r="D28">
        <v>2.1010000000000001E-2</v>
      </c>
      <c r="E28">
        <v>1.1759999999999999</v>
      </c>
      <c r="F28">
        <v>2.4709999999999999E-2</v>
      </c>
      <c r="G28">
        <v>12</v>
      </c>
    </row>
    <row r="29" spans="1:11" x14ac:dyDescent="0.35">
      <c r="A29" t="s">
        <v>810</v>
      </c>
      <c r="B29">
        <v>28</v>
      </c>
      <c r="C29" s="16" t="s">
        <v>500</v>
      </c>
      <c r="D29">
        <v>6.0360000000000003E-4</v>
      </c>
      <c r="E29">
        <v>1.0980000000000001</v>
      </c>
      <c r="F29">
        <v>6.625E-4</v>
      </c>
      <c r="G29">
        <v>12</v>
      </c>
    </row>
    <row r="30" spans="1:11" x14ac:dyDescent="0.35">
      <c r="A30" t="s">
        <v>810</v>
      </c>
      <c r="B30">
        <v>29</v>
      </c>
      <c r="C30" s="16" t="s">
        <v>499</v>
      </c>
      <c r="D30">
        <v>2.7850000000000001E-3</v>
      </c>
      <c r="E30">
        <v>1.238</v>
      </c>
      <c r="F30">
        <v>3.447E-3</v>
      </c>
      <c r="G30">
        <v>12</v>
      </c>
    </row>
    <row r="31" spans="1:11" x14ac:dyDescent="0.35">
      <c r="A31" t="s">
        <v>810</v>
      </c>
      <c r="B31">
        <v>30</v>
      </c>
      <c r="C31" s="16" t="s">
        <v>498</v>
      </c>
      <c r="D31">
        <v>1.238E-2</v>
      </c>
      <c r="E31">
        <v>0.76949999999999996</v>
      </c>
      <c r="F31">
        <v>9.5289999999999993E-3</v>
      </c>
      <c r="G31">
        <v>12</v>
      </c>
    </row>
    <row r="32" spans="1:11" x14ac:dyDescent="0.35">
      <c r="A32" t="s">
        <v>810</v>
      </c>
      <c r="B32">
        <v>31</v>
      </c>
      <c r="C32" s="16" t="s">
        <v>497</v>
      </c>
      <c r="D32">
        <v>9.3109999999999995E-5</v>
      </c>
      <c r="E32">
        <v>1.048</v>
      </c>
      <c r="F32">
        <v>9.7590000000000006E-5</v>
      </c>
      <c r="G32">
        <v>12</v>
      </c>
    </row>
    <row r="33" spans="1:7" x14ac:dyDescent="0.35">
      <c r="A33" t="s">
        <v>810</v>
      </c>
      <c r="B33">
        <v>32</v>
      </c>
      <c r="C33" s="16" t="s">
        <v>496</v>
      </c>
      <c r="D33">
        <v>1.4190000000000001E-6</v>
      </c>
      <c r="E33">
        <v>1.1890000000000001</v>
      </c>
      <c r="F33">
        <v>1.6869999999999999E-6</v>
      </c>
      <c r="G33">
        <v>12</v>
      </c>
    </row>
    <row r="34" spans="1:7" x14ac:dyDescent="0.35">
      <c r="A34" t="s">
        <v>810</v>
      </c>
      <c r="B34">
        <v>33</v>
      </c>
      <c r="C34" s="16" t="s">
        <v>495</v>
      </c>
      <c r="D34">
        <v>2.909E-6</v>
      </c>
      <c r="E34">
        <v>1.022</v>
      </c>
      <c r="F34">
        <v>2.9730000000000002E-6</v>
      </c>
      <c r="G34">
        <v>12</v>
      </c>
    </row>
    <row r="35" spans="1:7" x14ac:dyDescent="0.35">
      <c r="A35" t="s">
        <v>810</v>
      </c>
      <c r="B35">
        <v>34</v>
      </c>
      <c r="C35" s="16" t="s">
        <v>494</v>
      </c>
      <c r="D35">
        <v>0.311</v>
      </c>
      <c r="E35">
        <v>1.0029999999999999</v>
      </c>
      <c r="F35">
        <v>0.312</v>
      </c>
      <c r="G35">
        <v>12</v>
      </c>
    </row>
    <row r="36" spans="1:7" x14ac:dyDescent="0.35">
      <c r="A36" t="s">
        <v>810</v>
      </c>
      <c r="B36">
        <v>35</v>
      </c>
      <c r="C36" s="16" t="s">
        <v>493</v>
      </c>
      <c r="D36">
        <v>3.601E-2</v>
      </c>
      <c r="E36">
        <v>0.88300000000000001</v>
      </c>
      <c r="F36">
        <v>3.1800000000000002E-2</v>
      </c>
      <c r="G36">
        <v>12</v>
      </c>
    </row>
    <row r="37" spans="1:7" x14ac:dyDescent="0.35">
      <c r="A37" t="s">
        <v>810</v>
      </c>
      <c r="B37">
        <v>36</v>
      </c>
      <c r="C37" s="16" t="s">
        <v>492</v>
      </c>
      <c r="D37">
        <v>0.29830000000000001</v>
      </c>
      <c r="E37">
        <v>0.87470000000000003</v>
      </c>
      <c r="F37">
        <v>0.26090000000000002</v>
      </c>
      <c r="G37">
        <v>12</v>
      </c>
    </row>
    <row r="38" spans="1:7" x14ac:dyDescent="0.35">
      <c r="A38" t="s">
        <v>810</v>
      </c>
      <c r="B38">
        <v>37</v>
      </c>
      <c r="C38" s="16" t="s">
        <v>491</v>
      </c>
      <c r="D38">
        <v>4.2790000000000002E-5</v>
      </c>
      <c r="E38">
        <v>1.3140000000000001</v>
      </c>
      <c r="F38">
        <v>5.6209999999999999E-5</v>
      </c>
      <c r="G38">
        <v>12</v>
      </c>
    </row>
    <row r="39" spans="1:7" x14ac:dyDescent="0.35">
      <c r="A39" t="s">
        <v>846</v>
      </c>
      <c r="B39">
        <v>38</v>
      </c>
      <c r="C39" s="16" t="s">
        <v>500</v>
      </c>
      <c r="D39">
        <v>1.2930000000000001E-10</v>
      </c>
      <c r="E39">
        <v>2.2370000000000001</v>
      </c>
      <c r="F39">
        <v>2.8919999999999999E-10</v>
      </c>
      <c r="G39">
        <v>10</v>
      </c>
    </row>
    <row r="40" spans="1:7" x14ac:dyDescent="0.35">
      <c r="A40" t="s">
        <v>846</v>
      </c>
      <c r="B40">
        <v>39</v>
      </c>
      <c r="C40" s="16" t="s">
        <v>586</v>
      </c>
      <c r="D40">
        <v>2.795E-9</v>
      </c>
      <c r="E40">
        <v>1.8149999999999999</v>
      </c>
      <c r="F40">
        <v>5.0730000000000002E-9</v>
      </c>
      <c r="G40">
        <v>10</v>
      </c>
    </row>
    <row r="41" spans="1:7" x14ac:dyDescent="0.35">
      <c r="A41" t="s">
        <v>846</v>
      </c>
      <c r="B41">
        <v>40</v>
      </c>
      <c r="C41" s="16" t="s">
        <v>580</v>
      </c>
      <c r="D41">
        <v>6.2870000000000001E-3</v>
      </c>
      <c r="E41">
        <v>1.7849999999999999</v>
      </c>
      <c r="F41">
        <v>1.1220000000000001E-2</v>
      </c>
      <c r="G41">
        <v>10</v>
      </c>
    </row>
    <row r="42" spans="1:7" x14ac:dyDescent="0.35">
      <c r="A42" t="s">
        <v>846</v>
      </c>
      <c r="B42">
        <v>41</v>
      </c>
      <c r="C42" s="16" t="s">
        <v>579</v>
      </c>
      <c r="D42">
        <v>7.5020000000000003E-2</v>
      </c>
      <c r="E42">
        <v>1.2430000000000001</v>
      </c>
      <c r="F42">
        <v>9.3229999999999993E-2</v>
      </c>
      <c r="G42">
        <v>10</v>
      </c>
    </row>
    <row r="43" spans="1:7" x14ac:dyDescent="0.35">
      <c r="A43" t="s">
        <v>846</v>
      </c>
      <c r="B43">
        <v>42</v>
      </c>
      <c r="C43" s="16" t="s">
        <v>585</v>
      </c>
      <c r="D43">
        <v>2.8089999999999999E-3</v>
      </c>
      <c r="E43">
        <v>0.97289999999999999</v>
      </c>
      <c r="F43">
        <v>2.7330000000000002E-3</v>
      </c>
      <c r="G43">
        <v>10</v>
      </c>
    </row>
    <row r="44" spans="1:7" x14ac:dyDescent="0.35">
      <c r="A44" t="s">
        <v>846</v>
      </c>
      <c r="B44">
        <v>43</v>
      </c>
      <c r="C44" s="16" t="s">
        <v>584</v>
      </c>
      <c r="D44">
        <v>1.7080000000000001E-2</v>
      </c>
      <c r="E44">
        <v>1.254</v>
      </c>
      <c r="F44">
        <v>2.1409999999999998E-2</v>
      </c>
      <c r="G44">
        <v>10</v>
      </c>
    </row>
    <row r="45" spans="1:7" x14ac:dyDescent="0.35">
      <c r="A45" t="s">
        <v>846</v>
      </c>
      <c r="B45">
        <v>44</v>
      </c>
      <c r="C45" s="16" t="s">
        <v>518</v>
      </c>
      <c r="D45">
        <v>1.8920000000000001E-6</v>
      </c>
      <c r="E45">
        <v>1.9690000000000001</v>
      </c>
      <c r="F45">
        <v>3.726E-6</v>
      </c>
      <c r="G45">
        <v>10</v>
      </c>
    </row>
    <row r="46" spans="1:7" x14ac:dyDescent="0.35">
      <c r="A46" t="s">
        <v>846</v>
      </c>
      <c r="B46">
        <v>45</v>
      </c>
      <c r="C46" s="16" t="s">
        <v>517</v>
      </c>
      <c r="D46">
        <v>5.596E-5</v>
      </c>
      <c r="E46">
        <v>1.3959999999999999</v>
      </c>
      <c r="F46">
        <v>7.8109999999999996E-5</v>
      </c>
      <c r="G46">
        <v>10</v>
      </c>
    </row>
    <row r="47" spans="1:7" x14ac:dyDescent="0.35">
      <c r="A47" t="s">
        <v>846</v>
      </c>
      <c r="B47">
        <v>46</v>
      </c>
      <c r="C47" s="16" t="s">
        <v>516</v>
      </c>
      <c r="D47">
        <v>2.7710000000000001E-4</v>
      </c>
      <c r="E47">
        <v>1.821</v>
      </c>
      <c r="F47">
        <v>5.0449999999999996E-4</v>
      </c>
      <c r="G47">
        <v>10</v>
      </c>
    </row>
    <row r="48" spans="1:7" x14ac:dyDescent="0.35">
      <c r="A48" t="s">
        <v>846</v>
      </c>
      <c r="B48">
        <v>47</v>
      </c>
      <c r="C48" s="16" t="s">
        <v>515</v>
      </c>
      <c r="D48">
        <v>1.8920000000000001E-6</v>
      </c>
      <c r="E48">
        <v>1.9810000000000001</v>
      </c>
      <c r="F48">
        <v>3.7479999999999999E-6</v>
      </c>
      <c r="G48">
        <v>10</v>
      </c>
    </row>
    <row r="49" spans="1:7" x14ac:dyDescent="0.35">
      <c r="A49" t="s">
        <v>854</v>
      </c>
      <c r="B49">
        <v>48</v>
      </c>
      <c r="C49" s="16" t="s">
        <v>717</v>
      </c>
      <c r="D49">
        <v>4.7059999999999998E-2</v>
      </c>
      <c r="E49">
        <v>1.28</v>
      </c>
      <c r="F49">
        <v>6.0220000000000003E-2</v>
      </c>
      <c r="G49">
        <v>10</v>
      </c>
    </row>
    <row r="50" spans="1:7" x14ac:dyDescent="0.35">
      <c r="A50" t="s">
        <v>854</v>
      </c>
      <c r="B50">
        <v>49</v>
      </c>
      <c r="C50" s="16" t="s">
        <v>716</v>
      </c>
      <c r="D50">
        <v>1.579E-5</v>
      </c>
      <c r="E50">
        <v>1.153</v>
      </c>
      <c r="F50">
        <v>1.8199999999999999E-5</v>
      </c>
      <c r="G50">
        <v>10</v>
      </c>
    </row>
    <row r="51" spans="1:7" x14ac:dyDescent="0.35">
      <c r="A51" t="s">
        <v>854</v>
      </c>
      <c r="B51">
        <v>50</v>
      </c>
      <c r="C51" s="16" t="s">
        <v>715</v>
      </c>
      <c r="D51">
        <v>9.8740000000000007E-5</v>
      </c>
      <c r="E51">
        <v>2.4900000000000002</v>
      </c>
      <c r="F51">
        <v>2.4580000000000001E-4</v>
      </c>
      <c r="G51">
        <v>10</v>
      </c>
    </row>
    <row r="52" spans="1:7" x14ac:dyDescent="0.35">
      <c r="A52" t="s">
        <v>854</v>
      </c>
      <c r="B52">
        <v>51</v>
      </c>
      <c r="C52" s="16" t="s">
        <v>714</v>
      </c>
      <c r="D52">
        <v>5.2079999999999999E-6</v>
      </c>
      <c r="E52">
        <v>1.6379999999999999</v>
      </c>
      <c r="F52">
        <v>8.5329999999999994E-6</v>
      </c>
      <c r="G52">
        <v>10</v>
      </c>
    </row>
    <row r="53" spans="1:7" x14ac:dyDescent="0.35">
      <c r="A53" t="s">
        <v>854</v>
      </c>
      <c r="B53">
        <v>52</v>
      </c>
      <c r="C53" s="16" t="s">
        <v>713</v>
      </c>
      <c r="D53">
        <v>4.489E-7</v>
      </c>
      <c r="E53">
        <v>1.292</v>
      </c>
      <c r="F53">
        <v>5.8019999999999997E-7</v>
      </c>
      <c r="G53">
        <v>10</v>
      </c>
    </row>
    <row r="54" spans="1:7" x14ac:dyDescent="0.35">
      <c r="A54" t="s">
        <v>854</v>
      </c>
      <c r="B54">
        <v>53</v>
      </c>
      <c r="C54" s="16" t="s">
        <v>712</v>
      </c>
      <c r="D54">
        <v>1.361E-6</v>
      </c>
      <c r="E54">
        <v>2.605</v>
      </c>
      <c r="F54">
        <v>3.5470000000000001E-6</v>
      </c>
      <c r="G54">
        <v>10</v>
      </c>
    </row>
    <row r="55" spans="1:7" x14ac:dyDescent="0.35">
      <c r="A55" t="s">
        <v>854</v>
      </c>
      <c r="B55">
        <v>54</v>
      </c>
      <c r="C55" s="16" t="s">
        <v>711</v>
      </c>
      <c r="D55">
        <v>4.489E-7</v>
      </c>
      <c r="E55">
        <v>2.6779999999999999</v>
      </c>
      <c r="F55">
        <v>1.2020000000000001E-6</v>
      </c>
      <c r="G55">
        <v>10</v>
      </c>
    </row>
    <row r="56" spans="1:7" x14ac:dyDescent="0.35">
      <c r="A56" t="s">
        <v>854</v>
      </c>
      <c r="B56">
        <v>55</v>
      </c>
      <c r="C56" s="16" t="s">
        <v>710</v>
      </c>
      <c r="D56">
        <v>5.596E-5</v>
      </c>
      <c r="E56">
        <v>2.1070000000000002</v>
      </c>
      <c r="F56">
        <v>1.1790000000000001E-4</v>
      </c>
      <c r="G56">
        <v>10</v>
      </c>
    </row>
    <row r="57" spans="1:7" x14ac:dyDescent="0.35">
      <c r="A57" t="s">
        <v>854</v>
      </c>
      <c r="B57">
        <v>56</v>
      </c>
      <c r="C57" s="16" t="s">
        <v>709</v>
      </c>
      <c r="D57">
        <v>4.489E-7</v>
      </c>
      <c r="E57">
        <v>2.109</v>
      </c>
      <c r="F57">
        <v>9.4689999999999999E-7</v>
      </c>
      <c r="G57">
        <v>10</v>
      </c>
    </row>
    <row r="58" spans="1:7" x14ac:dyDescent="0.35">
      <c r="A58" t="s">
        <v>854</v>
      </c>
      <c r="B58">
        <v>57</v>
      </c>
      <c r="C58" s="16" t="s">
        <v>708</v>
      </c>
      <c r="D58">
        <v>4.5410000000000001E-10</v>
      </c>
      <c r="E58">
        <v>2.4529999999999998</v>
      </c>
      <c r="F58">
        <v>1.1140000000000001E-9</v>
      </c>
      <c r="G58">
        <v>10</v>
      </c>
    </row>
    <row r="59" spans="1:7" x14ac:dyDescent="0.35">
      <c r="A59" t="s">
        <v>854</v>
      </c>
      <c r="B59">
        <v>58</v>
      </c>
      <c r="C59" s="16" t="s">
        <v>707</v>
      </c>
      <c r="D59">
        <v>1.31E-3</v>
      </c>
      <c r="E59">
        <v>2.5369999999999999</v>
      </c>
      <c r="F59">
        <v>3.323E-3</v>
      </c>
      <c r="G59">
        <v>10</v>
      </c>
    </row>
    <row r="60" spans="1:7" x14ac:dyDescent="0.35">
      <c r="A60" t="s">
        <v>854</v>
      </c>
      <c r="B60">
        <v>59</v>
      </c>
      <c r="C60" s="16" t="s">
        <v>706</v>
      </c>
      <c r="D60">
        <v>9.8740000000000007E-5</v>
      </c>
      <c r="E60">
        <v>3.1459999999999999</v>
      </c>
      <c r="F60">
        <v>3.1070000000000002E-4</v>
      </c>
      <c r="G60">
        <v>10</v>
      </c>
    </row>
    <row r="61" spans="1:7" x14ac:dyDescent="0.35">
      <c r="A61" t="s">
        <v>811</v>
      </c>
      <c r="B61">
        <v>60</v>
      </c>
      <c r="C61" s="16">
        <v>20</v>
      </c>
      <c r="D61">
        <v>4.675E-2</v>
      </c>
      <c r="E61">
        <v>2.1829999999999998</v>
      </c>
      <c r="F61">
        <v>0.1021</v>
      </c>
      <c r="G61">
        <v>10</v>
      </c>
    </row>
    <row r="62" spans="1:7" x14ac:dyDescent="0.35">
      <c r="A62" t="s">
        <v>811</v>
      </c>
      <c r="B62">
        <v>61</v>
      </c>
      <c r="C62" s="16">
        <v>19</v>
      </c>
      <c r="D62">
        <v>0.49880000000000002</v>
      </c>
      <c r="E62">
        <v>1.91</v>
      </c>
      <c r="F62">
        <v>0.9526</v>
      </c>
      <c r="G62">
        <v>10</v>
      </c>
    </row>
    <row r="63" spans="1:7" x14ac:dyDescent="0.35">
      <c r="A63" t="s">
        <v>811</v>
      </c>
      <c r="B63">
        <v>62</v>
      </c>
      <c r="C63" s="16">
        <v>18</v>
      </c>
      <c r="D63">
        <v>1.4279999999999999E-6</v>
      </c>
      <c r="E63">
        <v>3.1549999999999998</v>
      </c>
      <c r="F63">
        <v>4.5050000000000001E-6</v>
      </c>
      <c r="G63">
        <v>10</v>
      </c>
    </row>
    <row r="64" spans="1:7" x14ac:dyDescent="0.35">
      <c r="A64" t="s">
        <v>811</v>
      </c>
      <c r="B64">
        <v>63</v>
      </c>
      <c r="C64" s="16">
        <v>17</v>
      </c>
      <c r="D64">
        <v>2.9190000000000001E-2</v>
      </c>
      <c r="E64">
        <v>1.7450000000000001</v>
      </c>
      <c r="F64">
        <v>5.092E-2</v>
      </c>
      <c r="G64">
        <v>10</v>
      </c>
    </row>
    <row r="65" spans="1:7" x14ac:dyDescent="0.35">
      <c r="A65" t="s">
        <v>811</v>
      </c>
      <c r="B65">
        <v>64</v>
      </c>
      <c r="C65" s="16">
        <v>16</v>
      </c>
      <c r="D65">
        <v>3.0529999999999999E-4</v>
      </c>
      <c r="E65">
        <v>2.0569999999999999</v>
      </c>
      <c r="F65">
        <v>6.2810000000000003E-4</v>
      </c>
      <c r="G65">
        <v>10</v>
      </c>
    </row>
    <row r="66" spans="1:7" x14ac:dyDescent="0.35">
      <c r="A66" t="s">
        <v>811</v>
      </c>
      <c r="B66">
        <v>65</v>
      </c>
      <c r="C66" s="16">
        <v>15</v>
      </c>
      <c r="D66">
        <v>0.1249</v>
      </c>
      <c r="E66">
        <v>2.66</v>
      </c>
      <c r="F66">
        <v>0.33239999999999997</v>
      </c>
      <c r="G66">
        <v>10</v>
      </c>
    </row>
    <row r="67" spans="1:7" x14ac:dyDescent="0.35">
      <c r="A67" t="s">
        <v>811</v>
      </c>
      <c r="B67">
        <v>66</v>
      </c>
      <c r="C67" s="16">
        <v>14</v>
      </c>
      <c r="D67">
        <v>1.328E-4</v>
      </c>
      <c r="E67">
        <v>3.2789999999999999</v>
      </c>
      <c r="F67">
        <v>4.3550000000000001E-4</v>
      </c>
      <c r="G67">
        <v>10</v>
      </c>
    </row>
    <row r="68" spans="1:7" x14ac:dyDescent="0.35">
      <c r="A68" t="s">
        <v>811</v>
      </c>
      <c r="B68">
        <v>67</v>
      </c>
      <c r="C68" s="16">
        <v>13</v>
      </c>
      <c r="D68">
        <v>7.1469999999999997E-3</v>
      </c>
      <c r="E68">
        <v>2.0630000000000002</v>
      </c>
      <c r="F68">
        <v>1.474E-2</v>
      </c>
      <c r="G68">
        <v>10</v>
      </c>
    </row>
    <row r="69" spans="1:7" x14ac:dyDescent="0.35">
      <c r="A69" t="s">
        <v>811</v>
      </c>
      <c r="B69">
        <v>68</v>
      </c>
      <c r="C69" s="16">
        <v>12</v>
      </c>
      <c r="D69">
        <v>9.1699999999999993E-3</v>
      </c>
      <c r="E69">
        <v>2.3039999999999998</v>
      </c>
      <c r="F69">
        <v>2.1129999999999999E-2</v>
      </c>
      <c r="G69">
        <v>10</v>
      </c>
    </row>
    <row r="70" spans="1:7" x14ac:dyDescent="0.35">
      <c r="A70" t="s">
        <v>811</v>
      </c>
      <c r="B70">
        <v>69</v>
      </c>
      <c r="C70" s="16">
        <v>11</v>
      </c>
      <c r="D70">
        <v>2.366E-2</v>
      </c>
      <c r="E70">
        <v>1.82</v>
      </c>
      <c r="F70">
        <v>4.3060000000000001E-2</v>
      </c>
      <c r="G70">
        <v>10</v>
      </c>
    </row>
    <row r="71" spans="1:7" x14ac:dyDescent="0.35">
      <c r="A71" t="s">
        <v>811</v>
      </c>
      <c r="B71">
        <v>70</v>
      </c>
      <c r="C71" s="16">
        <v>10</v>
      </c>
      <c r="D71">
        <v>1.2729999999999999E-6</v>
      </c>
      <c r="E71">
        <v>3.0710000000000002</v>
      </c>
      <c r="F71">
        <v>3.9090000000000002E-6</v>
      </c>
      <c r="G71">
        <v>10</v>
      </c>
    </row>
    <row r="72" spans="1:7" x14ac:dyDescent="0.35">
      <c r="A72" t="s">
        <v>811</v>
      </c>
      <c r="B72">
        <v>71</v>
      </c>
      <c r="C72" s="16">
        <v>9</v>
      </c>
      <c r="D72">
        <v>0.1321</v>
      </c>
      <c r="E72">
        <v>1.7190000000000001</v>
      </c>
      <c r="F72">
        <v>0.22700000000000001</v>
      </c>
      <c r="G72">
        <v>10</v>
      </c>
    </row>
    <row r="73" spans="1:7" x14ac:dyDescent="0.35">
      <c r="A73" t="s">
        <v>811</v>
      </c>
      <c r="B73">
        <v>72</v>
      </c>
      <c r="C73" s="16">
        <v>8</v>
      </c>
      <c r="D73">
        <v>0.49880000000000002</v>
      </c>
      <c r="E73">
        <v>1.7370000000000001</v>
      </c>
      <c r="F73">
        <v>0.86650000000000005</v>
      </c>
      <c r="G73">
        <v>10</v>
      </c>
    </row>
    <row r="74" spans="1:7" x14ac:dyDescent="0.35">
      <c r="A74" t="s">
        <v>811</v>
      </c>
      <c r="B74">
        <v>73</v>
      </c>
      <c r="C74" s="16">
        <v>7</v>
      </c>
      <c r="D74">
        <v>2.181E-7</v>
      </c>
      <c r="E74">
        <v>3.3450000000000002</v>
      </c>
      <c r="F74">
        <v>7.2939999999999995E-7</v>
      </c>
      <c r="G74">
        <v>10</v>
      </c>
    </row>
    <row r="75" spans="1:7" x14ac:dyDescent="0.35">
      <c r="A75" t="s">
        <v>811</v>
      </c>
      <c r="B75">
        <v>74</v>
      </c>
      <c r="C75" s="16">
        <v>6</v>
      </c>
      <c r="D75">
        <v>1.651E-2</v>
      </c>
      <c r="E75">
        <v>1.355</v>
      </c>
      <c r="F75">
        <v>2.2370000000000001E-2</v>
      </c>
      <c r="G75">
        <v>10</v>
      </c>
    </row>
    <row r="76" spans="1:7" x14ac:dyDescent="0.35">
      <c r="A76" t="s">
        <v>811</v>
      </c>
      <c r="B76">
        <v>75</v>
      </c>
      <c r="C76" s="16">
        <v>5</v>
      </c>
      <c r="D76">
        <v>0.49880000000000002</v>
      </c>
      <c r="E76">
        <v>1.39</v>
      </c>
      <c r="F76">
        <v>0.69359999999999999</v>
      </c>
      <c r="G76">
        <v>10</v>
      </c>
    </row>
    <row r="77" spans="1:7" x14ac:dyDescent="0.35">
      <c r="A77" t="s">
        <v>811</v>
      </c>
      <c r="B77">
        <v>76</v>
      </c>
      <c r="C77" s="16">
        <v>4</v>
      </c>
      <c r="D77">
        <v>5.5589999999999996E-6</v>
      </c>
      <c r="E77">
        <v>2.7189999999999999</v>
      </c>
      <c r="F77">
        <v>1.5109999999999999E-5</v>
      </c>
      <c r="G77">
        <v>10</v>
      </c>
    </row>
    <row r="78" spans="1:7" x14ac:dyDescent="0.35">
      <c r="A78" t="s">
        <v>811</v>
      </c>
      <c r="B78">
        <v>77</v>
      </c>
      <c r="C78" s="16">
        <v>3</v>
      </c>
      <c r="D78">
        <v>1.2729999999999999E-6</v>
      </c>
      <c r="E78">
        <v>3.49</v>
      </c>
      <c r="F78">
        <v>4.4429999999999996E-6</v>
      </c>
      <c r="G78">
        <v>10</v>
      </c>
    </row>
    <row r="79" spans="1:7" x14ac:dyDescent="0.35">
      <c r="A79" t="s">
        <v>811</v>
      </c>
      <c r="B79">
        <v>78</v>
      </c>
      <c r="C79" s="16">
        <v>2</v>
      </c>
      <c r="D79">
        <v>1.6019999999999999E-5</v>
      </c>
      <c r="E79">
        <v>1.655</v>
      </c>
      <c r="F79">
        <v>2.6509999999999999E-5</v>
      </c>
      <c r="G79">
        <v>10</v>
      </c>
    </row>
    <row r="80" spans="1:7" x14ac:dyDescent="0.35">
      <c r="A80" t="s">
        <v>811</v>
      </c>
      <c r="B80">
        <v>79</v>
      </c>
      <c r="C80" s="16">
        <v>1</v>
      </c>
      <c r="D80">
        <v>0.72030000000000005</v>
      </c>
      <c r="E80">
        <v>2.3050000000000002</v>
      </c>
      <c r="F80">
        <v>1.66</v>
      </c>
      <c r="G80">
        <v>10</v>
      </c>
    </row>
    <row r="81" spans="1:7" x14ac:dyDescent="0.35">
      <c r="A81" t="s">
        <v>859</v>
      </c>
      <c r="B81">
        <v>80</v>
      </c>
      <c r="C81" s="16" t="s">
        <v>656</v>
      </c>
      <c r="D81">
        <v>0.56910000000000005</v>
      </c>
      <c r="E81">
        <v>2.5739999999999998</v>
      </c>
      <c r="F81">
        <v>1.4650000000000001</v>
      </c>
      <c r="G81">
        <v>14</v>
      </c>
    </row>
    <row r="82" spans="1:7" x14ac:dyDescent="0.35">
      <c r="A82" t="s">
        <v>859</v>
      </c>
      <c r="B82">
        <v>81</v>
      </c>
      <c r="C82" s="16" t="s">
        <v>613</v>
      </c>
      <c r="D82">
        <v>0.96830000000000005</v>
      </c>
      <c r="E82">
        <v>2.5409999999999999</v>
      </c>
      <c r="F82">
        <v>2.46</v>
      </c>
      <c r="G82">
        <v>14</v>
      </c>
    </row>
    <row r="83" spans="1:7" x14ac:dyDescent="0.35">
      <c r="A83" t="s">
        <v>859</v>
      </c>
      <c r="B83">
        <v>82</v>
      </c>
      <c r="C83" s="16" t="s">
        <v>612</v>
      </c>
      <c r="D83">
        <v>4.827E-2</v>
      </c>
      <c r="E83">
        <v>2.4350000000000001</v>
      </c>
      <c r="F83">
        <v>0.11749999999999999</v>
      </c>
      <c r="G83">
        <v>14</v>
      </c>
    </row>
    <row r="84" spans="1:7" x14ac:dyDescent="0.35">
      <c r="A84" t="s">
        <v>859</v>
      </c>
      <c r="B84">
        <v>83</v>
      </c>
      <c r="C84" s="16" t="s">
        <v>655</v>
      </c>
      <c r="D84">
        <v>1.1900000000000001E-2</v>
      </c>
      <c r="E84">
        <v>2.0430000000000001</v>
      </c>
      <c r="F84">
        <v>2.4320000000000001E-2</v>
      </c>
      <c r="G84">
        <v>14</v>
      </c>
    </row>
    <row r="85" spans="1:7" x14ac:dyDescent="0.35">
      <c r="A85" t="s">
        <v>859</v>
      </c>
      <c r="B85">
        <v>84</v>
      </c>
      <c r="C85" s="16" t="s">
        <v>629</v>
      </c>
      <c r="D85">
        <v>1.9040000000000001E-5</v>
      </c>
      <c r="E85">
        <v>3.6629999999999998</v>
      </c>
      <c r="F85">
        <v>6.9759999999999996E-5</v>
      </c>
      <c r="G85">
        <v>14</v>
      </c>
    </row>
    <row r="86" spans="1:7" x14ac:dyDescent="0.35">
      <c r="A86" t="s">
        <v>859</v>
      </c>
      <c r="B86">
        <v>85</v>
      </c>
      <c r="C86" s="16" t="s">
        <v>623</v>
      </c>
      <c r="D86">
        <v>9.0929999999999997E-2</v>
      </c>
      <c r="E86">
        <v>2.9049999999999998</v>
      </c>
      <c r="F86">
        <v>0.2641</v>
      </c>
      <c r="G86">
        <v>14</v>
      </c>
    </row>
    <row r="87" spans="1:7" x14ac:dyDescent="0.35">
      <c r="A87" t="s">
        <v>859</v>
      </c>
      <c r="B87">
        <v>86</v>
      </c>
      <c r="C87" s="16" t="s">
        <v>617</v>
      </c>
      <c r="D87">
        <v>3.3390000000000003E-2</v>
      </c>
      <c r="E87">
        <v>2.4569999999999999</v>
      </c>
      <c r="F87">
        <v>8.2030000000000006E-2</v>
      </c>
      <c r="G87">
        <v>14</v>
      </c>
    </row>
    <row r="88" spans="1:7" x14ac:dyDescent="0.35">
      <c r="A88" t="s">
        <v>859</v>
      </c>
      <c r="B88">
        <v>87</v>
      </c>
      <c r="C88" s="16" t="s">
        <v>609</v>
      </c>
      <c r="D88">
        <v>2.1129999999999999E-6</v>
      </c>
      <c r="E88">
        <v>3.375</v>
      </c>
      <c r="F88">
        <v>7.1330000000000001E-6</v>
      </c>
      <c r="G88">
        <v>14</v>
      </c>
    </row>
    <row r="89" spans="1:7" x14ac:dyDescent="0.35">
      <c r="A89" t="s">
        <v>859</v>
      </c>
      <c r="B89">
        <v>88</v>
      </c>
      <c r="C89" s="16" t="s">
        <v>654</v>
      </c>
      <c r="D89">
        <v>2.7549999999999997E-4</v>
      </c>
      <c r="E89">
        <v>2.528</v>
      </c>
      <c r="F89">
        <v>6.9640000000000001E-4</v>
      </c>
      <c r="G89">
        <v>14</v>
      </c>
    </row>
    <row r="90" spans="1:7" x14ac:dyDescent="0.35">
      <c r="A90" t="s">
        <v>859</v>
      </c>
      <c r="B90">
        <v>89</v>
      </c>
      <c r="C90" s="16" t="s">
        <v>653</v>
      </c>
      <c r="D90">
        <v>1.2300000000000001E-5</v>
      </c>
      <c r="E90">
        <v>2.298</v>
      </c>
      <c r="F90">
        <v>2.828E-5</v>
      </c>
      <c r="G90">
        <v>14</v>
      </c>
    </row>
    <row r="91" spans="1:7" x14ac:dyDescent="0.35">
      <c r="A91" t="s">
        <v>859</v>
      </c>
      <c r="B91">
        <v>90</v>
      </c>
      <c r="C91" s="16" t="s">
        <v>652</v>
      </c>
      <c r="D91">
        <v>0.56910000000000005</v>
      </c>
      <c r="E91">
        <v>1.7230000000000001</v>
      </c>
      <c r="F91">
        <v>0.98060000000000003</v>
      </c>
      <c r="G91">
        <v>14</v>
      </c>
    </row>
    <row r="92" spans="1:7" x14ac:dyDescent="0.35">
      <c r="A92" t="s">
        <v>859</v>
      </c>
      <c r="B92">
        <v>91</v>
      </c>
      <c r="C92" s="16" t="s">
        <v>610</v>
      </c>
      <c r="D92">
        <v>1.5660000000000001E-4</v>
      </c>
      <c r="E92">
        <v>2.544</v>
      </c>
      <c r="F92">
        <v>3.9839999999999998E-4</v>
      </c>
      <c r="G92">
        <v>14</v>
      </c>
    </row>
    <row r="93" spans="1:7" x14ac:dyDescent="0.35">
      <c r="A93" t="s">
        <v>859</v>
      </c>
      <c r="B93">
        <v>92</v>
      </c>
      <c r="C93" s="16" t="s">
        <v>651</v>
      </c>
      <c r="D93">
        <v>6.7819999999999998E-3</v>
      </c>
      <c r="E93">
        <v>2.93</v>
      </c>
      <c r="F93">
        <v>1.9869999999999999E-2</v>
      </c>
      <c r="G93">
        <v>14</v>
      </c>
    </row>
    <row r="94" spans="1:7" x14ac:dyDescent="0.35">
      <c r="A94" t="s">
        <v>859</v>
      </c>
      <c r="B94">
        <v>93</v>
      </c>
      <c r="C94" s="16" t="s">
        <v>618</v>
      </c>
      <c r="D94">
        <v>2.1670000000000001E-3</v>
      </c>
      <c r="E94">
        <v>3.452</v>
      </c>
      <c r="F94">
        <v>7.4819999999999999E-3</v>
      </c>
      <c r="G94">
        <v>14</v>
      </c>
    </row>
    <row r="95" spans="1:7" x14ac:dyDescent="0.35">
      <c r="A95" t="s">
        <v>859</v>
      </c>
      <c r="B95">
        <v>94</v>
      </c>
      <c r="C95" s="16" t="s">
        <v>634</v>
      </c>
      <c r="D95">
        <v>0.18529999999999999</v>
      </c>
      <c r="E95">
        <v>2.911</v>
      </c>
      <c r="F95">
        <v>0.53949999999999998</v>
      </c>
      <c r="G95">
        <v>14</v>
      </c>
    </row>
    <row r="96" spans="1:7" x14ac:dyDescent="0.35">
      <c r="A96" t="s">
        <v>859</v>
      </c>
      <c r="B96">
        <v>95</v>
      </c>
      <c r="C96" s="16" t="s">
        <v>650</v>
      </c>
      <c r="D96">
        <v>0.2225</v>
      </c>
      <c r="E96">
        <v>2.8450000000000002</v>
      </c>
      <c r="F96">
        <v>0.63319999999999999</v>
      </c>
      <c r="G96">
        <v>14</v>
      </c>
    </row>
    <row r="97" spans="1:7" x14ac:dyDescent="0.35">
      <c r="A97" t="s">
        <v>859</v>
      </c>
      <c r="B97">
        <v>96</v>
      </c>
      <c r="C97" s="16" t="s">
        <v>649</v>
      </c>
      <c r="D97">
        <v>0.14349999999999999</v>
      </c>
      <c r="E97">
        <v>2.3439999999999999</v>
      </c>
      <c r="F97">
        <v>0.33629999999999999</v>
      </c>
      <c r="G97">
        <v>14</v>
      </c>
    </row>
    <row r="98" spans="1:7" x14ac:dyDescent="0.35">
      <c r="A98" t="s">
        <v>859</v>
      </c>
      <c r="B98">
        <v>97</v>
      </c>
      <c r="C98" s="16" t="s">
        <v>648</v>
      </c>
      <c r="D98">
        <v>1.261E-3</v>
      </c>
      <c r="E98">
        <v>2.6549999999999998</v>
      </c>
      <c r="F98">
        <v>3.3470000000000001E-3</v>
      </c>
      <c r="G98">
        <v>14</v>
      </c>
    </row>
    <row r="99" spans="1:7" x14ac:dyDescent="0.35">
      <c r="A99" t="s">
        <v>859</v>
      </c>
      <c r="B99">
        <v>98</v>
      </c>
      <c r="C99" s="16" t="s">
        <v>616</v>
      </c>
      <c r="D99">
        <v>1.242E-2</v>
      </c>
      <c r="E99">
        <v>2.734</v>
      </c>
      <c r="F99">
        <v>3.3959999999999997E-2</v>
      </c>
      <c r="G99">
        <v>14</v>
      </c>
    </row>
    <row r="100" spans="1:7" x14ac:dyDescent="0.35">
      <c r="A100" t="s">
        <v>859</v>
      </c>
      <c r="B100">
        <v>99</v>
      </c>
      <c r="C100" s="16" t="s">
        <v>628</v>
      </c>
      <c r="D100">
        <v>0.14349999999999999</v>
      </c>
      <c r="E100">
        <v>2.6480000000000001</v>
      </c>
      <c r="F100">
        <v>0.37990000000000002</v>
      </c>
      <c r="G100">
        <v>14</v>
      </c>
    </row>
    <row r="101" spans="1:7" x14ac:dyDescent="0.35">
      <c r="A101" t="s">
        <v>859</v>
      </c>
      <c r="B101">
        <v>100</v>
      </c>
      <c r="C101" s="16" t="s">
        <v>621</v>
      </c>
      <c r="D101">
        <v>1.014E-4</v>
      </c>
      <c r="E101">
        <v>2.2429999999999999</v>
      </c>
      <c r="F101">
        <v>2.275E-4</v>
      </c>
      <c r="G101">
        <v>14</v>
      </c>
    </row>
    <row r="102" spans="1:7" x14ac:dyDescent="0.35">
      <c r="A102" t="s">
        <v>859</v>
      </c>
      <c r="B102">
        <v>101</v>
      </c>
      <c r="C102" s="16" t="s">
        <v>647</v>
      </c>
      <c r="D102">
        <v>9.8429999999999993E-3</v>
      </c>
      <c r="E102">
        <v>2.9159999999999999</v>
      </c>
      <c r="F102">
        <v>2.8709999999999999E-2</v>
      </c>
      <c r="G102">
        <v>14</v>
      </c>
    </row>
    <row r="103" spans="1:7" x14ac:dyDescent="0.35">
      <c r="A103" t="s">
        <v>859</v>
      </c>
      <c r="B103">
        <v>102</v>
      </c>
      <c r="C103" s="16" t="s">
        <v>632</v>
      </c>
      <c r="D103">
        <v>4.827E-2</v>
      </c>
      <c r="E103">
        <v>2.41</v>
      </c>
      <c r="F103">
        <v>0.1163</v>
      </c>
      <c r="G103">
        <v>14</v>
      </c>
    </row>
    <row r="104" spans="1:7" x14ac:dyDescent="0.35">
      <c r="A104" t="s">
        <v>859</v>
      </c>
      <c r="B104">
        <v>103</v>
      </c>
      <c r="C104" s="16" t="s">
        <v>626</v>
      </c>
      <c r="D104">
        <v>0.24260000000000001</v>
      </c>
      <c r="E104">
        <v>2.1970000000000001</v>
      </c>
      <c r="F104">
        <v>0.53300000000000003</v>
      </c>
      <c r="G104">
        <v>14</v>
      </c>
    </row>
    <row r="105" spans="1:7" x14ac:dyDescent="0.35">
      <c r="A105" t="s">
        <v>859</v>
      </c>
      <c r="B105">
        <v>104</v>
      </c>
      <c r="C105" s="16" t="s">
        <v>646</v>
      </c>
      <c r="D105">
        <v>3.3390000000000003E-2</v>
      </c>
      <c r="E105">
        <v>2.1240000000000001</v>
      </c>
      <c r="F105">
        <v>7.0940000000000003E-2</v>
      </c>
      <c r="G105">
        <v>14</v>
      </c>
    </row>
    <row r="106" spans="1:7" x14ac:dyDescent="0.35">
      <c r="A106" t="s">
        <v>859</v>
      </c>
      <c r="B106">
        <v>105</v>
      </c>
      <c r="C106" s="16" t="s">
        <v>607</v>
      </c>
      <c r="D106">
        <v>9.0929999999999997E-2</v>
      </c>
      <c r="E106">
        <v>2.6869999999999998</v>
      </c>
      <c r="F106">
        <v>0.24440000000000001</v>
      </c>
      <c r="G106">
        <v>14</v>
      </c>
    </row>
    <row r="107" spans="1:7" x14ac:dyDescent="0.35">
      <c r="A107" t="s">
        <v>859</v>
      </c>
      <c r="B107">
        <v>106</v>
      </c>
      <c r="C107" s="16" t="s">
        <v>604</v>
      </c>
      <c r="D107">
        <v>9.8429999999999993E-3</v>
      </c>
      <c r="E107">
        <v>2.589</v>
      </c>
      <c r="F107">
        <v>2.5479999999999999E-2</v>
      </c>
      <c r="G107">
        <v>14</v>
      </c>
    </row>
    <row r="108" spans="1:7" x14ac:dyDescent="0.35">
      <c r="A108" t="s">
        <v>859</v>
      </c>
      <c r="B108">
        <v>107</v>
      </c>
      <c r="C108" s="16" t="s">
        <v>619</v>
      </c>
      <c r="D108">
        <v>5.7990000000000005E-7</v>
      </c>
      <c r="E108">
        <v>2.0659999999999998</v>
      </c>
      <c r="F108">
        <v>1.198E-6</v>
      </c>
      <c r="G108">
        <v>14</v>
      </c>
    </row>
    <row r="109" spans="1:7" x14ac:dyDescent="0.35">
      <c r="A109" t="s">
        <v>859</v>
      </c>
      <c r="B109">
        <v>108</v>
      </c>
      <c r="C109" s="16" t="s">
        <v>615</v>
      </c>
      <c r="D109">
        <v>7.2349999999999998E-2</v>
      </c>
      <c r="E109">
        <v>2.214</v>
      </c>
      <c r="F109">
        <v>0.16009999999999999</v>
      </c>
      <c r="G109">
        <v>14</v>
      </c>
    </row>
    <row r="110" spans="1:7" x14ac:dyDescent="0.35">
      <c r="A110" t="s">
        <v>859</v>
      </c>
      <c r="B110">
        <v>109</v>
      </c>
      <c r="C110" s="16" t="s">
        <v>645</v>
      </c>
      <c r="D110">
        <v>0.56910000000000005</v>
      </c>
      <c r="E110">
        <v>1.593</v>
      </c>
      <c r="F110">
        <v>0.90639999999999998</v>
      </c>
      <c r="G110">
        <v>14</v>
      </c>
    </row>
    <row r="111" spans="1:7" x14ac:dyDescent="0.35">
      <c r="A111" t="s">
        <v>859</v>
      </c>
      <c r="B111">
        <v>110</v>
      </c>
      <c r="C111" s="16" t="s">
        <v>633</v>
      </c>
      <c r="D111">
        <v>0.56910000000000005</v>
      </c>
      <c r="E111">
        <v>2.2759999999999998</v>
      </c>
      <c r="F111">
        <v>1.2949999999999999</v>
      </c>
      <c r="G111">
        <v>14</v>
      </c>
    </row>
    <row r="112" spans="1:7" x14ac:dyDescent="0.35">
      <c r="A112" t="s">
        <v>859</v>
      </c>
      <c r="B112">
        <v>111</v>
      </c>
      <c r="C112" s="16" t="s">
        <v>631</v>
      </c>
      <c r="D112">
        <v>7.2349999999999998E-2</v>
      </c>
      <c r="E112">
        <v>2.5539999999999998</v>
      </c>
      <c r="F112">
        <v>0.1847</v>
      </c>
      <c r="G112">
        <v>14</v>
      </c>
    </row>
    <row r="113" spans="1:7" x14ac:dyDescent="0.35">
      <c r="A113" t="s">
        <v>859</v>
      </c>
      <c r="B113">
        <v>112</v>
      </c>
      <c r="C113" s="16" t="s">
        <v>627</v>
      </c>
      <c r="D113">
        <v>2.202E-3</v>
      </c>
      <c r="E113">
        <v>2.601</v>
      </c>
      <c r="F113">
        <v>5.7270000000000003E-3</v>
      </c>
      <c r="G113">
        <v>14</v>
      </c>
    </row>
    <row r="114" spans="1:7" x14ac:dyDescent="0.35">
      <c r="A114" t="s">
        <v>859</v>
      </c>
      <c r="B114">
        <v>113</v>
      </c>
      <c r="C114" s="16" t="s">
        <v>625</v>
      </c>
      <c r="D114">
        <v>5.4309999999999997E-2</v>
      </c>
      <c r="E114">
        <v>2.077</v>
      </c>
      <c r="F114">
        <v>0.1128</v>
      </c>
      <c r="G114">
        <v>14</v>
      </c>
    </row>
    <row r="115" spans="1:7" x14ac:dyDescent="0.35">
      <c r="A115" t="s">
        <v>859</v>
      </c>
      <c r="B115">
        <v>114</v>
      </c>
      <c r="C115" s="16" t="s">
        <v>644</v>
      </c>
      <c r="D115">
        <v>9.8429999999999993E-3</v>
      </c>
      <c r="E115">
        <v>2.141</v>
      </c>
      <c r="F115">
        <v>2.1069999999999998E-2</v>
      </c>
      <c r="G115">
        <v>14</v>
      </c>
    </row>
    <row r="116" spans="1:7" x14ac:dyDescent="0.35">
      <c r="A116" t="s">
        <v>859</v>
      </c>
      <c r="B116">
        <v>115</v>
      </c>
      <c r="C116" s="16" t="s">
        <v>620</v>
      </c>
      <c r="D116">
        <v>9.8429999999999993E-3</v>
      </c>
      <c r="E116">
        <v>2.468</v>
      </c>
      <c r="F116">
        <v>2.4289999999999999E-2</v>
      </c>
      <c r="G116">
        <v>14</v>
      </c>
    </row>
    <row r="117" spans="1:7" x14ac:dyDescent="0.35">
      <c r="A117" t="s">
        <v>859</v>
      </c>
      <c r="B117">
        <v>116</v>
      </c>
      <c r="C117" s="16" t="s">
        <v>643</v>
      </c>
      <c r="D117">
        <v>3.3910000000000003E-2</v>
      </c>
      <c r="E117">
        <v>2.4660000000000002</v>
      </c>
      <c r="F117">
        <v>8.3599999999999994E-2</v>
      </c>
      <c r="G117">
        <v>14</v>
      </c>
    </row>
    <row r="118" spans="1:7" x14ac:dyDescent="0.35">
      <c r="A118" t="s">
        <v>859</v>
      </c>
      <c r="B118">
        <v>117</v>
      </c>
      <c r="C118" s="16" t="s">
        <v>611</v>
      </c>
      <c r="D118">
        <v>6.3779999999999995E-7</v>
      </c>
      <c r="E118">
        <v>1.8</v>
      </c>
      <c r="F118">
        <v>1.1480000000000001E-6</v>
      </c>
      <c r="G118">
        <v>14</v>
      </c>
    </row>
    <row r="119" spans="1:7" x14ac:dyDescent="0.35">
      <c r="A119" t="s">
        <v>859</v>
      </c>
      <c r="B119">
        <v>118</v>
      </c>
      <c r="C119" s="16" t="s">
        <v>608</v>
      </c>
      <c r="D119">
        <v>0.24260000000000001</v>
      </c>
      <c r="E119">
        <v>2.3889999999999998</v>
      </c>
      <c r="F119">
        <v>0.5796</v>
      </c>
      <c r="G119">
        <v>14</v>
      </c>
    </row>
    <row r="120" spans="1:7" x14ac:dyDescent="0.35">
      <c r="A120" t="s">
        <v>859</v>
      </c>
      <c r="B120">
        <v>119</v>
      </c>
      <c r="C120" s="16" t="s">
        <v>605</v>
      </c>
      <c r="D120">
        <v>0.56910000000000005</v>
      </c>
      <c r="E120">
        <v>2.2549999999999999</v>
      </c>
      <c r="F120">
        <v>1.2829999999999999</v>
      </c>
      <c r="G120">
        <v>14</v>
      </c>
    </row>
    <row r="121" spans="1:7" x14ac:dyDescent="0.35">
      <c r="A121" t="s">
        <v>859</v>
      </c>
      <c r="B121">
        <v>120</v>
      </c>
      <c r="C121" s="16" t="s">
        <v>642</v>
      </c>
      <c r="D121">
        <v>0.2225</v>
      </c>
      <c r="E121">
        <v>2.1869999999999998</v>
      </c>
      <c r="F121">
        <v>0.48680000000000001</v>
      </c>
      <c r="G121">
        <v>14</v>
      </c>
    </row>
    <row r="122" spans="1:7" x14ac:dyDescent="0.35">
      <c r="A122" t="s">
        <v>859</v>
      </c>
      <c r="B122">
        <v>121</v>
      </c>
      <c r="C122" s="16" t="s">
        <v>641</v>
      </c>
      <c r="D122">
        <v>0.56910000000000005</v>
      </c>
      <c r="E122">
        <v>2.2709999999999999</v>
      </c>
      <c r="F122">
        <v>1.292</v>
      </c>
      <c r="G122">
        <v>14</v>
      </c>
    </row>
    <row r="123" spans="1:7" x14ac:dyDescent="0.35">
      <c r="A123" t="s">
        <v>859</v>
      </c>
      <c r="B123">
        <v>122</v>
      </c>
      <c r="C123" s="16" t="s">
        <v>622</v>
      </c>
      <c r="D123">
        <v>0.32079999999999997</v>
      </c>
      <c r="E123">
        <v>2.1850000000000001</v>
      </c>
      <c r="F123">
        <v>0.70079999999999998</v>
      </c>
      <c r="G123">
        <v>14</v>
      </c>
    </row>
    <row r="124" spans="1:7" x14ac:dyDescent="0.35">
      <c r="A124" t="s">
        <v>859</v>
      </c>
      <c r="B124">
        <v>123</v>
      </c>
      <c r="C124" s="16" t="s">
        <v>640</v>
      </c>
      <c r="D124">
        <v>9.0929999999999997E-2</v>
      </c>
      <c r="E124">
        <v>2.2149999999999999</v>
      </c>
      <c r="F124">
        <v>0.2014</v>
      </c>
      <c r="G124">
        <v>14</v>
      </c>
    </row>
    <row r="125" spans="1:7" x14ac:dyDescent="0.35">
      <c r="A125" t="s">
        <v>859</v>
      </c>
      <c r="B125">
        <v>124</v>
      </c>
      <c r="C125" s="16" t="s">
        <v>639</v>
      </c>
      <c r="D125">
        <v>7.3750000000000003E-7</v>
      </c>
      <c r="E125">
        <v>3.956</v>
      </c>
      <c r="F125">
        <v>2.9179999999999998E-6</v>
      </c>
      <c r="G125">
        <v>14</v>
      </c>
    </row>
    <row r="126" spans="1:7" x14ac:dyDescent="0.35">
      <c r="A126" t="s">
        <v>859</v>
      </c>
      <c r="B126">
        <v>125</v>
      </c>
      <c r="C126" s="16" t="s">
        <v>614</v>
      </c>
      <c r="D126">
        <v>9.8429999999999993E-3</v>
      </c>
      <c r="E126">
        <v>2.895</v>
      </c>
      <c r="F126">
        <v>2.8490000000000001E-2</v>
      </c>
      <c r="G126">
        <v>14</v>
      </c>
    </row>
    <row r="127" spans="1:7" x14ac:dyDescent="0.35">
      <c r="A127" t="s">
        <v>859</v>
      </c>
      <c r="B127">
        <v>126</v>
      </c>
      <c r="C127" s="16" t="s">
        <v>606</v>
      </c>
      <c r="D127">
        <v>1.345E-2</v>
      </c>
      <c r="E127">
        <v>2.6379999999999999</v>
      </c>
      <c r="F127">
        <v>3.5490000000000001E-2</v>
      </c>
      <c r="G127">
        <v>14</v>
      </c>
    </row>
    <row r="128" spans="1:7" x14ac:dyDescent="0.35">
      <c r="A128" t="s">
        <v>859</v>
      </c>
      <c r="B128">
        <v>127</v>
      </c>
      <c r="C128" s="16" t="s">
        <v>603</v>
      </c>
      <c r="D128">
        <v>7.2039999999999995E-4</v>
      </c>
      <c r="E128">
        <v>2.625</v>
      </c>
      <c r="F128">
        <v>1.8910000000000001E-3</v>
      </c>
      <c r="G128">
        <v>14</v>
      </c>
    </row>
    <row r="129" spans="1:7" x14ac:dyDescent="0.35">
      <c r="A129" t="s">
        <v>853</v>
      </c>
      <c r="B129">
        <v>128</v>
      </c>
      <c r="C129" s="16" t="s">
        <v>611</v>
      </c>
      <c r="D129">
        <v>0.3851</v>
      </c>
      <c r="E129">
        <v>0.6109</v>
      </c>
      <c r="F129">
        <v>0.23530000000000001</v>
      </c>
      <c r="G129">
        <v>11</v>
      </c>
    </row>
    <row r="130" spans="1:7" x14ac:dyDescent="0.35">
      <c r="A130" t="s">
        <v>853</v>
      </c>
      <c r="B130">
        <v>129</v>
      </c>
      <c r="C130" s="16" t="s">
        <v>610</v>
      </c>
      <c r="D130">
        <v>0.32650000000000001</v>
      </c>
      <c r="E130">
        <v>0.84609999999999996</v>
      </c>
      <c r="F130">
        <v>0.2762</v>
      </c>
      <c r="G130">
        <v>11</v>
      </c>
    </row>
    <row r="131" spans="1:7" x14ac:dyDescent="0.35">
      <c r="A131" t="s">
        <v>853</v>
      </c>
      <c r="B131">
        <v>130</v>
      </c>
      <c r="C131" s="16" t="s">
        <v>609</v>
      </c>
      <c r="D131">
        <v>0.16869999999999999</v>
      </c>
      <c r="E131">
        <v>0.6764</v>
      </c>
      <c r="F131">
        <v>0.11409999999999999</v>
      </c>
      <c r="G131">
        <v>11</v>
      </c>
    </row>
    <row r="132" spans="1:7" x14ac:dyDescent="0.35">
      <c r="A132" t="s">
        <v>853</v>
      </c>
      <c r="B132">
        <v>131</v>
      </c>
      <c r="C132" s="16" t="s">
        <v>608</v>
      </c>
      <c r="D132">
        <v>1.8460000000000001E-2</v>
      </c>
      <c r="E132">
        <v>0.74829999999999997</v>
      </c>
      <c r="F132">
        <v>1.3820000000000001E-2</v>
      </c>
      <c r="G132">
        <v>11</v>
      </c>
    </row>
    <row r="133" spans="1:7" x14ac:dyDescent="0.35">
      <c r="A133" t="s">
        <v>853</v>
      </c>
      <c r="B133">
        <v>132</v>
      </c>
      <c r="C133" s="16" t="s">
        <v>634</v>
      </c>
      <c r="D133">
        <v>0.39939999999999998</v>
      </c>
      <c r="E133">
        <v>0.5484</v>
      </c>
      <c r="F133">
        <v>0.219</v>
      </c>
      <c r="G133">
        <v>11</v>
      </c>
    </row>
    <row r="134" spans="1:7" x14ac:dyDescent="0.35">
      <c r="A134" t="s">
        <v>853</v>
      </c>
      <c r="B134">
        <v>133</v>
      </c>
      <c r="C134" s="16" t="s">
        <v>607</v>
      </c>
      <c r="D134">
        <v>3.3E-3</v>
      </c>
      <c r="E134">
        <v>1.2949999999999999</v>
      </c>
      <c r="F134">
        <v>4.2719999999999998E-3</v>
      </c>
      <c r="G134">
        <v>11</v>
      </c>
    </row>
    <row r="135" spans="1:7" x14ac:dyDescent="0.35">
      <c r="A135" t="s">
        <v>853</v>
      </c>
      <c r="B135">
        <v>134</v>
      </c>
      <c r="C135" s="16" t="s">
        <v>606</v>
      </c>
      <c r="D135">
        <v>3.0049999999999999E-4</v>
      </c>
      <c r="E135">
        <v>1.357</v>
      </c>
      <c r="F135">
        <v>4.0779999999999999E-4</v>
      </c>
      <c r="G135">
        <v>11</v>
      </c>
    </row>
    <row r="136" spans="1:7" x14ac:dyDescent="0.35">
      <c r="A136" t="s">
        <v>853</v>
      </c>
      <c r="B136">
        <v>135</v>
      </c>
      <c r="C136" s="16" t="s">
        <v>605</v>
      </c>
      <c r="D136">
        <v>1.6960000000000001E-7</v>
      </c>
      <c r="E136">
        <v>1.5920000000000001</v>
      </c>
      <c r="F136">
        <v>2.699E-7</v>
      </c>
      <c r="G136">
        <v>11</v>
      </c>
    </row>
    <row r="137" spans="1:7" x14ac:dyDescent="0.35">
      <c r="A137" t="s">
        <v>853</v>
      </c>
      <c r="B137">
        <v>136</v>
      </c>
      <c r="C137" s="16" t="s">
        <v>604</v>
      </c>
      <c r="D137">
        <v>1.257E-5</v>
      </c>
      <c r="E137">
        <v>1.3540000000000001</v>
      </c>
      <c r="F137">
        <v>1.7010000000000001E-5</v>
      </c>
      <c r="G137">
        <v>11</v>
      </c>
    </row>
    <row r="138" spans="1:7" x14ac:dyDescent="0.35">
      <c r="A138" t="s">
        <v>853</v>
      </c>
      <c r="B138">
        <v>137</v>
      </c>
      <c r="C138" s="16" t="s">
        <v>603</v>
      </c>
      <c r="D138">
        <v>8.3339999999999997E-2</v>
      </c>
      <c r="E138">
        <v>0.89329999999999998</v>
      </c>
      <c r="F138">
        <v>7.4450000000000002E-2</v>
      </c>
      <c r="G138">
        <v>11</v>
      </c>
    </row>
    <row r="139" spans="1:7" x14ac:dyDescent="0.35">
      <c r="A139" t="s">
        <v>812</v>
      </c>
      <c r="B139">
        <v>138</v>
      </c>
      <c r="C139" s="16" t="s">
        <v>507</v>
      </c>
      <c r="D139">
        <v>6.2299999999999996E-6</v>
      </c>
      <c r="E139">
        <v>1.03</v>
      </c>
      <c r="F139">
        <v>6.4189999999999999E-6</v>
      </c>
      <c r="G139">
        <v>10</v>
      </c>
    </row>
    <row r="140" spans="1:7" x14ac:dyDescent="0.35">
      <c r="A140" t="s">
        <v>812</v>
      </c>
      <c r="B140">
        <v>139</v>
      </c>
      <c r="C140" s="16" t="s">
        <v>506</v>
      </c>
      <c r="D140">
        <v>0.61950000000000005</v>
      </c>
      <c r="E140">
        <v>0.89259999999999995</v>
      </c>
      <c r="F140">
        <v>0.55289999999999995</v>
      </c>
      <c r="G140">
        <v>10</v>
      </c>
    </row>
    <row r="141" spans="1:7" x14ac:dyDescent="0.35">
      <c r="A141" t="s">
        <v>812</v>
      </c>
      <c r="B141">
        <v>140</v>
      </c>
      <c r="C141" s="16" t="s">
        <v>505</v>
      </c>
      <c r="D141">
        <v>0.21099999999999999</v>
      </c>
      <c r="E141">
        <v>0.90690000000000004</v>
      </c>
      <c r="F141">
        <v>0.19139999999999999</v>
      </c>
      <c r="G141">
        <v>10</v>
      </c>
    </row>
    <row r="142" spans="1:7" x14ac:dyDescent="0.35">
      <c r="A142" t="s">
        <v>812</v>
      </c>
      <c r="B142">
        <v>141</v>
      </c>
      <c r="C142" s="16" t="s">
        <v>504</v>
      </c>
      <c r="D142">
        <v>5.5539999999999999E-2</v>
      </c>
      <c r="E142">
        <v>0.87219999999999998</v>
      </c>
      <c r="F142">
        <v>4.8439999999999997E-2</v>
      </c>
      <c r="G142">
        <v>10</v>
      </c>
    </row>
    <row r="143" spans="1:7" x14ac:dyDescent="0.35">
      <c r="A143" t="s">
        <v>812</v>
      </c>
      <c r="B143">
        <v>142</v>
      </c>
      <c r="C143" s="16" t="s">
        <v>503</v>
      </c>
      <c r="D143">
        <v>0.75619999999999998</v>
      </c>
      <c r="E143">
        <v>0.37719999999999998</v>
      </c>
      <c r="F143">
        <v>0.2853</v>
      </c>
      <c r="G143">
        <v>10</v>
      </c>
    </row>
    <row r="144" spans="1:7" x14ac:dyDescent="0.35">
      <c r="A144" t="s">
        <v>813</v>
      </c>
      <c r="B144">
        <v>143</v>
      </c>
      <c r="C144" s="16" t="s">
        <v>514</v>
      </c>
      <c r="D144">
        <v>4.5600000000000003E-4</v>
      </c>
      <c r="E144">
        <v>0.34150000000000003</v>
      </c>
      <c r="F144">
        <v>1.5569999999999999E-4</v>
      </c>
      <c r="G144">
        <v>10</v>
      </c>
    </row>
    <row r="145" spans="1:14" x14ac:dyDescent="0.35">
      <c r="A145" t="s">
        <v>813</v>
      </c>
      <c r="B145">
        <v>144</v>
      </c>
      <c r="C145" s="16" t="s">
        <v>513</v>
      </c>
      <c r="D145">
        <v>7.9929999999999997E-4</v>
      </c>
      <c r="E145">
        <v>1.147</v>
      </c>
      <c r="F145">
        <v>9.1640000000000005E-4</v>
      </c>
      <c r="G145">
        <v>10</v>
      </c>
    </row>
    <row r="146" spans="1:14" x14ac:dyDescent="0.35">
      <c r="A146" t="s">
        <v>813</v>
      </c>
      <c r="B146">
        <v>145</v>
      </c>
      <c r="C146" s="16" t="s">
        <v>512</v>
      </c>
      <c r="D146">
        <v>1.7080000000000001E-2</v>
      </c>
      <c r="E146">
        <v>0.2505</v>
      </c>
      <c r="F146">
        <v>4.2779999999999997E-3</v>
      </c>
      <c r="G146">
        <v>10</v>
      </c>
    </row>
    <row r="147" spans="1:14" x14ac:dyDescent="0.35">
      <c r="A147" t="s">
        <v>813</v>
      </c>
      <c r="B147">
        <v>146</v>
      </c>
      <c r="C147" s="16" t="s">
        <v>511</v>
      </c>
      <c r="D147">
        <v>3.2230000000000001E-5</v>
      </c>
      <c r="E147">
        <v>1.1930000000000001</v>
      </c>
      <c r="F147">
        <v>3.8460000000000001E-5</v>
      </c>
      <c r="G147">
        <v>10</v>
      </c>
    </row>
    <row r="148" spans="1:14" x14ac:dyDescent="0.35">
      <c r="A148" t="s">
        <v>813</v>
      </c>
      <c r="B148">
        <v>147</v>
      </c>
      <c r="C148" s="16" t="s">
        <v>510</v>
      </c>
      <c r="D148">
        <v>6.2870000000000001E-3</v>
      </c>
      <c r="E148">
        <v>0.64849999999999997</v>
      </c>
      <c r="F148">
        <v>4.0769999999999999E-3</v>
      </c>
      <c r="G148">
        <v>10</v>
      </c>
    </row>
    <row r="149" spans="1:14" x14ac:dyDescent="0.35">
      <c r="A149" t="s">
        <v>813</v>
      </c>
      <c r="B149">
        <v>148</v>
      </c>
      <c r="C149" s="16" t="s">
        <v>509</v>
      </c>
      <c r="D149">
        <v>3.2230000000000001E-5</v>
      </c>
      <c r="E149">
        <v>0.58650000000000002</v>
      </c>
      <c r="F149">
        <v>1.8899999999999999E-5</v>
      </c>
      <c r="G149">
        <v>10</v>
      </c>
    </row>
    <row r="150" spans="1:14" x14ac:dyDescent="0.35">
      <c r="A150" t="s">
        <v>813</v>
      </c>
      <c r="B150">
        <v>149</v>
      </c>
      <c r="C150" s="16" t="s">
        <v>508</v>
      </c>
      <c r="D150">
        <v>2.7710000000000001E-4</v>
      </c>
      <c r="E150">
        <v>0.79610000000000003</v>
      </c>
      <c r="F150">
        <v>2.206E-4</v>
      </c>
      <c r="G150">
        <v>10</v>
      </c>
    </row>
    <row r="151" spans="1:14" x14ac:dyDescent="0.35">
      <c r="A151" t="s">
        <v>814</v>
      </c>
      <c r="B151">
        <v>150</v>
      </c>
      <c r="C151" s="16">
        <v>14</v>
      </c>
      <c r="D151">
        <v>6.2870000000000001E-3</v>
      </c>
      <c r="E151">
        <v>2.488</v>
      </c>
      <c r="F151">
        <v>1.5640000000000001E-2</v>
      </c>
      <c r="G151">
        <v>10</v>
      </c>
    </row>
    <row r="152" spans="1:14" x14ac:dyDescent="0.35">
      <c r="A152" t="s">
        <v>814</v>
      </c>
      <c r="B152">
        <v>151</v>
      </c>
      <c r="C152" s="16">
        <v>13</v>
      </c>
      <c r="D152">
        <v>1.805E-3</v>
      </c>
      <c r="E152">
        <v>2.6949999999999998</v>
      </c>
      <c r="F152">
        <v>4.8650000000000004E-3</v>
      </c>
      <c r="G152">
        <v>10</v>
      </c>
    </row>
    <row r="153" spans="1:14" x14ac:dyDescent="0.35">
      <c r="A153" t="s">
        <v>814</v>
      </c>
      <c r="B153">
        <v>152</v>
      </c>
      <c r="C153" s="16">
        <v>12</v>
      </c>
      <c r="D153">
        <v>4.0790000000000002E-6</v>
      </c>
      <c r="E153">
        <v>2.7709999999999999</v>
      </c>
      <c r="F153">
        <v>1.13E-5</v>
      </c>
      <c r="G153">
        <v>10</v>
      </c>
    </row>
    <row r="154" spans="1:14" x14ac:dyDescent="0.35">
      <c r="A154" t="s">
        <v>814</v>
      </c>
      <c r="B154">
        <v>153</v>
      </c>
      <c r="C154" s="16">
        <v>11</v>
      </c>
      <c r="D154">
        <v>7.5020000000000003E-2</v>
      </c>
      <c r="E154">
        <v>2.0539999999999998</v>
      </c>
      <c r="F154">
        <v>0.15409999999999999</v>
      </c>
      <c r="G154">
        <v>10</v>
      </c>
    </row>
    <row r="155" spans="1:14" x14ac:dyDescent="0.35">
      <c r="A155" t="s">
        <v>814</v>
      </c>
      <c r="B155">
        <v>154</v>
      </c>
      <c r="C155" s="16">
        <v>10</v>
      </c>
      <c r="D155">
        <v>0.49249999999999999</v>
      </c>
      <c r="E155">
        <v>1.1240000000000001</v>
      </c>
      <c r="F155">
        <v>0.55379999999999996</v>
      </c>
      <c r="G155">
        <v>10</v>
      </c>
    </row>
    <row r="156" spans="1:14" x14ac:dyDescent="0.35">
      <c r="A156" t="s">
        <v>814</v>
      </c>
      <c r="B156">
        <v>155</v>
      </c>
      <c r="C156" s="16">
        <v>9</v>
      </c>
      <c r="D156">
        <v>1.1019999999999999E-3</v>
      </c>
      <c r="E156">
        <v>2.2309999999999999</v>
      </c>
      <c r="F156">
        <v>2.4589999999999998E-3</v>
      </c>
      <c r="G156">
        <v>10</v>
      </c>
    </row>
    <row r="157" spans="1:14" x14ac:dyDescent="0.35">
      <c r="A157" t="s">
        <v>814</v>
      </c>
      <c r="B157">
        <v>156</v>
      </c>
      <c r="C157" s="16">
        <v>8</v>
      </c>
      <c r="D157">
        <v>1.628E-4</v>
      </c>
      <c r="E157">
        <v>2.4159999999999999</v>
      </c>
      <c r="F157">
        <v>3.9330000000000002E-4</v>
      </c>
      <c r="G157">
        <v>10</v>
      </c>
    </row>
    <row r="158" spans="1:14" x14ac:dyDescent="0.35">
      <c r="A158" t="s">
        <v>814</v>
      </c>
      <c r="B158">
        <v>157</v>
      </c>
      <c r="C158" s="16">
        <v>7</v>
      </c>
      <c r="D158">
        <v>5.596E-5</v>
      </c>
      <c r="E158">
        <v>3.0129999999999999</v>
      </c>
      <c r="F158">
        <v>1.6860000000000001E-4</v>
      </c>
      <c r="G158">
        <v>10</v>
      </c>
    </row>
    <row r="159" spans="1:14" x14ac:dyDescent="0.35">
      <c r="A159" t="s">
        <v>814</v>
      </c>
      <c r="B159">
        <v>158</v>
      </c>
      <c r="C159" s="16">
        <v>6</v>
      </c>
      <c r="D159">
        <v>7.5020000000000003E-2</v>
      </c>
      <c r="E159">
        <v>1.9239999999999999</v>
      </c>
      <c r="F159">
        <v>0.1444</v>
      </c>
      <c r="G159">
        <v>10</v>
      </c>
      <c r="N159" s="65"/>
    </row>
    <row r="160" spans="1:14" x14ac:dyDescent="0.35">
      <c r="A160" t="s">
        <v>814</v>
      </c>
      <c r="B160">
        <v>159</v>
      </c>
      <c r="C160" s="16">
        <v>5</v>
      </c>
      <c r="D160">
        <v>1.0669999999999999E-6</v>
      </c>
      <c r="E160">
        <v>2.9020000000000001</v>
      </c>
      <c r="F160">
        <v>3.095E-6</v>
      </c>
      <c r="G160">
        <v>10</v>
      </c>
    </row>
    <row r="161" spans="1:7" x14ac:dyDescent="0.35">
      <c r="A161" t="s">
        <v>814</v>
      </c>
      <c r="B161">
        <v>160</v>
      </c>
      <c r="C161" s="16">
        <v>4</v>
      </c>
      <c r="D161">
        <v>2.6370000000000001E-4</v>
      </c>
      <c r="E161">
        <v>1.3660000000000001</v>
      </c>
      <c r="F161">
        <v>3.6019999999999997E-4</v>
      </c>
      <c r="G161">
        <v>10</v>
      </c>
    </row>
    <row r="162" spans="1:7" x14ac:dyDescent="0.35">
      <c r="A162" t="s">
        <v>814</v>
      </c>
      <c r="B162">
        <v>161</v>
      </c>
      <c r="C162" s="16">
        <v>3</v>
      </c>
      <c r="D162">
        <v>0.31359999999999999</v>
      </c>
      <c r="E162">
        <v>2.194</v>
      </c>
      <c r="F162">
        <v>0.68810000000000004</v>
      </c>
      <c r="G162">
        <v>10</v>
      </c>
    </row>
    <row r="163" spans="1:7" x14ac:dyDescent="0.35">
      <c r="A163" t="s">
        <v>814</v>
      </c>
      <c r="B163">
        <v>162</v>
      </c>
      <c r="C163" s="16">
        <v>2</v>
      </c>
      <c r="D163">
        <v>1.579E-5</v>
      </c>
      <c r="E163">
        <v>2.8759999999999999</v>
      </c>
      <c r="F163">
        <v>4.5410000000000001E-5</v>
      </c>
      <c r="G163">
        <v>10</v>
      </c>
    </row>
    <row r="164" spans="1:7" x14ac:dyDescent="0.35">
      <c r="A164" t="s">
        <v>814</v>
      </c>
      <c r="B164">
        <v>163</v>
      </c>
      <c r="C164" s="16">
        <v>1</v>
      </c>
      <c r="D164">
        <v>0.1012</v>
      </c>
      <c r="E164">
        <v>1.8240000000000001</v>
      </c>
      <c r="F164">
        <v>0.18459999999999999</v>
      </c>
      <c r="G164">
        <v>10</v>
      </c>
    </row>
    <row r="165" spans="1:7" x14ac:dyDescent="0.35">
      <c r="A165" t="s">
        <v>815</v>
      </c>
      <c r="B165">
        <v>164</v>
      </c>
      <c r="C165" s="16" t="s">
        <v>518</v>
      </c>
      <c r="D165">
        <v>1.6160000000000001E-2</v>
      </c>
      <c r="E165">
        <v>0.59009999999999996</v>
      </c>
      <c r="F165">
        <v>9.5359999999999993E-3</v>
      </c>
      <c r="G165">
        <v>7</v>
      </c>
    </row>
    <row r="166" spans="1:7" x14ac:dyDescent="0.35">
      <c r="A166" t="s">
        <v>815</v>
      </c>
      <c r="B166">
        <v>165</v>
      </c>
      <c r="C166" s="16" t="s">
        <v>517</v>
      </c>
      <c r="D166">
        <v>4.3539999999999999E-7</v>
      </c>
      <c r="E166">
        <v>1.444</v>
      </c>
      <c r="F166">
        <v>6.2880000000000002E-7</v>
      </c>
      <c r="G166">
        <v>7</v>
      </c>
    </row>
    <row r="167" spans="1:7" x14ac:dyDescent="0.35">
      <c r="A167" t="s">
        <v>815</v>
      </c>
      <c r="B167">
        <v>166</v>
      </c>
      <c r="C167" s="16" t="s">
        <v>516</v>
      </c>
      <c r="D167">
        <v>0.1822</v>
      </c>
      <c r="E167">
        <v>0.53149999999999997</v>
      </c>
      <c r="F167">
        <v>9.6820000000000003E-2</v>
      </c>
      <c r="G167">
        <v>7</v>
      </c>
    </row>
    <row r="168" spans="1:7" x14ac:dyDescent="0.35">
      <c r="A168" t="s">
        <v>815</v>
      </c>
      <c r="B168">
        <v>167</v>
      </c>
      <c r="C168" s="16" t="s">
        <v>515</v>
      </c>
      <c r="D168">
        <v>0.55389999999999995</v>
      </c>
      <c r="E168">
        <v>0.63360000000000005</v>
      </c>
      <c r="F168">
        <v>0.35089999999999999</v>
      </c>
      <c r="G168">
        <v>7</v>
      </c>
    </row>
    <row r="169" spans="1:7" x14ac:dyDescent="0.35">
      <c r="A169" t="s">
        <v>816</v>
      </c>
      <c r="B169">
        <v>168</v>
      </c>
      <c r="C169" s="16">
        <v>8</v>
      </c>
      <c r="D169">
        <v>5.2519999999999999E-5</v>
      </c>
      <c r="E169">
        <v>1.5469999999999999</v>
      </c>
      <c r="F169">
        <v>8.1240000000000001E-5</v>
      </c>
      <c r="G169">
        <v>10</v>
      </c>
    </row>
    <row r="170" spans="1:7" x14ac:dyDescent="0.35">
      <c r="A170" t="s">
        <v>816</v>
      </c>
      <c r="B170">
        <v>169</v>
      </c>
      <c r="C170" s="16">
        <v>7</v>
      </c>
      <c r="D170">
        <v>5.0069999999999997E-4</v>
      </c>
      <c r="E170">
        <v>2.2799999999999998</v>
      </c>
      <c r="F170">
        <v>1.142E-3</v>
      </c>
      <c r="G170">
        <v>10</v>
      </c>
    </row>
    <row r="171" spans="1:7" x14ac:dyDescent="0.35">
      <c r="A171" t="s">
        <v>816</v>
      </c>
      <c r="B171">
        <v>170</v>
      </c>
      <c r="C171" s="16">
        <v>6</v>
      </c>
      <c r="D171">
        <v>2.3980000000000001E-5</v>
      </c>
      <c r="E171">
        <v>2.028</v>
      </c>
      <c r="F171">
        <v>4.863E-5</v>
      </c>
      <c r="G171">
        <v>10</v>
      </c>
    </row>
    <row r="172" spans="1:7" x14ac:dyDescent="0.35">
      <c r="A172" t="s">
        <v>816</v>
      </c>
      <c r="B172">
        <v>171</v>
      </c>
      <c r="C172" s="16">
        <v>5</v>
      </c>
      <c r="D172">
        <v>7.6210000000000002E-3</v>
      </c>
      <c r="E172">
        <v>1.917</v>
      </c>
      <c r="F172">
        <v>1.461E-2</v>
      </c>
      <c r="G172">
        <v>10</v>
      </c>
    </row>
    <row r="173" spans="1:7" x14ac:dyDescent="0.35">
      <c r="A173" t="s">
        <v>816</v>
      </c>
      <c r="B173">
        <v>172</v>
      </c>
      <c r="C173" s="16">
        <v>4</v>
      </c>
      <c r="D173">
        <v>5.9280000000000001E-3</v>
      </c>
      <c r="E173">
        <v>1.47</v>
      </c>
      <c r="F173">
        <v>8.7150000000000005E-3</v>
      </c>
      <c r="G173">
        <v>10</v>
      </c>
    </row>
    <row r="174" spans="1:7" x14ac:dyDescent="0.35">
      <c r="A174" t="s">
        <v>816</v>
      </c>
      <c r="B174">
        <v>173</v>
      </c>
      <c r="C174" s="16">
        <v>3</v>
      </c>
      <c r="D174">
        <v>6.2299999999999996E-6</v>
      </c>
      <c r="E174">
        <v>1.819</v>
      </c>
      <c r="F174">
        <v>1.133E-5</v>
      </c>
      <c r="G174">
        <v>10</v>
      </c>
    </row>
    <row r="175" spans="1:7" x14ac:dyDescent="0.35">
      <c r="A175" t="s">
        <v>816</v>
      </c>
      <c r="B175">
        <v>174</v>
      </c>
      <c r="C175" s="16">
        <v>2</v>
      </c>
      <c r="D175">
        <v>1.328E-4</v>
      </c>
      <c r="E175">
        <v>2.3109999999999999</v>
      </c>
      <c r="F175">
        <v>3.0689999999999998E-4</v>
      </c>
      <c r="G175">
        <v>10</v>
      </c>
    </row>
    <row r="176" spans="1:7" x14ac:dyDescent="0.35">
      <c r="A176" t="s">
        <v>816</v>
      </c>
      <c r="B176">
        <v>175</v>
      </c>
      <c r="C176" s="16">
        <v>1</v>
      </c>
      <c r="D176">
        <v>2.0589999999999999E-4</v>
      </c>
      <c r="E176">
        <v>1.302</v>
      </c>
      <c r="F176">
        <v>2.6800000000000001E-4</v>
      </c>
      <c r="G176">
        <v>10</v>
      </c>
    </row>
    <row r="177" spans="1:7" x14ac:dyDescent="0.35">
      <c r="A177" t="s">
        <v>817</v>
      </c>
      <c r="B177">
        <v>176</v>
      </c>
      <c r="C177" s="16">
        <v>14</v>
      </c>
      <c r="D177">
        <v>1.237E-5</v>
      </c>
      <c r="E177">
        <v>2.7869999999999999</v>
      </c>
      <c r="F177">
        <v>3.447E-5</v>
      </c>
      <c r="G177">
        <v>15</v>
      </c>
    </row>
    <row r="178" spans="1:7" x14ac:dyDescent="0.35">
      <c r="A178" t="s">
        <v>817</v>
      </c>
      <c r="B178">
        <v>177</v>
      </c>
      <c r="C178" s="16">
        <v>13</v>
      </c>
      <c r="D178">
        <v>8.9060000000000008E-6</v>
      </c>
      <c r="E178">
        <v>1.9890000000000001</v>
      </c>
      <c r="F178">
        <v>1.772E-5</v>
      </c>
      <c r="G178">
        <v>15</v>
      </c>
    </row>
    <row r="179" spans="1:7" x14ac:dyDescent="0.35">
      <c r="A179" t="s">
        <v>817</v>
      </c>
      <c r="B179">
        <v>178</v>
      </c>
      <c r="C179" s="16">
        <v>12</v>
      </c>
      <c r="D179">
        <v>0.57099999999999995</v>
      </c>
      <c r="E179">
        <v>1.5389999999999999</v>
      </c>
      <c r="F179">
        <v>0.87839999999999996</v>
      </c>
      <c r="G179">
        <v>15</v>
      </c>
    </row>
    <row r="180" spans="1:7" x14ac:dyDescent="0.35">
      <c r="A180" t="s">
        <v>817</v>
      </c>
      <c r="B180">
        <v>179</v>
      </c>
      <c r="C180" s="16">
        <v>11</v>
      </c>
      <c r="D180">
        <v>2.8430000000000003E-4</v>
      </c>
      <c r="E180">
        <v>1.091</v>
      </c>
      <c r="F180">
        <v>3.1E-4</v>
      </c>
      <c r="G180">
        <v>15</v>
      </c>
    </row>
    <row r="181" spans="1:7" x14ac:dyDescent="0.35">
      <c r="A181" t="s">
        <v>817</v>
      </c>
      <c r="B181">
        <v>180</v>
      </c>
      <c r="C181" s="16">
        <v>10</v>
      </c>
      <c r="D181">
        <v>2.9610000000000001E-2</v>
      </c>
      <c r="E181">
        <v>1.274</v>
      </c>
      <c r="F181">
        <v>3.773E-2</v>
      </c>
      <c r="G181">
        <v>15</v>
      </c>
    </row>
    <row r="182" spans="1:7" x14ac:dyDescent="0.35">
      <c r="A182" t="s">
        <v>817</v>
      </c>
      <c r="B182">
        <v>181</v>
      </c>
      <c r="C182" s="16">
        <v>9</v>
      </c>
      <c r="D182">
        <v>0.43109999999999998</v>
      </c>
      <c r="E182">
        <v>0.9194</v>
      </c>
      <c r="F182">
        <v>0.39639999999999997</v>
      </c>
      <c r="G182">
        <v>15</v>
      </c>
    </row>
    <row r="183" spans="1:7" x14ac:dyDescent="0.35">
      <c r="A183" t="s">
        <v>817</v>
      </c>
      <c r="B183">
        <v>182</v>
      </c>
      <c r="C183" s="16">
        <v>8</v>
      </c>
      <c r="D183">
        <v>0.32969999999999999</v>
      </c>
      <c r="E183">
        <v>1.9850000000000001</v>
      </c>
      <c r="F183">
        <v>0.65449999999999997</v>
      </c>
      <c r="G183">
        <v>15</v>
      </c>
    </row>
    <row r="184" spans="1:7" x14ac:dyDescent="0.35">
      <c r="A184" t="s">
        <v>817</v>
      </c>
      <c r="B184">
        <v>183</v>
      </c>
      <c r="C184" s="16">
        <v>7</v>
      </c>
      <c r="D184">
        <v>1.7510000000000001E-2</v>
      </c>
      <c r="E184">
        <v>0.84450000000000003</v>
      </c>
      <c r="F184">
        <v>1.4789999999999999E-2</v>
      </c>
      <c r="G184">
        <v>15</v>
      </c>
    </row>
    <row r="185" spans="1:7" x14ac:dyDescent="0.35">
      <c r="A185" t="s">
        <v>817</v>
      </c>
      <c r="B185">
        <v>184</v>
      </c>
      <c r="C185" s="16">
        <v>6</v>
      </c>
      <c r="D185">
        <v>0.83340000000000003</v>
      </c>
      <c r="E185">
        <v>1.4059999999999999</v>
      </c>
      <c r="F185">
        <v>1.1719999999999999</v>
      </c>
      <c r="G185">
        <v>15</v>
      </c>
    </row>
    <row r="186" spans="1:7" x14ac:dyDescent="0.35">
      <c r="A186" t="s">
        <v>817</v>
      </c>
      <c r="B186">
        <v>185</v>
      </c>
      <c r="C186" s="16">
        <v>5</v>
      </c>
      <c r="D186">
        <v>4.9149999999999997E-4</v>
      </c>
      <c r="E186">
        <v>1.466</v>
      </c>
      <c r="F186">
        <v>7.2070000000000001E-4</v>
      </c>
      <c r="G186">
        <v>15</v>
      </c>
    </row>
    <row r="187" spans="1:7" x14ac:dyDescent="0.35">
      <c r="A187" t="s">
        <v>817</v>
      </c>
      <c r="B187">
        <v>186</v>
      </c>
      <c r="C187" s="16">
        <v>4</v>
      </c>
      <c r="D187">
        <v>0.32969999999999999</v>
      </c>
      <c r="E187">
        <v>1.3839999999999999</v>
      </c>
      <c r="F187">
        <v>0.45629999999999998</v>
      </c>
      <c r="G187">
        <v>15</v>
      </c>
    </row>
    <row r="188" spans="1:7" x14ac:dyDescent="0.35">
      <c r="A188" t="s">
        <v>817</v>
      </c>
      <c r="B188">
        <v>187</v>
      </c>
      <c r="C188" s="16">
        <v>3</v>
      </c>
      <c r="D188">
        <v>2.2480000000000002E-5</v>
      </c>
      <c r="E188">
        <v>1.534</v>
      </c>
      <c r="F188">
        <v>3.4499999999999998E-5</v>
      </c>
      <c r="G188">
        <v>15</v>
      </c>
    </row>
    <row r="189" spans="1:7" x14ac:dyDescent="0.35">
      <c r="A189" t="s">
        <v>817</v>
      </c>
      <c r="B189">
        <v>188</v>
      </c>
      <c r="C189" s="16">
        <v>2</v>
      </c>
      <c r="D189">
        <v>0.15659999999999999</v>
      </c>
      <c r="E189">
        <v>0.99770000000000003</v>
      </c>
      <c r="F189">
        <v>0.15620000000000001</v>
      </c>
      <c r="G189">
        <v>15</v>
      </c>
    </row>
    <row r="190" spans="1:7" x14ac:dyDescent="0.35">
      <c r="A190" t="s">
        <v>817</v>
      </c>
      <c r="B190">
        <v>189</v>
      </c>
      <c r="C190" s="16">
        <v>1</v>
      </c>
      <c r="D190">
        <v>0.10050000000000001</v>
      </c>
      <c r="E190">
        <v>1.1200000000000001</v>
      </c>
      <c r="F190">
        <v>0.1125</v>
      </c>
      <c r="G190">
        <v>15</v>
      </c>
    </row>
    <row r="191" spans="1:7" x14ac:dyDescent="0.35">
      <c r="A191" t="s">
        <v>818</v>
      </c>
      <c r="B191">
        <v>190</v>
      </c>
      <c r="C191" s="16">
        <v>14</v>
      </c>
      <c r="D191">
        <v>8.763E-2</v>
      </c>
      <c r="E191">
        <v>2.2000000000000002</v>
      </c>
      <c r="F191">
        <v>0.1928</v>
      </c>
      <c r="G191">
        <v>8</v>
      </c>
    </row>
    <row r="192" spans="1:7" x14ac:dyDescent="0.35">
      <c r="A192" t="s">
        <v>818</v>
      </c>
      <c r="B192">
        <v>191</v>
      </c>
      <c r="C192" s="16">
        <v>13</v>
      </c>
      <c r="D192">
        <v>1.9269999999999999E-4</v>
      </c>
      <c r="E192">
        <v>3.0880000000000001</v>
      </c>
      <c r="F192">
        <v>5.9500000000000004E-4</v>
      </c>
      <c r="G192">
        <v>8</v>
      </c>
    </row>
    <row r="193" spans="1:15" x14ac:dyDescent="0.35">
      <c r="A193" t="s">
        <v>818</v>
      </c>
      <c r="B193">
        <v>192</v>
      </c>
      <c r="C193" s="16">
        <v>12</v>
      </c>
      <c r="D193">
        <v>8.763E-2</v>
      </c>
      <c r="E193">
        <v>1.1830000000000001</v>
      </c>
      <c r="F193">
        <v>0.1036</v>
      </c>
      <c r="G193">
        <v>8</v>
      </c>
    </row>
    <row r="194" spans="1:15" x14ac:dyDescent="0.35">
      <c r="A194" t="s">
        <v>818</v>
      </c>
      <c r="B194">
        <v>193</v>
      </c>
      <c r="C194" s="16">
        <v>11</v>
      </c>
      <c r="D194">
        <v>6.6290000000000004E-5</v>
      </c>
      <c r="E194">
        <v>2.581</v>
      </c>
      <c r="F194">
        <v>1.7110000000000001E-4</v>
      </c>
      <c r="G194">
        <v>8</v>
      </c>
    </row>
    <row r="195" spans="1:15" x14ac:dyDescent="0.35">
      <c r="A195" t="s">
        <v>818</v>
      </c>
      <c r="B195">
        <v>194</v>
      </c>
      <c r="C195" s="16">
        <v>10</v>
      </c>
      <c r="D195">
        <v>0.185</v>
      </c>
      <c r="E195">
        <v>1.802</v>
      </c>
      <c r="F195">
        <v>0.33339999999999997</v>
      </c>
      <c r="G195">
        <v>8</v>
      </c>
    </row>
    <row r="196" spans="1:15" x14ac:dyDescent="0.35">
      <c r="A196" t="s">
        <v>818</v>
      </c>
      <c r="B196">
        <v>195</v>
      </c>
      <c r="C196" s="16">
        <v>9</v>
      </c>
      <c r="D196">
        <v>2.6509999999999999E-2</v>
      </c>
      <c r="E196">
        <v>2.1949999999999998</v>
      </c>
      <c r="F196">
        <v>5.8209999999999998E-2</v>
      </c>
      <c r="G196">
        <v>8</v>
      </c>
    </row>
    <row r="197" spans="1:15" x14ac:dyDescent="0.35">
      <c r="A197" t="s">
        <v>818</v>
      </c>
      <c r="B197">
        <v>196</v>
      </c>
      <c r="C197" s="16">
        <v>8</v>
      </c>
      <c r="D197">
        <v>3.48E-3</v>
      </c>
      <c r="E197">
        <v>1.83</v>
      </c>
      <c r="F197">
        <v>6.3670000000000003E-3</v>
      </c>
      <c r="G197">
        <v>8</v>
      </c>
    </row>
    <row r="198" spans="1:15" x14ac:dyDescent="0.35">
      <c r="A198" t="s">
        <v>818</v>
      </c>
      <c r="B198">
        <v>197</v>
      </c>
      <c r="C198" s="16">
        <v>7</v>
      </c>
      <c r="D198">
        <v>4.9700000000000002E-8</v>
      </c>
      <c r="E198">
        <v>2.552</v>
      </c>
      <c r="F198">
        <v>1.268E-7</v>
      </c>
      <c r="G198">
        <v>8</v>
      </c>
    </row>
    <row r="199" spans="1:15" x14ac:dyDescent="0.35">
      <c r="A199" t="s">
        <v>818</v>
      </c>
      <c r="B199">
        <v>198</v>
      </c>
      <c r="C199" s="16">
        <v>6</v>
      </c>
      <c r="D199">
        <v>1.644E-2</v>
      </c>
      <c r="E199">
        <v>1.8959999999999999</v>
      </c>
      <c r="F199">
        <v>3.117E-2</v>
      </c>
      <c r="G199">
        <v>8</v>
      </c>
    </row>
    <row r="200" spans="1:15" x14ac:dyDescent="0.35">
      <c r="A200" t="s">
        <v>818</v>
      </c>
      <c r="B200">
        <v>199</v>
      </c>
      <c r="C200" s="16">
        <v>5</v>
      </c>
      <c r="D200">
        <v>7.0859999999999996E-5</v>
      </c>
      <c r="E200">
        <v>2.238</v>
      </c>
      <c r="F200">
        <v>1.5860000000000001E-4</v>
      </c>
      <c r="G200">
        <v>8</v>
      </c>
    </row>
    <row r="201" spans="1:15" x14ac:dyDescent="0.35">
      <c r="A201" t="s">
        <v>818</v>
      </c>
      <c r="B201">
        <v>200</v>
      </c>
      <c r="C201" s="16">
        <v>4</v>
      </c>
      <c r="D201">
        <v>7.0859999999999996E-5</v>
      </c>
      <c r="E201">
        <v>2.379</v>
      </c>
      <c r="F201">
        <v>1.6860000000000001E-4</v>
      </c>
      <c r="G201">
        <v>8</v>
      </c>
    </row>
    <row r="202" spans="1:15" x14ac:dyDescent="0.35">
      <c r="A202" t="s">
        <v>818</v>
      </c>
      <c r="B202">
        <v>201</v>
      </c>
      <c r="C202" s="16">
        <v>3</v>
      </c>
      <c r="D202">
        <v>1.2860000000000001E-6</v>
      </c>
      <c r="E202">
        <v>2.8090000000000002</v>
      </c>
      <c r="F202">
        <v>3.613E-6</v>
      </c>
      <c r="G202">
        <v>8</v>
      </c>
    </row>
    <row r="203" spans="1:15" x14ac:dyDescent="0.35">
      <c r="A203" t="s">
        <v>818</v>
      </c>
      <c r="B203">
        <v>202</v>
      </c>
      <c r="C203" s="16">
        <v>2</v>
      </c>
      <c r="D203">
        <v>7.0859999999999996E-5</v>
      </c>
      <c r="E203">
        <v>1.611</v>
      </c>
      <c r="F203">
        <v>1.142E-4</v>
      </c>
      <c r="G203">
        <v>8</v>
      </c>
    </row>
    <row r="204" spans="1:15" x14ac:dyDescent="0.35">
      <c r="A204" t="s">
        <v>818</v>
      </c>
      <c r="B204">
        <v>203</v>
      </c>
      <c r="C204" s="16">
        <v>1</v>
      </c>
      <c r="D204">
        <v>1.9269999999999999E-4</v>
      </c>
      <c r="E204">
        <v>2.1440000000000001</v>
      </c>
      <c r="F204">
        <v>4.1310000000000001E-4</v>
      </c>
      <c r="G204">
        <v>8</v>
      </c>
    </row>
    <row r="205" spans="1:15" x14ac:dyDescent="0.35">
      <c r="A205" t="s">
        <v>873</v>
      </c>
      <c r="B205">
        <v>204</v>
      </c>
      <c r="C205" s="16">
        <v>11</v>
      </c>
      <c r="D205">
        <v>0.52759999999999996</v>
      </c>
      <c r="E205">
        <v>0.80710000000000004</v>
      </c>
      <c r="F205">
        <v>0.42580000000000001</v>
      </c>
      <c r="G205">
        <v>15</v>
      </c>
    </row>
    <row r="206" spans="1:15" x14ac:dyDescent="0.35">
      <c r="A206" t="s">
        <v>873</v>
      </c>
      <c r="B206">
        <v>205</v>
      </c>
      <c r="C206" s="16">
        <v>10</v>
      </c>
      <c r="D206">
        <v>0.25869999999999999</v>
      </c>
      <c r="E206">
        <v>0.82820000000000005</v>
      </c>
      <c r="F206">
        <v>0.2142</v>
      </c>
      <c r="G206">
        <v>15</v>
      </c>
    </row>
    <row r="207" spans="1:15" x14ac:dyDescent="0.35">
      <c r="A207" t="s">
        <v>873</v>
      </c>
      <c r="B207">
        <v>206</v>
      </c>
      <c r="C207" s="16">
        <v>9</v>
      </c>
      <c r="D207">
        <v>0.52759999999999996</v>
      </c>
      <c r="E207">
        <v>1.288</v>
      </c>
      <c r="F207">
        <v>0.67969999999999997</v>
      </c>
      <c r="G207">
        <v>15</v>
      </c>
    </row>
    <row r="208" spans="1:15" s="65" customFormat="1" x14ac:dyDescent="0.35">
      <c r="A208" s="65" t="s">
        <v>873</v>
      </c>
      <c r="B208" s="65">
        <v>207</v>
      </c>
      <c r="C208" s="66">
        <v>8</v>
      </c>
      <c r="D208" s="65">
        <v>0.61499999999999999</v>
      </c>
      <c r="E208" s="65">
        <v>1.0860000000000001</v>
      </c>
      <c r="F208" s="65">
        <v>0.66779999999999995</v>
      </c>
      <c r="G208" s="65">
        <v>11</v>
      </c>
      <c r="L208"/>
      <c r="M208"/>
      <c r="N208"/>
      <c r="O208"/>
    </row>
    <row r="209" spans="1:7" x14ac:dyDescent="0.35">
      <c r="A209" t="s">
        <v>873</v>
      </c>
      <c r="B209">
        <v>208</v>
      </c>
      <c r="C209" s="16">
        <v>7</v>
      </c>
      <c r="D209">
        <v>5.9459999999999999E-2</v>
      </c>
      <c r="E209">
        <v>1.1579999999999999</v>
      </c>
      <c r="F209">
        <v>6.8830000000000002E-2</v>
      </c>
      <c r="G209">
        <v>15</v>
      </c>
    </row>
    <row r="210" spans="1:7" x14ac:dyDescent="0.35">
      <c r="A210" t="s">
        <v>873</v>
      </c>
      <c r="B210">
        <v>209</v>
      </c>
      <c r="C210" s="16">
        <v>6</v>
      </c>
      <c r="D210">
        <v>1.9290000000000001E-6</v>
      </c>
      <c r="E210">
        <v>1.381</v>
      </c>
      <c r="F210">
        <v>2.6639999999999998E-6</v>
      </c>
      <c r="G210">
        <v>15</v>
      </c>
    </row>
    <row r="211" spans="1:7" x14ac:dyDescent="0.35">
      <c r="A211" t="s">
        <v>873</v>
      </c>
      <c r="B211">
        <v>210</v>
      </c>
      <c r="C211" s="16">
        <v>5</v>
      </c>
      <c r="D211">
        <v>0.66600000000000004</v>
      </c>
      <c r="E211">
        <v>0.84</v>
      </c>
      <c r="F211">
        <v>0.5595</v>
      </c>
      <c r="G211">
        <v>15</v>
      </c>
    </row>
    <row r="212" spans="1:7" x14ac:dyDescent="0.35">
      <c r="A212" t="s">
        <v>873</v>
      </c>
      <c r="B212">
        <v>211</v>
      </c>
      <c r="C212" s="16">
        <v>4</v>
      </c>
      <c r="D212">
        <v>0.76060000000000005</v>
      </c>
      <c r="E212">
        <v>0.85619999999999996</v>
      </c>
      <c r="F212">
        <v>0.65129999999999999</v>
      </c>
      <c r="G212">
        <v>15</v>
      </c>
    </row>
    <row r="213" spans="1:7" x14ac:dyDescent="0.35">
      <c r="A213" t="s">
        <v>873</v>
      </c>
      <c r="B213">
        <v>212</v>
      </c>
      <c r="C213" s="16">
        <v>3</v>
      </c>
      <c r="D213">
        <v>5.6340000000000001E-3</v>
      </c>
      <c r="E213">
        <v>1.47</v>
      </c>
      <c r="F213">
        <v>8.2830000000000004E-3</v>
      </c>
      <c r="G213">
        <v>15</v>
      </c>
    </row>
    <row r="214" spans="1:7" x14ac:dyDescent="0.35">
      <c r="A214" t="s">
        <v>873</v>
      </c>
      <c r="B214">
        <v>213</v>
      </c>
      <c r="C214" s="16">
        <v>2</v>
      </c>
      <c r="D214">
        <v>0.1227</v>
      </c>
      <c r="E214">
        <v>0.66479999999999995</v>
      </c>
      <c r="F214">
        <v>8.1589999999999996E-2</v>
      </c>
      <c r="G214">
        <v>15</v>
      </c>
    </row>
    <row r="215" spans="1:7" x14ac:dyDescent="0.35">
      <c r="A215" t="s">
        <v>873</v>
      </c>
      <c r="B215">
        <v>214</v>
      </c>
      <c r="C215" s="16">
        <v>1</v>
      </c>
      <c r="D215">
        <v>0.18149999999999999</v>
      </c>
      <c r="E215">
        <v>0.61209999999999998</v>
      </c>
      <c r="F215">
        <v>0.1111</v>
      </c>
      <c r="G215">
        <v>15</v>
      </c>
    </row>
    <row r="216" spans="1:7" x14ac:dyDescent="0.35">
      <c r="A216" t="s">
        <v>855</v>
      </c>
      <c r="B216">
        <v>215</v>
      </c>
      <c r="C216" s="16" t="s">
        <v>729</v>
      </c>
      <c r="D216">
        <v>4.0790000000000002E-6</v>
      </c>
      <c r="E216">
        <v>2.7410000000000001</v>
      </c>
      <c r="F216">
        <v>1.118E-5</v>
      </c>
      <c r="G216">
        <v>10</v>
      </c>
    </row>
    <row r="217" spans="1:7" x14ac:dyDescent="0.35">
      <c r="A217" t="s">
        <v>855</v>
      </c>
      <c r="B217">
        <v>216</v>
      </c>
      <c r="C217" s="16" t="s">
        <v>728</v>
      </c>
      <c r="D217">
        <v>1.579E-5</v>
      </c>
      <c r="E217">
        <v>2.0209999999999999</v>
      </c>
      <c r="F217">
        <v>3.1900000000000003E-5</v>
      </c>
      <c r="G217">
        <v>10</v>
      </c>
    </row>
    <row r="218" spans="1:7" x14ac:dyDescent="0.35">
      <c r="A218" t="s">
        <v>855</v>
      </c>
      <c r="B218">
        <v>217</v>
      </c>
      <c r="C218" s="16" t="s">
        <v>727</v>
      </c>
      <c r="D218">
        <v>1.1019999999999999E-3</v>
      </c>
      <c r="E218">
        <v>1.952</v>
      </c>
      <c r="F218">
        <v>2.1519999999999998E-3</v>
      </c>
      <c r="G218">
        <v>10</v>
      </c>
    </row>
    <row r="219" spans="1:7" x14ac:dyDescent="0.35">
      <c r="A219" t="s">
        <v>855</v>
      </c>
      <c r="B219">
        <v>218</v>
      </c>
      <c r="C219" s="16" t="s">
        <v>726</v>
      </c>
      <c r="D219">
        <v>4.489E-7</v>
      </c>
      <c r="E219">
        <v>1.982</v>
      </c>
      <c r="F219">
        <v>8.8980000000000004E-7</v>
      </c>
      <c r="G219">
        <v>10</v>
      </c>
    </row>
    <row r="220" spans="1:7" x14ac:dyDescent="0.35">
      <c r="A220" t="s">
        <v>855</v>
      </c>
      <c r="B220">
        <v>219</v>
      </c>
      <c r="C220" s="16" t="s">
        <v>725</v>
      </c>
      <c r="D220">
        <v>4.5410000000000001E-10</v>
      </c>
      <c r="E220">
        <v>2.7530000000000001</v>
      </c>
      <c r="F220">
        <v>1.25E-9</v>
      </c>
      <c r="G220">
        <v>10</v>
      </c>
    </row>
    <row r="221" spans="1:7" x14ac:dyDescent="0.35">
      <c r="A221" t="s">
        <v>855</v>
      </c>
      <c r="B221">
        <v>220</v>
      </c>
      <c r="C221" s="16" t="s">
        <v>724</v>
      </c>
      <c r="D221">
        <v>1.361E-6</v>
      </c>
      <c r="E221">
        <v>2.5790000000000002</v>
      </c>
      <c r="F221">
        <v>3.5109999999999999E-6</v>
      </c>
      <c r="G221">
        <v>10</v>
      </c>
    </row>
    <row r="222" spans="1:7" x14ac:dyDescent="0.35">
      <c r="A222" t="s">
        <v>855</v>
      </c>
      <c r="B222">
        <v>221</v>
      </c>
      <c r="C222" s="16" t="s">
        <v>723</v>
      </c>
      <c r="D222">
        <v>6.2870000000000001E-3</v>
      </c>
      <c r="E222">
        <v>2.1869999999999998</v>
      </c>
      <c r="F222">
        <v>1.375E-2</v>
      </c>
      <c r="G222">
        <v>10</v>
      </c>
    </row>
    <row r="223" spans="1:7" x14ac:dyDescent="0.35">
      <c r="A223" t="s">
        <v>855</v>
      </c>
      <c r="B223">
        <v>222</v>
      </c>
      <c r="C223" s="16" t="s">
        <v>722</v>
      </c>
      <c r="D223">
        <v>9.8740000000000007E-5</v>
      </c>
      <c r="E223">
        <v>2.3580000000000001</v>
      </c>
      <c r="F223">
        <v>2.329E-4</v>
      </c>
      <c r="G223">
        <v>10</v>
      </c>
    </row>
    <row r="224" spans="1:7" x14ac:dyDescent="0.35">
      <c r="A224" t="s">
        <v>855</v>
      </c>
      <c r="B224">
        <v>223</v>
      </c>
      <c r="C224" s="16" t="s">
        <v>721</v>
      </c>
      <c r="D224">
        <v>4.9370000000000003E-7</v>
      </c>
      <c r="E224">
        <v>2.302</v>
      </c>
      <c r="F224">
        <v>1.1370000000000001E-6</v>
      </c>
      <c r="G224">
        <v>10</v>
      </c>
    </row>
    <row r="225" spans="1:14" x14ac:dyDescent="0.35">
      <c r="A225" t="s">
        <v>855</v>
      </c>
      <c r="B225">
        <v>224</v>
      </c>
      <c r="C225" s="16" t="s">
        <v>720</v>
      </c>
      <c r="D225">
        <v>1.31E-3</v>
      </c>
      <c r="E225">
        <v>2.9209999999999998</v>
      </c>
      <c r="F225">
        <v>3.826E-3</v>
      </c>
      <c r="G225">
        <v>10</v>
      </c>
    </row>
    <row r="226" spans="1:14" x14ac:dyDescent="0.35">
      <c r="A226" t="s">
        <v>855</v>
      </c>
      <c r="B226">
        <v>225</v>
      </c>
      <c r="C226" s="16" t="s">
        <v>719</v>
      </c>
      <c r="D226">
        <v>1.2999999999999999E-4</v>
      </c>
      <c r="E226">
        <v>1.9359999999999999</v>
      </c>
      <c r="F226">
        <v>2.5169999999999999E-4</v>
      </c>
      <c r="G226">
        <v>10</v>
      </c>
    </row>
    <row r="227" spans="1:14" x14ac:dyDescent="0.35">
      <c r="A227" t="s">
        <v>819</v>
      </c>
      <c r="B227">
        <v>226</v>
      </c>
      <c r="C227" s="16">
        <v>5</v>
      </c>
      <c r="D227">
        <v>5.1150000000000003E-5</v>
      </c>
      <c r="E227">
        <v>1.06</v>
      </c>
      <c r="F227">
        <v>5.4219999999999999E-5</v>
      </c>
      <c r="G227">
        <v>8</v>
      </c>
    </row>
    <row r="228" spans="1:14" x14ac:dyDescent="0.35">
      <c r="A228" t="s">
        <v>819</v>
      </c>
      <c r="B228">
        <v>227</v>
      </c>
      <c r="C228" s="16">
        <v>4</v>
      </c>
      <c r="D228">
        <v>0.66379999999999995</v>
      </c>
      <c r="E228">
        <v>0.57399999999999995</v>
      </c>
      <c r="F228">
        <v>0.38100000000000001</v>
      </c>
      <c r="G228">
        <v>8</v>
      </c>
    </row>
    <row r="229" spans="1:14" x14ac:dyDescent="0.35">
      <c r="A229" t="s">
        <v>819</v>
      </c>
      <c r="B229">
        <v>228</v>
      </c>
      <c r="C229" s="16">
        <v>3</v>
      </c>
      <c r="D229">
        <v>0.185</v>
      </c>
      <c r="E229">
        <v>1.0289999999999999</v>
      </c>
      <c r="F229">
        <v>0.1905</v>
      </c>
      <c r="G229">
        <v>8</v>
      </c>
      <c r="N229" s="83"/>
    </row>
    <row r="230" spans="1:14" x14ac:dyDescent="0.35">
      <c r="A230" t="s">
        <v>819</v>
      </c>
      <c r="B230">
        <v>229</v>
      </c>
      <c r="C230" s="16">
        <v>2</v>
      </c>
      <c r="D230">
        <v>2.6509999999999999E-2</v>
      </c>
      <c r="E230">
        <v>0.49909999999999999</v>
      </c>
      <c r="F230">
        <v>1.323E-2</v>
      </c>
      <c r="G230">
        <v>8</v>
      </c>
    </row>
    <row r="231" spans="1:14" x14ac:dyDescent="0.35">
      <c r="A231" t="s">
        <v>819</v>
      </c>
      <c r="B231">
        <v>230</v>
      </c>
      <c r="C231" s="16">
        <v>1</v>
      </c>
      <c r="D231">
        <v>1.547E-3</v>
      </c>
      <c r="E231">
        <v>0.96889999999999998</v>
      </c>
      <c r="F231">
        <v>1.4989999999999999E-3</v>
      </c>
      <c r="G231">
        <v>8</v>
      </c>
    </row>
    <row r="232" spans="1:14" x14ac:dyDescent="0.35">
      <c r="A232" t="s">
        <v>820</v>
      </c>
      <c r="B232">
        <v>231</v>
      </c>
      <c r="C232" s="16" t="s">
        <v>525</v>
      </c>
      <c r="D232">
        <v>1.1770000000000001E-5</v>
      </c>
      <c r="E232">
        <v>2.2719999999999998</v>
      </c>
      <c r="F232">
        <v>2.6740000000000001E-5</v>
      </c>
      <c r="G232">
        <v>10</v>
      </c>
    </row>
    <row r="233" spans="1:14" x14ac:dyDescent="0.35">
      <c r="A233" t="s">
        <v>820</v>
      </c>
      <c r="B233">
        <v>232</v>
      </c>
      <c r="C233" s="16" t="s">
        <v>524</v>
      </c>
      <c r="D233">
        <v>6.5850000000000006E-2</v>
      </c>
      <c r="E233">
        <v>0.747</v>
      </c>
      <c r="F233">
        <v>4.9189999999999998E-2</v>
      </c>
      <c r="G233">
        <v>10</v>
      </c>
    </row>
    <row r="234" spans="1:14" x14ac:dyDescent="0.35">
      <c r="A234" t="s">
        <v>820</v>
      </c>
      <c r="B234">
        <v>233</v>
      </c>
      <c r="C234" s="16" t="s">
        <v>523</v>
      </c>
      <c r="D234">
        <v>7.6210000000000002E-3</v>
      </c>
      <c r="E234">
        <v>1.0449999999999999</v>
      </c>
      <c r="F234">
        <v>7.9600000000000001E-3</v>
      </c>
      <c r="G234">
        <v>10</v>
      </c>
    </row>
    <row r="235" spans="1:14" x14ac:dyDescent="0.35">
      <c r="A235" t="s">
        <v>820</v>
      </c>
      <c r="B235">
        <v>234</v>
      </c>
      <c r="C235" s="16" t="s">
        <v>522</v>
      </c>
      <c r="D235">
        <v>5.2339999999999998E-2</v>
      </c>
      <c r="E235">
        <v>1.2290000000000001</v>
      </c>
      <c r="F235">
        <v>6.4310000000000006E-2</v>
      </c>
      <c r="G235">
        <v>10</v>
      </c>
    </row>
    <row r="236" spans="1:14" x14ac:dyDescent="0.35">
      <c r="A236" t="s">
        <v>820</v>
      </c>
      <c r="B236">
        <v>235</v>
      </c>
      <c r="C236" s="16" t="s">
        <v>521</v>
      </c>
      <c r="D236">
        <v>0.1249</v>
      </c>
      <c r="E236">
        <v>1.736</v>
      </c>
      <c r="F236">
        <v>0.21690000000000001</v>
      </c>
      <c r="G236">
        <v>10</v>
      </c>
    </row>
    <row r="237" spans="1:14" x14ac:dyDescent="0.35">
      <c r="A237" t="s">
        <v>820</v>
      </c>
      <c r="B237">
        <v>236</v>
      </c>
      <c r="C237" s="16" t="s">
        <v>520</v>
      </c>
      <c r="D237">
        <v>1.5509999999999999E-2</v>
      </c>
      <c r="E237">
        <v>0.91159999999999997</v>
      </c>
      <c r="F237">
        <v>1.414E-2</v>
      </c>
      <c r="G237">
        <v>10</v>
      </c>
    </row>
    <row r="238" spans="1:14" x14ac:dyDescent="0.35">
      <c r="A238" t="s">
        <v>820</v>
      </c>
      <c r="B238">
        <v>237</v>
      </c>
      <c r="C238" s="16" t="s">
        <v>519</v>
      </c>
      <c r="D238">
        <v>2.2039999999999999E-4</v>
      </c>
      <c r="E238">
        <v>1.089</v>
      </c>
      <c r="F238">
        <v>2.4010000000000001E-4</v>
      </c>
      <c r="G238">
        <v>10</v>
      </c>
    </row>
    <row r="239" spans="1:14" x14ac:dyDescent="0.35">
      <c r="A239" t="s">
        <v>842</v>
      </c>
      <c r="B239">
        <v>238</v>
      </c>
      <c r="C239" s="16">
        <v>5</v>
      </c>
      <c r="D239">
        <v>0.65169999999999995</v>
      </c>
      <c r="E239">
        <v>1.958</v>
      </c>
      <c r="F239">
        <v>1.276</v>
      </c>
      <c r="G239">
        <v>10</v>
      </c>
    </row>
    <row r="240" spans="1:14" x14ac:dyDescent="0.35">
      <c r="A240" t="s">
        <v>842</v>
      </c>
      <c r="B240">
        <v>239</v>
      </c>
      <c r="C240" s="16">
        <v>4</v>
      </c>
      <c r="D240">
        <v>2.16E-3</v>
      </c>
      <c r="E240">
        <v>0.67100000000000004</v>
      </c>
      <c r="F240">
        <v>1.449E-3</v>
      </c>
      <c r="G240">
        <v>10</v>
      </c>
    </row>
    <row r="241" spans="1:7" x14ac:dyDescent="0.35">
      <c r="A241" t="s">
        <v>842</v>
      </c>
      <c r="B241">
        <v>240</v>
      </c>
      <c r="C241" s="16">
        <v>3</v>
      </c>
      <c r="D241">
        <v>1.991E-7</v>
      </c>
      <c r="E241">
        <v>0.71630000000000005</v>
      </c>
      <c r="F241">
        <v>1.4259999999999999E-7</v>
      </c>
      <c r="G241">
        <v>10</v>
      </c>
    </row>
    <row r="242" spans="1:7" x14ac:dyDescent="0.35">
      <c r="A242" t="s">
        <v>842</v>
      </c>
      <c r="B242">
        <v>241</v>
      </c>
      <c r="C242" s="16">
        <v>2</v>
      </c>
      <c r="D242">
        <v>3.1019999999999999E-2</v>
      </c>
      <c r="E242">
        <v>1.379</v>
      </c>
      <c r="F242">
        <v>4.2779999999999999E-2</v>
      </c>
      <c r="G242">
        <v>10</v>
      </c>
    </row>
    <row r="243" spans="1:7" x14ac:dyDescent="0.35">
      <c r="A243" t="s">
        <v>842</v>
      </c>
      <c r="B243">
        <v>242</v>
      </c>
      <c r="C243" s="16">
        <v>1</v>
      </c>
      <c r="D243">
        <v>2.2039999999999999E-4</v>
      </c>
      <c r="E243">
        <v>1.4710000000000001</v>
      </c>
      <c r="F243">
        <v>3.2410000000000002E-4</v>
      </c>
      <c r="G243">
        <v>10</v>
      </c>
    </row>
    <row r="244" spans="1:7" x14ac:dyDescent="0.35">
      <c r="A244" t="s">
        <v>852</v>
      </c>
      <c r="B244">
        <v>243</v>
      </c>
      <c r="C244" s="16">
        <v>9</v>
      </c>
      <c r="D244">
        <v>3.0049999999999999E-4</v>
      </c>
      <c r="E244">
        <v>0.72719999999999996</v>
      </c>
      <c r="F244">
        <v>2.185E-4</v>
      </c>
      <c r="G244">
        <v>11</v>
      </c>
    </row>
    <row r="245" spans="1:7" x14ac:dyDescent="0.35">
      <c r="A245" t="s">
        <v>852</v>
      </c>
      <c r="B245">
        <v>244</v>
      </c>
      <c r="C245" s="16">
        <v>8</v>
      </c>
      <c r="D245">
        <v>1.8460000000000001E-2</v>
      </c>
      <c r="E245">
        <v>1.087</v>
      </c>
      <c r="F245">
        <v>2.0060000000000001E-2</v>
      </c>
      <c r="G245">
        <v>11</v>
      </c>
    </row>
    <row r="246" spans="1:7" x14ac:dyDescent="0.35">
      <c r="A246" t="s">
        <v>852</v>
      </c>
      <c r="B246">
        <v>245</v>
      </c>
      <c r="C246" s="16">
        <v>7</v>
      </c>
      <c r="D246">
        <v>0.15429999999999999</v>
      </c>
      <c r="E246">
        <v>0.2908</v>
      </c>
      <c r="F246">
        <v>4.487E-2</v>
      </c>
      <c r="G246">
        <v>11</v>
      </c>
    </row>
    <row r="247" spans="1:7" x14ac:dyDescent="0.35">
      <c r="A247" t="s">
        <v>852</v>
      </c>
      <c r="B247">
        <v>246</v>
      </c>
      <c r="C247" s="16">
        <v>6</v>
      </c>
      <c r="D247">
        <v>0.32650000000000001</v>
      </c>
      <c r="E247">
        <v>1.131</v>
      </c>
      <c r="F247">
        <v>0.36930000000000002</v>
      </c>
      <c r="G247">
        <v>11</v>
      </c>
    </row>
    <row r="248" spans="1:7" x14ac:dyDescent="0.35">
      <c r="A248" t="s">
        <v>852</v>
      </c>
      <c r="B248">
        <v>247</v>
      </c>
      <c r="C248" s="16">
        <v>5</v>
      </c>
      <c r="D248">
        <v>0.21510000000000001</v>
      </c>
      <c r="E248">
        <v>1.0940000000000001</v>
      </c>
      <c r="F248">
        <v>0.23530000000000001</v>
      </c>
      <c r="G248">
        <v>11</v>
      </c>
    </row>
    <row r="249" spans="1:7" x14ac:dyDescent="0.35">
      <c r="A249" t="s">
        <v>852</v>
      </c>
      <c r="B249">
        <v>248</v>
      </c>
      <c r="C249" s="16">
        <v>4</v>
      </c>
      <c r="D249">
        <v>0.19700000000000001</v>
      </c>
      <c r="E249">
        <v>0.65920000000000001</v>
      </c>
      <c r="F249">
        <v>0.12989999999999999</v>
      </c>
      <c r="G249">
        <v>11</v>
      </c>
    </row>
    <row r="250" spans="1:7" x14ac:dyDescent="0.35">
      <c r="A250" t="s">
        <v>852</v>
      </c>
      <c r="B250">
        <v>249</v>
      </c>
      <c r="C250" s="16">
        <v>3</v>
      </c>
      <c r="D250">
        <v>8.3320000000000009E-3</v>
      </c>
      <c r="E250">
        <v>0.89349999999999996</v>
      </c>
      <c r="F250">
        <v>7.4450000000000002E-3</v>
      </c>
      <c r="G250">
        <v>11</v>
      </c>
    </row>
    <row r="251" spans="1:7" x14ac:dyDescent="0.35">
      <c r="A251" t="s">
        <v>852</v>
      </c>
      <c r="B251">
        <v>250</v>
      </c>
      <c r="C251" s="16">
        <v>2</v>
      </c>
      <c r="D251">
        <v>0.39939999999999998</v>
      </c>
      <c r="E251">
        <v>0.82899999999999996</v>
      </c>
      <c r="F251">
        <v>0.33110000000000001</v>
      </c>
      <c r="G251">
        <v>11</v>
      </c>
    </row>
    <row r="252" spans="1:7" x14ac:dyDescent="0.35">
      <c r="A252" t="s">
        <v>852</v>
      </c>
      <c r="B252">
        <v>251</v>
      </c>
      <c r="C252" s="16">
        <v>1</v>
      </c>
      <c r="D252">
        <v>0.70620000000000005</v>
      </c>
      <c r="E252">
        <v>0.67249999999999999</v>
      </c>
      <c r="F252">
        <v>0.47489999999999999</v>
      </c>
      <c r="G252">
        <v>11</v>
      </c>
    </row>
    <row r="253" spans="1:7" x14ac:dyDescent="0.35">
      <c r="A253" t="s">
        <v>858</v>
      </c>
      <c r="B253">
        <v>252</v>
      </c>
      <c r="C253" s="16" t="s">
        <v>593</v>
      </c>
      <c r="D253">
        <v>2.8950000000000001E-8</v>
      </c>
      <c r="E253">
        <v>2.1720000000000002</v>
      </c>
      <c r="F253">
        <v>6.2880000000000005E-8</v>
      </c>
      <c r="G253">
        <v>18</v>
      </c>
    </row>
    <row r="254" spans="1:7" x14ac:dyDescent="0.35">
      <c r="A254" t="s">
        <v>858</v>
      </c>
      <c r="B254">
        <v>253</v>
      </c>
      <c r="C254" s="16" t="s">
        <v>578</v>
      </c>
      <c r="D254">
        <v>1.462E-7</v>
      </c>
      <c r="E254">
        <v>1.1819999999999999</v>
      </c>
      <c r="F254">
        <v>1.7289999999999999E-7</v>
      </c>
      <c r="G254">
        <v>18</v>
      </c>
    </row>
    <row r="255" spans="1:7" x14ac:dyDescent="0.35">
      <c r="A255" t="s">
        <v>858</v>
      </c>
      <c r="B255">
        <v>254</v>
      </c>
      <c r="C255" s="16" t="s">
        <v>577</v>
      </c>
      <c r="D255">
        <v>9.0380000000000003E-7</v>
      </c>
      <c r="E255">
        <v>2.867</v>
      </c>
      <c r="F255">
        <v>2.5909999999999998E-6</v>
      </c>
      <c r="G255">
        <v>18</v>
      </c>
    </row>
    <row r="256" spans="1:7" x14ac:dyDescent="0.35">
      <c r="A256" t="s">
        <v>858</v>
      </c>
      <c r="B256">
        <v>255</v>
      </c>
      <c r="C256" s="16" t="s">
        <v>507</v>
      </c>
      <c r="D256">
        <v>4.9309999999999999E-6</v>
      </c>
      <c r="E256">
        <v>1.863</v>
      </c>
      <c r="F256">
        <v>9.1880000000000008E-6</v>
      </c>
      <c r="G256">
        <v>18</v>
      </c>
    </row>
    <row r="257" spans="1:7" x14ac:dyDescent="0.35">
      <c r="A257" t="s">
        <v>858</v>
      </c>
      <c r="B257">
        <v>256</v>
      </c>
      <c r="C257" s="16" t="s">
        <v>506</v>
      </c>
      <c r="D257">
        <v>1.4829999999999999E-2</v>
      </c>
      <c r="E257">
        <v>1.3029999999999999</v>
      </c>
      <c r="F257">
        <v>1.932E-2</v>
      </c>
      <c r="G257">
        <v>18</v>
      </c>
    </row>
    <row r="258" spans="1:7" x14ac:dyDescent="0.35">
      <c r="A258" t="s">
        <v>858</v>
      </c>
      <c r="B258">
        <v>257</v>
      </c>
      <c r="C258" s="16" t="s">
        <v>505</v>
      </c>
      <c r="D258">
        <v>4.9849999999999999E-5</v>
      </c>
      <c r="E258">
        <v>1.7569999999999999</v>
      </c>
      <c r="F258">
        <v>8.7559999999999995E-5</v>
      </c>
      <c r="G258">
        <v>18</v>
      </c>
    </row>
    <row r="259" spans="1:7" x14ac:dyDescent="0.35">
      <c r="A259" t="s">
        <v>858</v>
      </c>
      <c r="B259">
        <v>258</v>
      </c>
      <c r="C259" s="16" t="s">
        <v>504</v>
      </c>
      <c r="D259">
        <v>4.9129999999999996E-7</v>
      </c>
      <c r="E259">
        <v>1.335</v>
      </c>
      <c r="F259">
        <v>6.5590000000000004E-7</v>
      </c>
      <c r="G259">
        <v>18</v>
      </c>
    </row>
    <row r="260" spans="1:7" x14ac:dyDescent="0.35">
      <c r="A260" t="s">
        <v>858</v>
      </c>
      <c r="B260">
        <v>259</v>
      </c>
      <c r="C260" s="16" t="s">
        <v>503</v>
      </c>
      <c r="D260">
        <v>8.3159999999999998E-2</v>
      </c>
      <c r="E260">
        <v>1.454</v>
      </c>
      <c r="F260">
        <v>0.12089999999999999</v>
      </c>
      <c r="G260">
        <v>18</v>
      </c>
    </row>
    <row r="261" spans="1:7" x14ac:dyDescent="0.35">
      <c r="A261" t="s">
        <v>821</v>
      </c>
      <c r="B261">
        <v>260</v>
      </c>
      <c r="C261" s="16">
        <v>12</v>
      </c>
      <c r="D261">
        <v>8.0979999999999996E-2</v>
      </c>
      <c r="E261">
        <v>1.446</v>
      </c>
      <c r="F261">
        <v>0.1171</v>
      </c>
      <c r="G261">
        <v>14</v>
      </c>
    </row>
    <row r="262" spans="1:7" x14ac:dyDescent="0.35">
      <c r="A262" t="s">
        <v>821</v>
      </c>
      <c r="B262">
        <v>261</v>
      </c>
      <c r="C262" s="16">
        <v>11</v>
      </c>
      <c r="D262">
        <v>1.5779999999999999E-2</v>
      </c>
      <c r="E262">
        <v>1.387</v>
      </c>
      <c r="F262">
        <v>2.189E-2</v>
      </c>
      <c r="G262">
        <v>14</v>
      </c>
    </row>
    <row r="263" spans="1:7" x14ac:dyDescent="0.35">
      <c r="A263" t="s">
        <v>821</v>
      </c>
      <c r="B263">
        <v>262</v>
      </c>
      <c r="C263" s="16">
        <v>10</v>
      </c>
      <c r="D263">
        <v>0.53680000000000005</v>
      </c>
      <c r="E263">
        <v>1.7350000000000001</v>
      </c>
      <c r="F263">
        <v>0.93149999999999999</v>
      </c>
      <c r="G263">
        <v>14</v>
      </c>
    </row>
    <row r="264" spans="1:7" x14ac:dyDescent="0.35">
      <c r="A264" t="s">
        <v>821</v>
      </c>
      <c r="B264">
        <v>263</v>
      </c>
      <c r="C264" s="16">
        <v>9</v>
      </c>
      <c r="D264">
        <v>7.1170000000000001E-3</v>
      </c>
      <c r="E264">
        <v>0.996</v>
      </c>
      <c r="F264">
        <v>7.0879999999999997E-3</v>
      </c>
      <c r="G264">
        <v>14</v>
      </c>
    </row>
    <row r="265" spans="1:7" x14ac:dyDescent="0.35">
      <c r="A265" t="s">
        <v>821</v>
      </c>
      <c r="B265">
        <v>264</v>
      </c>
      <c r="C265" s="16">
        <v>8</v>
      </c>
      <c r="D265">
        <v>0.4375</v>
      </c>
      <c r="E265">
        <v>1.6120000000000001</v>
      </c>
      <c r="F265">
        <v>0.70540000000000003</v>
      </c>
      <c r="G265">
        <v>14</v>
      </c>
    </row>
    <row r="266" spans="1:7" x14ac:dyDescent="0.35">
      <c r="A266" t="s">
        <v>821</v>
      </c>
      <c r="B266">
        <v>265</v>
      </c>
      <c r="C266" s="16">
        <v>7</v>
      </c>
      <c r="D266">
        <v>0.53680000000000005</v>
      </c>
      <c r="E266">
        <v>1.216</v>
      </c>
      <c r="F266">
        <v>0.65249999999999997</v>
      </c>
      <c r="G266">
        <v>14</v>
      </c>
    </row>
    <row r="267" spans="1:7" x14ac:dyDescent="0.35">
      <c r="A267" t="s">
        <v>821</v>
      </c>
      <c r="B267">
        <v>266</v>
      </c>
      <c r="C267" s="16">
        <v>6</v>
      </c>
      <c r="D267">
        <v>4.7859999999999998E-4</v>
      </c>
      <c r="E267">
        <v>1.149</v>
      </c>
      <c r="F267">
        <v>5.5000000000000003E-4</v>
      </c>
      <c r="G267">
        <v>14</v>
      </c>
    </row>
    <row r="268" spans="1:7" x14ac:dyDescent="0.35">
      <c r="A268" t="s">
        <v>821</v>
      </c>
      <c r="B268">
        <v>267</v>
      </c>
      <c r="C268" s="16">
        <v>5</v>
      </c>
      <c r="D268">
        <v>0.52580000000000005</v>
      </c>
      <c r="E268">
        <v>1.1220000000000001</v>
      </c>
      <c r="F268">
        <v>0.58979999999999999</v>
      </c>
      <c r="G268">
        <v>14</v>
      </c>
    </row>
    <row r="269" spans="1:7" x14ac:dyDescent="0.35">
      <c r="A269" t="s">
        <v>821</v>
      </c>
      <c r="B269">
        <v>268</v>
      </c>
      <c r="C269" s="16">
        <v>4</v>
      </c>
      <c r="D269">
        <v>0.379</v>
      </c>
      <c r="E269">
        <v>1.1659999999999999</v>
      </c>
      <c r="F269">
        <v>0.44190000000000002</v>
      </c>
      <c r="G269">
        <v>14</v>
      </c>
    </row>
    <row r="270" spans="1:7" x14ac:dyDescent="0.35">
      <c r="A270" t="s">
        <v>821</v>
      </c>
      <c r="B270">
        <v>269</v>
      </c>
      <c r="C270" s="16">
        <v>3</v>
      </c>
      <c r="D270">
        <v>8.3110000000000003E-2</v>
      </c>
      <c r="E270">
        <v>1.3720000000000001</v>
      </c>
      <c r="F270">
        <v>0.114</v>
      </c>
      <c r="G270">
        <v>14</v>
      </c>
    </row>
    <row r="271" spans="1:7" x14ac:dyDescent="0.35">
      <c r="A271" t="s">
        <v>821</v>
      </c>
      <c r="B271">
        <v>270</v>
      </c>
      <c r="C271" s="16">
        <v>2</v>
      </c>
      <c r="D271">
        <v>0.1757</v>
      </c>
      <c r="E271">
        <v>1.5820000000000001</v>
      </c>
      <c r="F271">
        <v>0.27800000000000002</v>
      </c>
      <c r="G271">
        <v>14</v>
      </c>
    </row>
    <row r="272" spans="1:7" x14ac:dyDescent="0.35">
      <c r="A272" t="s">
        <v>821</v>
      </c>
      <c r="B272">
        <v>271</v>
      </c>
      <c r="C272" s="16">
        <v>1</v>
      </c>
      <c r="D272">
        <v>5.2179999999999997E-2</v>
      </c>
      <c r="E272">
        <v>1.0049999999999999</v>
      </c>
      <c r="F272">
        <v>5.2420000000000001E-2</v>
      </c>
      <c r="G272">
        <v>14</v>
      </c>
    </row>
    <row r="273" spans="1:7" x14ac:dyDescent="0.35">
      <c r="A273" t="s">
        <v>822</v>
      </c>
      <c r="B273">
        <v>272</v>
      </c>
      <c r="C273" s="16">
        <v>9</v>
      </c>
      <c r="D273">
        <v>1.912E-9</v>
      </c>
      <c r="E273">
        <v>2.86</v>
      </c>
      <c r="F273">
        <v>5.469E-9</v>
      </c>
      <c r="G273">
        <v>13</v>
      </c>
    </row>
    <row r="274" spans="1:7" x14ac:dyDescent="0.35">
      <c r="A274" t="s">
        <v>822</v>
      </c>
      <c r="B274">
        <v>273</v>
      </c>
      <c r="C274" s="16">
        <v>8</v>
      </c>
      <c r="D274">
        <v>4.8559999999999998E-6</v>
      </c>
      <c r="E274">
        <v>1.367</v>
      </c>
      <c r="F274">
        <v>6.6370000000000002E-6</v>
      </c>
      <c r="G274">
        <v>13</v>
      </c>
    </row>
    <row r="275" spans="1:7" x14ac:dyDescent="0.35">
      <c r="A275" t="s">
        <v>822</v>
      </c>
      <c r="B275">
        <v>274</v>
      </c>
      <c r="C275" s="16">
        <v>7</v>
      </c>
      <c r="D275">
        <v>1.1730000000000001E-4</v>
      </c>
      <c r="E275">
        <v>0.98950000000000005</v>
      </c>
      <c r="F275">
        <v>1.161E-4</v>
      </c>
      <c r="G275">
        <v>13</v>
      </c>
    </row>
    <row r="276" spans="1:7" x14ac:dyDescent="0.35">
      <c r="A276" t="s">
        <v>822</v>
      </c>
      <c r="B276">
        <v>275</v>
      </c>
      <c r="C276" s="16">
        <v>6</v>
      </c>
      <c r="D276">
        <v>0.45390000000000003</v>
      </c>
      <c r="E276">
        <v>0.27410000000000001</v>
      </c>
      <c r="F276">
        <v>0.1244</v>
      </c>
      <c r="G276">
        <v>13</v>
      </c>
    </row>
    <row r="277" spans="1:7" x14ac:dyDescent="0.35">
      <c r="A277" t="s">
        <v>822</v>
      </c>
      <c r="B277">
        <v>276</v>
      </c>
      <c r="C277" s="16">
        <v>5</v>
      </c>
      <c r="D277">
        <v>7.4649999999999998E-4</v>
      </c>
      <c r="E277">
        <v>1.131</v>
      </c>
      <c r="F277">
        <v>8.4409999999999997E-4</v>
      </c>
      <c r="G277">
        <v>13</v>
      </c>
    </row>
    <row r="278" spans="1:7" x14ac:dyDescent="0.35">
      <c r="A278" t="s">
        <v>822</v>
      </c>
      <c r="B278">
        <v>277</v>
      </c>
      <c r="C278" s="16">
        <v>4</v>
      </c>
      <c r="D278">
        <v>1.1730000000000001E-4</v>
      </c>
      <c r="E278">
        <v>1.0029999999999999</v>
      </c>
      <c r="F278">
        <v>1.177E-4</v>
      </c>
      <c r="G278">
        <v>13</v>
      </c>
    </row>
    <row r="279" spans="1:7" x14ac:dyDescent="0.35">
      <c r="A279" t="s">
        <v>822</v>
      </c>
      <c r="B279">
        <v>278</v>
      </c>
      <c r="C279" s="16">
        <v>3</v>
      </c>
      <c r="D279">
        <v>1.1730000000000001E-4</v>
      </c>
      <c r="E279">
        <v>1.2589999999999999</v>
      </c>
      <c r="F279">
        <v>1.4760000000000001E-4</v>
      </c>
      <c r="G279">
        <v>13</v>
      </c>
    </row>
    <row r="280" spans="1:7" x14ac:dyDescent="0.35">
      <c r="A280" t="s">
        <v>822</v>
      </c>
      <c r="B280">
        <v>279</v>
      </c>
      <c r="C280" s="16">
        <v>2</v>
      </c>
      <c r="D280">
        <v>9.6460000000000004E-2</v>
      </c>
      <c r="E280">
        <v>0.70189999999999997</v>
      </c>
      <c r="F280">
        <v>6.7710000000000006E-2</v>
      </c>
      <c r="G280">
        <v>13</v>
      </c>
    </row>
    <row r="281" spans="1:7" x14ac:dyDescent="0.35">
      <c r="A281" t="s">
        <v>822</v>
      </c>
      <c r="B281">
        <v>280</v>
      </c>
      <c r="C281" s="16">
        <v>1</v>
      </c>
      <c r="D281">
        <v>4.0290000000000002E-5</v>
      </c>
      <c r="E281">
        <v>0.94010000000000005</v>
      </c>
      <c r="F281">
        <v>3.7880000000000003E-5</v>
      </c>
      <c r="G281">
        <v>13</v>
      </c>
    </row>
    <row r="282" spans="1:7" x14ac:dyDescent="0.35">
      <c r="A282" t="s">
        <v>823</v>
      </c>
      <c r="B282">
        <v>281</v>
      </c>
      <c r="C282" s="16" t="s">
        <v>526</v>
      </c>
      <c r="D282">
        <v>4.7059999999999998E-2</v>
      </c>
      <c r="E282">
        <v>1.097</v>
      </c>
      <c r="F282">
        <v>5.1639999999999998E-2</v>
      </c>
      <c r="G282">
        <v>10</v>
      </c>
    </row>
    <row r="283" spans="1:7" x14ac:dyDescent="0.35">
      <c r="A283" t="s">
        <v>823</v>
      </c>
      <c r="B283">
        <v>282</v>
      </c>
      <c r="C283" s="16" t="s">
        <v>487</v>
      </c>
      <c r="D283">
        <v>6.2870000000000001E-3</v>
      </c>
      <c r="E283">
        <v>1.9259999999999999</v>
      </c>
      <c r="F283">
        <v>1.2109999999999999E-2</v>
      </c>
      <c r="G283">
        <v>10</v>
      </c>
    </row>
    <row r="284" spans="1:7" x14ac:dyDescent="0.35">
      <c r="A284" t="s">
        <v>823</v>
      </c>
      <c r="B284">
        <v>283</v>
      </c>
      <c r="C284" s="16" t="s">
        <v>485</v>
      </c>
      <c r="D284">
        <v>7.9929999999999997E-4</v>
      </c>
      <c r="E284">
        <v>1.268</v>
      </c>
      <c r="F284">
        <v>1.0139999999999999E-3</v>
      </c>
      <c r="G284">
        <v>10</v>
      </c>
    </row>
    <row r="285" spans="1:7" x14ac:dyDescent="0.35">
      <c r="A285" t="s">
        <v>823</v>
      </c>
      <c r="B285">
        <v>284</v>
      </c>
      <c r="C285" s="16" t="s">
        <v>483</v>
      </c>
      <c r="D285">
        <v>4.7059999999999998E-2</v>
      </c>
      <c r="E285">
        <v>1.2729999999999999</v>
      </c>
      <c r="F285">
        <v>5.9909999999999998E-2</v>
      </c>
      <c r="G285">
        <v>10</v>
      </c>
    </row>
    <row r="286" spans="1:7" x14ac:dyDescent="0.35">
      <c r="A286" t="s">
        <v>823</v>
      </c>
      <c r="B286">
        <v>285</v>
      </c>
      <c r="C286" s="16" t="s">
        <v>481</v>
      </c>
      <c r="D286">
        <v>0.70689999999999997</v>
      </c>
      <c r="E286">
        <v>0.95850000000000002</v>
      </c>
      <c r="F286">
        <v>0.67759999999999998</v>
      </c>
      <c r="G286">
        <v>10</v>
      </c>
    </row>
    <row r="287" spans="1:7" x14ac:dyDescent="0.35">
      <c r="A287" t="s">
        <v>823</v>
      </c>
      <c r="B287">
        <v>286</v>
      </c>
      <c r="C287" s="16" t="s">
        <v>479</v>
      </c>
      <c r="D287">
        <v>7.5020000000000003E-2</v>
      </c>
      <c r="E287">
        <v>1.105</v>
      </c>
      <c r="F287">
        <v>8.2860000000000003E-2</v>
      </c>
      <c r="G287">
        <v>10</v>
      </c>
    </row>
    <row r="288" spans="1:7" x14ac:dyDescent="0.35">
      <c r="A288" t="s">
        <v>824</v>
      </c>
      <c r="B288">
        <v>287</v>
      </c>
      <c r="C288" s="16">
        <v>18</v>
      </c>
      <c r="D288">
        <v>0.60519999999999996</v>
      </c>
      <c r="E288">
        <v>0.72330000000000005</v>
      </c>
      <c r="F288">
        <v>0.43780000000000002</v>
      </c>
      <c r="G288">
        <v>8</v>
      </c>
    </row>
    <row r="289" spans="1:7" x14ac:dyDescent="0.35">
      <c r="A289" t="s">
        <v>824</v>
      </c>
      <c r="B289">
        <v>288</v>
      </c>
      <c r="C289" s="16">
        <v>17</v>
      </c>
      <c r="D289">
        <v>3.5520000000000003E-2</v>
      </c>
      <c r="E289">
        <v>0.61680000000000001</v>
      </c>
      <c r="F289">
        <v>2.1909999999999999E-2</v>
      </c>
      <c r="G289">
        <v>8</v>
      </c>
    </row>
    <row r="290" spans="1:7" x14ac:dyDescent="0.35">
      <c r="A290" t="s">
        <v>824</v>
      </c>
      <c r="B290">
        <v>289</v>
      </c>
      <c r="C290" s="16">
        <v>16</v>
      </c>
      <c r="D290">
        <v>0.31180000000000002</v>
      </c>
      <c r="E290">
        <v>0.62419999999999998</v>
      </c>
      <c r="F290">
        <v>0.19470000000000001</v>
      </c>
      <c r="G290">
        <v>8</v>
      </c>
    </row>
    <row r="291" spans="1:7" x14ac:dyDescent="0.35">
      <c r="A291" t="s">
        <v>824</v>
      </c>
      <c r="B291">
        <v>290</v>
      </c>
      <c r="C291" s="16">
        <v>15</v>
      </c>
      <c r="D291">
        <v>0.12920000000000001</v>
      </c>
      <c r="E291">
        <v>0.68689999999999996</v>
      </c>
      <c r="F291">
        <v>8.8719999999999993E-2</v>
      </c>
      <c r="G291">
        <v>8</v>
      </c>
    </row>
    <row r="292" spans="1:7" x14ac:dyDescent="0.35">
      <c r="A292" t="s">
        <v>824</v>
      </c>
      <c r="B292">
        <v>291</v>
      </c>
      <c r="C292" s="16">
        <v>14</v>
      </c>
      <c r="D292">
        <v>0.8498</v>
      </c>
      <c r="E292">
        <v>1.0720000000000001</v>
      </c>
      <c r="F292">
        <v>0.91139999999999999</v>
      </c>
      <c r="G292">
        <v>8</v>
      </c>
    </row>
    <row r="293" spans="1:7" x14ac:dyDescent="0.35">
      <c r="A293" t="s">
        <v>824</v>
      </c>
      <c r="B293">
        <v>292</v>
      </c>
      <c r="C293" s="16">
        <v>13</v>
      </c>
      <c r="D293">
        <v>1.065E-2</v>
      </c>
      <c r="E293">
        <v>1.026</v>
      </c>
      <c r="F293">
        <v>1.093E-2</v>
      </c>
      <c r="G293">
        <v>8</v>
      </c>
    </row>
    <row r="294" spans="1:7" x14ac:dyDescent="0.35">
      <c r="A294" t="s">
        <v>824</v>
      </c>
      <c r="B294">
        <v>293</v>
      </c>
      <c r="C294" s="16">
        <v>12</v>
      </c>
      <c r="D294">
        <v>1.065E-2</v>
      </c>
      <c r="E294">
        <v>1.6379999999999999</v>
      </c>
      <c r="F294">
        <v>1.745E-2</v>
      </c>
      <c r="G294">
        <v>8</v>
      </c>
    </row>
    <row r="295" spans="1:7" x14ac:dyDescent="0.35">
      <c r="A295" t="s">
        <v>824</v>
      </c>
      <c r="B295">
        <v>294</v>
      </c>
      <c r="C295" s="16">
        <v>11</v>
      </c>
      <c r="D295">
        <v>0.8498</v>
      </c>
      <c r="E295">
        <v>0.98480000000000001</v>
      </c>
      <c r="F295">
        <v>0.83689999999999998</v>
      </c>
      <c r="G295">
        <v>8</v>
      </c>
    </row>
    <row r="296" spans="1:7" x14ac:dyDescent="0.35">
      <c r="A296" t="s">
        <v>824</v>
      </c>
      <c r="B296">
        <v>295</v>
      </c>
      <c r="C296" s="16">
        <v>10</v>
      </c>
      <c r="D296">
        <v>0.40870000000000001</v>
      </c>
      <c r="E296">
        <v>0.74199999999999999</v>
      </c>
      <c r="F296">
        <v>0.30330000000000001</v>
      </c>
      <c r="G296">
        <v>8</v>
      </c>
    </row>
    <row r="297" spans="1:7" x14ac:dyDescent="0.35">
      <c r="A297" t="s">
        <v>824</v>
      </c>
      <c r="B297">
        <v>296</v>
      </c>
      <c r="C297" s="16">
        <v>9</v>
      </c>
      <c r="D297">
        <v>0.60519999999999996</v>
      </c>
      <c r="E297">
        <v>0.80479999999999996</v>
      </c>
      <c r="F297">
        <v>0.48709999999999998</v>
      </c>
      <c r="G297">
        <v>8</v>
      </c>
    </row>
    <row r="298" spans="1:7" x14ac:dyDescent="0.35">
      <c r="A298" t="s">
        <v>824</v>
      </c>
      <c r="B298">
        <v>297</v>
      </c>
      <c r="C298" s="16">
        <v>8</v>
      </c>
      <c r="D298">
        <v>2.7799999999999998E-2</v>
      </c>
      <c r="E298">
        <v>1.538</v>
      </c>
      <c r="F298">
        <v>4.274E-2</v>
      </c>
      <c r="G298">
        <v>8</v>
      </c>
    </row>
    <row r="299" spans="1:7" x14ac:dyDescent="0.35">
      <c r="A299" t="s">
        <v>824</v>
      </c>
      <c r="B299">
        <v>298</v>
      </c>
      <c r="C299" s="16">
        <v>7</v>
      </c>
      <c r="D299">
        <v>0.38719999999999999</v>
      </c>
      <c r="E299">
        <v>0.64139999999999997</v>
      </c>
      <c r="F299">
        <v>0.24840000000000001</v>
      </c>
      <c r="G299">
        <v>8</v>
      </c>
    </row>
    <row r="300" spans="1:7" x14ac:dyDescent="0.35">
      <c r="A300" t="s">
        <v>824</v>
      </c>
      <c r="B300">
        <v>299</v>
      </c>
      <c r="C300" s="16">
        <v>6</v>
      </c>
      <c r="D300">
        <v>0.20219999999999999</v>
      </c>
      <c r="E300">
        <v>0.78120000000000001</v>
      </c>
      <c r="F300">
        <v>0.15790000000000001</v>
      </c>
      <c r="G300">
        <v>8</v>
      </c>
    </row>
    <row r="301" spans="1:7" x14ac:dyDescent="0.35">
      <c r="A301" t="s">
        <v>824</v>
      </c>
      <c r="B301">
        <v>300</v>
      </c>
      <c r="C301" s="16">
        <v>5</v>
      </c>
      <c r="D301">
        <v>0.8498</v>
      </c>
      <c r="E301">
        <v>0.7712</v>
      </c>
      <c r="F301">
        <v>0.65539999999999998</v>
      </c>
      <c r="G301">
        <v>8</v>
      </c>
    </row>
    <row r="302" spans="1:7" x14ac:dyDescent="0.35">
      <c r="A302" t="s">
        <v>824</v>
      </c>
      <c r="B302">
        <v>301</v>
      </c>
      <c r="C302" s="16">
        <v>4</v>
      </c>
      <c r="D302">
        <v>1.065E-2</v>
      </c>
      <c r="E302">
        <v>1.0880000000000001</v>
      </c>
      <c r="F302">
        <v>1.159E-2</v>
      </c>
      <c r="G302">
        <v>8</v>
      </c>
    </row>
    <row r="303" spans="1:7" x14ac:dyDescent="0.35">
      <c r="A303" t="s">
        <v>824</v>
      </c>
      <c r="B303">
        <v>302</v>
      </c>
      <c r="C303" s="16">
        <v>3</v>
      </c>
      <c r="D303">
        <v>0.60519999999999996</v>
      </c>
      <c r="E303">
        <v>0.97470000000000001</v>
      </c>
      <c r="F303">
        <v>0.58989999999999998</v>
      </c>
      <c r="G303">
        <v>8</v>
      </c>
    </row>
    <row r="304" spans="1:7" x14ac:dyDescent="0.35">
      <c r="A304" t="s">
        <v>824</v>
      </c>
      <c r="B304">
        <v>303</v>
      </c>
      <c r="C304" s="16">
        <v>2</v>
      </c>
      <c r="D304">
        <v>0.31180000000000002</v>
      </c>
      <c r="E304">
        <v>0.65139999999999998</v>
      </c>
      <c r="F304">
        <v>0.2031</v>
      </c>
      <c r="G304">
        <v>8</v>
      </c>
    </row>
    <row r="305" spans="1:13" x14ac:dyDescent="0.35">
      <c r="A305" t="s">
        <v>824</v>
      </c>
      <c r="B305">
        <v>304</v>
      </c>
      <c r="C305" s="16">
        <v>1</v>
      </c>
      <c r="D305">
        <v>1.065E-2</v>
      </c>
      <c r="E305">
        <v>1.3939999999999999</v>
      </c>
      <c r="F305">
        <v>1.485E-2</v>
      </c>
      <c r="G305">
        <v>8</v>
      </c>
    </row>
    <row r="306" spans="1:13" x14ac:dyDescent="0.35">
      <c r="A306" t="s">
        <v>860</v>
      </c>
      <c r="B306">
        <v>305</v>
      </c>
      <c r="C306" s="16" t="s">
        <v>682</v>
      </c>
      <c r="D306">
        <v>3.5710000000000001E-4</v>
      </c>
      <c r="E306">
        <v>2.3149999999999999</v>
      </c>
      <c r="F306">
        <v>8.2689999999999999E-4</v>
      </c>
      <c r="G306">
        <v>16</v>
      </c>
    </row>
    <row r="307" spans="1:13" x14ac:dyDescent="0.35">
      <c r="A307" t="s">
        <v>860</v>
      </c>
      <c r="B307">
        <v>306</v>
      </c>
      <c r="C307" s="16" t="s">
        <v>681</v>
      </c>
      <c r="D307">
        <v>8.9690000000000006E-2</v>
      </c>
      <c r="E307">
        <v>1.5069999999999999</v>
      </c>
      <c r="F307">
        <v>0.13519999999999999</v>
      </c>
      <c r="G307">
        <v>16</v>
      </c>
    </row>
    <row r="308" spans="1:13" x14ac:dyDescent="0.35">
      <c r="A308" t="s">
        <v>860</v>
      </c>
      <c r="B308">
        <v>307</v>
      </c>
      <c r="C308" s="16" t="s">
        <v>680</v>
      </c>
      <c r="D308">
        <v>8.6609999999999999E-5</v>
      </c>
      <c r="E308">
        <v>2.2050000000000001</v>
      </c>
      <c r="F308">
        <v>1.9100000000000001E-4</v>
      </c>
      <c r="G308">
        <v>16</v>
      </c>
    </row>
    <row r="309" spans="1:13" x14ac:dyDescent="0.35">
      <c r="A309" t="s">
        <v>860</v>
      </c>
      <c r="B309">
        <v>308</v>
      </c>
      <c r="C309" s="16" t="s">
        <v>679</v>
      </c>
      <c r="D309">
        <v>7.5829999999999995E-4</v>
      </c>
      <c r="E309">
        <v>1.6950000000000001</v>
      </c>
      <c r="F309">
        <v>1.2849999999999999E-3</v>
      </c>
      <c r="G309">
        <v>16</v>
      </c>
    </row>
    <row r="310" spans="1:13" x14ac:dyDescent="0.35">
      <c r="A310" t="s">
        <v>860</v>
      </c>
      <c r="B310">
        <v>309</v>
      </c>
      <c r="C310" s="16" t="s">
        <v>678</v>
      </c>
      <c r="D310">
        <v>3.5710000000000001E-4</v>
      </c>
      <c r="E310">
        <v>1.72</v>
      </c>
      <c r="F310">
        <v>6.1410000000000002E-4</v>
      </c>
      <c r="G310">
        <v>16</v>
      </c>
    </row>
    <row r="311" spans="1:13" x14ac:dyDescent="0.35">
      <c r="A311" t="s">
        <v>860</v>
      </c>
      <c r="B311">
        <v>310</v>
      </c>
      <c r="C311" s="16" t="s">
        <v>677</v>
      </c>
      <c r="D311">
        <v>3.56E-2</v>
      </c>
      <c r="E311">
        <v>1.9610000000000001</v>
      </c>
      <c r="F311">
        <v>6.9819999999999993E-2</v>
      </c>
      <c r="G311">
        <v>16</v>
      </c>
    </row>
    <row r="312" spans="1:13" x14ac:dyDescent="0.35">
      <c r="A312" t="s">
        <v>860</v>
      </c>
      <c r="B312">
        <v>311</v>
      </c>
      <c r="C312" s="16" t="s">
        <v>676</v>
      </c>
      <c r="D312">
        <v>2.8079999999999999E-4</v>
      </c>
      <c r="E312">
        <v>1.9750000000000001</v>
      </c>
      <c r="F312">
        <v>5.5449999999999998E-4</v>
      </c>
      <c r="G312">
        <v>16</v>
      </c>
    </row>
    <row r="313" spans="1:13" x14ac:dyDescent="0.35">
      <c r="A313" t="s">
        <v>860</v>
      </c>
      <c r="B313">
        <v>312</v>
      </c>
      <c r="C313" s="16" t="s">
        <v>675</v>
      </c>
      <c r="D313">
        <v>2.8079999999999999E-4</v>
      </c>
      <c r="E313">
        <v>1.833</v>
      </c>
      <c r="F313">
        <v>5.1460000000000004E-4</v>
      </c>
      <c r="G313">
        <v>16</v>
      </c>
    </row>
    <row r="314" spans="1:13" x14ac:dyDescent="0.35">
      <c r="A314" t="s">
        <v>860</v>
      </c>
      <c r="B314">
        <v>313</v>
      </c>
      <c r="C314" s="16" t="s">
        <v>674</v>
      </c>
      <c r="D314">
        <v>0.39879999999999999</v>
      </c>
      <c r="E314">
        <v>1.323</v>
      </c>
      <c r="F314">
        <v>0.52749999999999997</v>
      </c>
      <c r="G314">
        <v>16</v>
      </c>
      <c r="L314" s="65"/>
      <c r="M314" s="65"/>
    </row>
    <row r="315" spans="1:13" x14ac:dyDescent="0.35">
      <c r="A315" t="s">
        <v>860</v>
      </c>
      <c r="B315">
        <v>314</v>
      </c>
      <c r="C315" s="16" t="s">
        <v>673</v>
      </c>
      <c r="D315">
        <v>8.9690000000000006E-2</v>
      </c>
      <c r="E315">
        <v>1.68</v>
      </c>
      <c r="F315">
        <v>0.15060000000000001</v>
      </c>
      <c r="G315">
        <v>16</v>
      </c>
    </row>
    <row r="316" spans="1:13" x14ac:dyDescent="0.35">
      <c r="A316" t="s">
        <v>860</v>
      </c>
      <c r="B316">
        <v>315</v>
      </c>
      <c r="C316" s="16" t="s">
        <v>672</v>
      </c>
      <c r="D316">
        <v>1.4960000000000001E-5</v>
      </c>
      <c r="E316">
        <v>2.056</v>
      </c>
      <c r="F316">
        <v>3.0759999999999997E-5</v>
      </c>
      <c r="G316">
        <v>16</v>
      </c>
    </row>
    <row r="317" spans="1:13" x14ac:dyDescent="0.35">
      <c r="A317" t="s">
        <v>860</v>
      </c>
      <c r="B317">
        <v>316</v>
      </c>
      <c r="C317" s="16" t="s">
        <v>671</v>
      </c>
      <c r="D317">
        <v>3.908E-3</v>
      </c>
      <c r="E317">
        <v>1.9610000000000001</v>
      </c>
      <c r="F317">
        <v>7.6639999999999998E-3</v>
      </c>
      <c r="G317">
        <v>16</v>
      </c>
    </row>
    <row r="318" spans="1:13" x14ac:dyDescent="0.35">
      <c r="A318" t="s">
        <v>860</v>
      </c>
      <c r="B318">
        <v>317</v>
      </c>
      <c r="C318" s="16" t="s">
        <v>670</v>
      </c>
      <c r="D318">
        <v>8.9690000000000006E-2</v>
      </c>
      <c r="E318">
        <v>1.407</v>
      </c>
      <c r="F318">
        <v>0.12620000000000001</v>
      </c>
      <c r="G318">
        <v>16</v>
      </c>
    </row>
    <row r="319" spans="1:13" x14ac:dyDescent="0.35">
      <c r="A319" t="s">
        <v>860</v>
      </c>
      <c r="B319">
        <v>318</v>
      </c>
      <c r="C319" s="16" t="s">
        <v>669</v>
      </c>
      <c r="D319">
        <v>0.14729999999999999</v>
      </c>
      <c r="E319">
        <v>1.2809999999999999</v>
      </c>
      <c r="F319">
        <v>0.18859999999999999</v>
      </c>
      <c r="G319">
        <v>16</v>
      </c>
    </row>
    <row r="320" spans="1:13" x14ac:dyDescent="0.35">
      <c r="A320" t="s">
        <v>860</v>
      </c>
      <c r="B320">
        <v>319</v>
      </c>
      <c r="C320" s="16" t="s">
        <v>668</v>
      </c>
      <c r="D320">
        <v>2.6169999999999999E-2</v>
      </c>
      <c r="E320">
        <v>1.6759999999999999</v>
      </c>
      <c r="F320">
        <v>4.3860000000000003E-2</v>
      </c>
      <c r="G320">
        <v>16</v>
      </c>
    </row>
    <row r="321" spans="1:7" x14ac:dyDescent="0.35">
      <c r="A321" t="s">
        <v>860</v>
      </c>
      <c r="B321">
        <v>320</v>
      </c>
      <c r="C321" s="16" t="s">
        <v>667</v>
      </c>
      <c r="D321">
        <v>5.9679999999999998E-4</v>
      </c>
      <c r="E321">
        <v>1.448</v>
      </c>
      <c r="F321">
        <v>8.6439999999999998E-4</v>
      </c>
      <c r="G321">
        <v>16</v>
      </c>
    </row>
    <row r="322" spans="1:7" x14ac:dyDescent="0.35">
      <c r="A322" t="s">
        <v>860</v>
      </c>
      <c r="B322">
        <v>321</v>
      </c>
      <c r="C322" s="16" t="s">
        <v>666</v>
      </c>
      <c r="D322">
        <v>8.884E-6</v>
      </c>
      <c r="E322">
        <v>1.772</v>
      </c>
      <c r="F322">
        <v>1.5739999999999998E-5</v>
      </c>
      <c r="G322">
        <v>16</v>
      </c>
    </row>
    <row r="323" spans="1:7" x14ac:dyDescent="0.35">
      <c r="A323" t="s">
        <v>860</v>
      </c>
      <c r="B323">
        <v>322</v>
      </c>
      <c r="C323" s="16" t="s">
        <v>665</v>
      </c>
      <c r="D323">
        <v>0.51729999999999998</v>
      </c>
      <c r="E323">
        <v>0.95</v>
      </c>
      <c r="F323">
        <v>0.4914</v>
      </c>
      <c r="G323">
        <v>16</v>
      </c>
    </row>
    <row r="324" spans="1:7" x14ac:dyDescent="0.35">
      <c r="A324" t="s">
        <v>860</v>
      </c>
      <c r="B324">
        <v>323</v>
      </c>
      <c r="C324" s="16" t="s">
        <v>664</v>
      </c>
      <c r="D324">
        <v>1.366E-8</v>
      </c>
      <c r="E324">
        <v>1.994</v>
      </c>
      <c r="F324">
        <v>2.7240000000000001E-8</v>
      </c>
      <c r="G324">
        <v>16</v>
      </c>
    </row>
    <row r="325" spans="1:7" x14ac:dyDescent="0.35">
      <c r="A325" t="s">
        <v>860</v>
      </c>
      <c r="B325">
        <v>324</v>
      </c>
      <c r="C325" s="16" t="s">
        <v>663</v>
      </c>
      <c r="D325">
        <v>7.3250000000000002E-6</v>
      </c>
      <c r="E325">
        <v>2.44</v>
      </c>
      <c r="F325">
        <v>1.787E-5</v>
      </c>
      <c r="G325">
        <v>16</v>
      </c>
    </row>
    <row r="326" spans="1:7" x14ac:dyDescent="0.35">
      <c r="A326" t="s">
        <v>874</v>
      </c>
      <c r="B326">
        <v>325</v>
      </c>
      <c r="C326" s="16">
        <v>10</v>
      </c>
      <c r="D326">
        <v>1.8249999999999999E-4</v>
      </c>
      <c r="E326">
        <v>2.25</v>
      </c>
      <c r="F326">
        <v>0</v>
      </c>
      <c r="G326">
        <v>11</v>
      </c>
    </row>
    <row r="327" spans="1:7" x14ac:dyDescent="0.35">
      <c r="A327" t="s">
        <v>874</v>
      </c>
      <c r="B327">
        <v>326</v>
      </c>
      <c r="C327" s="16">
        <v>9</v>
      </c>
      <c r="D327">
        <v>1.8460000000000001E-2</v>
      </c>
      <c r="E327">
        <v>1.522</v>
      </c>
      <c r="F327">
        <v>0</v>
      </c>
      <c r="G327">
        <v>11</v>
      </c>
    </row>
    <row r="328" spans="1:7" x14ac:dyDescent="0.35">
      <c r="A328" t="s">
        <v>874</v>
      </c>
      <c r="B328">
        <v>327</v>
      </c>
      <c r="C328" s="16">
        <v>8</v>
      </c>
      <c r="D328">
        <v>2.5180000000000001E-2</v>
      </c>
      <c r="E328">
        <v>1.395</v>
      </c>
      <c r="F328">
        <v>0</v>
      </c>
      <c r="G328">
        <v>11</v>
      </c>
    </row>
    <row r="329" spans="1:7" x14ac:dyDescent="0.35">
      <c r="A329" t="s">
        <v>874</v>
      </c>
      <c r="B329">
        <v>328</v>
      </c>
      <c r="C329" s="16">
        <v>7</v>
      </c>
      <c r="D329">
        <v>0.32650000000000001</v>
      </c>
      <c r="E329">
        <v>1.181</v>
      </c>
      <c r="F329">
        <v>0.3856</v>
      </c>
      <c r="G329">
        <v>11</v>
      </c>
    </row>
    <row r="330" spans="1:7" x14ac:dyDescent="0.35">
      <c r="A330" t="s">
        <v>874</v>
      </c>
      <c r="B330">
        <v>329</v>
      </c>
      <c r="C330" s="16">
        <v>6</v>
      </c>
      <c r="D330">
        <v>3.3E-3</v>
      </c>
      <c r="E330">
        <v>2.4359999999999999</v>
      </c>
      <c r="F330">
        <v>0</v>
      </c>
      <c r="G330">
        <v>11</v>
      </c>
    </row>
    <row r="331" spans="1:7" x14ac:dyDescent="0.35">
      <c r="A331" t="s">
        <v>874</v>
      </c>
      <c r="B331">
        <v>330</v>
      </c>
      <c r="C331" s="16">
        <v>5</v>
      </c>
      <c r="D331">
        <v>5.8420000000000001E-6</v>
      </c>
      <c r="E331">
        <v>1.5860000000000001</v>
      </c>
      <c r="F331">
        <v>0</v>
      </c>
      <c r="G331">
        <v>11</v>
      </c>
    </row>
    <row r="332" spans="1:7" x14ac:dyDescent="0.35">
      <c r="A332" t="s">
        <v>874</v>
      </c>
      <c r="B332">
        <v>331</v>
      </c>
      <c r="C332" s="16">
        <v>4</v>
      </c>
      <c r="D332">
        <v>5.8420000000000001E-6</v>
      </c>
      <c r="E332">
        <v>2.7530000000000001</v>
      </c>
      <c r="F332">
        <v>0</v>
      </c>
      <c r="G332">
        <v>11</v>
      </c>
    </row>
    <row r="333" spans="1:7" x14ac:dyDescent="0.35">
      <c r="A333" t="s">
        <v>874</v>
      </c>
      <c r="B333">
        <v>332</v>
      </c>
      <c r="C333" s="16">
        <v>3</v>
      </c>
      <c r="D333">
        <v>4.922E-2</v>
      </c>
      <c r="E333">
        <v>1.0409999999999999</v>
      </c>
      <c r="F333">
        <v>0</v>
      </c>
      <c r="G333">
        <v>11</v>
      </c>
    </row>
    <row r="334" spans="1:7" x14ac:dyDescent="0.35">
      <c r="A334" t="s">
        <v>874</v>
      </c>
      <c r="B334">
        <v>333</v>
      </c>
      <c r="C334" s="16">
        <v>2</v>
      </c>
      <c r="D334">
        <v>4.8449999999999999E-5</v>
      </c>
      <c r="E334">
        <v>1.544</v>
      </c>
      <c r="F334">
        <v>0</v>
      </c>
      <c r="G334">
        <v>11</v>
      </c>
    </row>
    <row r="335" spans="1:7" x14ac:dyDescent="0.35">
      <c r="A335" t="s">
        <v>874</v>
      </c>
      <c r="B335">
        <v>334</v>
      </c>
      <c r="C335" s="16">
        <v>1</v>
      </c>
      <c r="D335">
        <v>0.39939999999999998</v>
      </c>
      <c r="E335">
        <v>1.552</v>
      </c>
      <c r="F335">
        <v>0.61990000000000001</v>
      </c>
      <c r="G335">
        <v>11</v>
      </c>
    </row>
    <row r="336" spans="1:7" x14ac:dyDescent="0.35">
      <c r="A336" t="s">
        <v>825</v>
      </c>
      <c r="B336">
        <v>335</v>
      </c>
      <c r="C336" s="16" t="s">
        <v>531</v>
      </c>
      <c r="D336">
        <v>3.3210000000000002E-7</v>
      </c>
      <c r="E336">
        <v>1.258</v>
      </c>
      <c r="F336">
        <v>4.178E-7</v>
      </c>
      <c r="G336">
        <v>10</v>
      </c>
    </row>
    <row r="337" spans="1:7" x14ac:dyDescent="0.35">
      <c r="A337" t="s">
        <v>825</v>
      </c>
      <c r="B337">
        <v>336</v>
      </c>
      <c r="C337" s="16" t="s">
        <v>530</v>
      </c>
      <c r="D337">
        <v>2.827E-2</v>
      </c>
      <c r="E337">
        <v>0.68659999999999999</v>
      </c>
      <c r="F337">
        <v>1.941E-2</v>
      </c>
      <c r="G337">
        <v>10</v>
      </c>
    </row>
    <row r="338" spans="1:7" x14ac:dyDescent="0.35">
      <c r="A338" t="s">
        <v>825</v>
      </c>
      <c r="B338">
        <v>337</v>
      </c>
      <c r="C338" s="16" t="s">
        <v>529</v>
      </c>
      <c r="D338">
        <v>2.366E-2</v>
      </c>
      <c r="E338">
        <v>1.4359999999999999</v>
      </c>
      <c r="F338">
        <v>3.3980000000000003E-2</v>
      </c>
      <c r="G338">
        <v>10</v>
      </c>
    </row>
    <row r="339" spans="1:7" x14ac:dyDescent="0.35">
      <c r="A339" t="s">
        <v>825</v>
      </c>
      <c r="B339">
        <v>338</v>
      </c>
      <c r="C339" s="16" t="s">
        <v>528</v>
      </c>
      <c r="D339">
        <v>0.1321</v>
      </c>
      <c r="E339">
        <v>0.96960000000000002</v>
      </c>
      <c r="F339">
        <v>0.12809999999999999</v>
      </c>
      <c r="G339">
        <v>10</v>
      </c>
    </row>
    <row r="340" spans="1:7" x14ac:dyDescent="0.35">
      <c r="A340" t="s">
        <v>825</v>
      </c>
      <c r="B340">
        <v>339</v>
      </c>
      <c r="C340" s="16" t="s">
        <v>527</v>
      </c>
      <c r="D340">
        <v>1.4409999999999999E-5</v>
      </c>
      <c r="E340">
        <v>0.78949999999999998</v>
      </c>
      <c r="F340">
        <v>1.137E-5</v>
      </c>
      <c r="G340">
        <v>10</v>
      </c>
    </row>
    <row r="341" spans="1:7" x14ac:dyDescent="0.35">
      <c r="A341" t="s">
        <v>837</v>
      </c>
      <c r="B341">
        <v>340</v>
      </c>
      <c r="C341" s="16">
        <v>8</v>
      </c>
      <c r="D341">
        <v>3.0150000000000001E-4</v>
      </c>
      <c r="E341">
        <v>1.123</v>
      </c>
      <c r="F341">
        <v>3.3849999999999999E-4</v>
      </c>
      <c r="G341">
        <v>11</v>
      </c>
    </row>
    <row r="342" spans="1:7" x14ac:dyDescent="0.35">
      <c r="A342" t="s">
        <v>837</v>
      </c>
      <c r="B342">
        <v>341</v>
      </c>
      <c r="C342" s="16">
        <v>7</v>
      </c>
      <c r="D342">
        <v>6.9689999999999995E-7</v>
      </c>
      <c r="E342">
        <v>1.738</v>
      </c>
      <c r="F342">
        <v>1.212E-6</v>
      </c>
      <c r="G342">
        <v>11</v>
      </c>
    </row>
    <row r="343" spans="1:7" x14ac:dyDescent="0.35">
      <c r="A343" t="s">
        <v>837</v>
      </c>
      <c r="B343">
        <v>342</v>
      </c>
      <c r="C343" s="16">
        <v>6</v>
      </c>
      <c r="D343">
        <v>3.202E-3</v>
      </c>
      <c r="E343">
        <v>1.5760000000000001</v>
      </c>
      <c r="F343">
        <v>5.045E-3</v>
      </c>
      <c r="G343">
        <v>11</v>
      </c>
    </row>
    <row r="344" spans="1:7" x14ac:dyDescent="0.35">
      <c r="A344" t="s">
        <v>837</v>
      </c>
      <c r="B344">
        <v>343</v>
      </c>
      <c r="C344" s="16">
        <v>5</v>
      </c>
      <c r="D344">
        <v>2.9239999999999999E-3</v>
      </c>
      <c r="E344">
        <v>1.7909999999999999</v>
      </c>
      <c r="F344">
        <v>5.2360000000000002E-3</v>
      </c>
      <c r="G344">
        <v>11</v>
      </c>
    </row>
    <row r="345" spans="1:7" x14ac:dyDescent="0.35">
      <c r="A345" t="s">
        <v>837</v>
      </c>
      <c r="B345">
        <v>344</v>
      </c>
      <c r="C345" s="16">
        <v>4</v>
      </c>
      <c r="D345">
        <v>0.1052</v>
      </c>
      <c r="E345">
        <v>0.29949999999999999</v>
      </c>
      <c r="F345">
        <v>3.15E-2</v>
      </c>
      <c r="G345">
        <v>11</v>
      </c>
    </row>
    <row r="346" spans="1:7" x14ac:dyDescent="0.35">
      <c r="A346" t="s">
        <v>837</v>
      </c>
      <c r="B346">
        <v>345</v>
      </c>
      <c r="C346" s="16">
        <v>3</v>
      </c>
      <c r="D346">
        <v>0.45400000000000001</v>
      </c>
      <c r="E346">
        <v>0.73080000000000001</v>
      </c>
      <c r="F346">
        <v>0.33169999999999999</v>
      </c>
      <c r="G346">
        <v>11</v>
      </c>
    </row>
    <row r="347" spans="1:7" x14ac:dyDescent="0.35">
      <c r="A347" t="s">
        <v>837</v>
      </c>
      <c r="B347">
        <v>346</v>
      </c>
      <c r="C347" s="16">
        <v>2</v>
      </c>
      <c r="D347">
        <v>5.1769999999999997E-2</v>
      </c>
      <c r="E347">
        <v>1.907</v>
      </c>
      <c r="F347">
        <v>9.8720000000000002E-2</v>
      </c>
      <c r="G347">
        <v>11</v>
      </c>
    </row>
    <row r="348" spans="1:7" x14ac:dyDescent="0.35">
      <c r="A348" t="s">
        <v>837</v>
      </c>
      <c r="B348">
        <v>347</v>
      </c>
      <c r="C348" s="16">
        <v>1</v>
      </c>
      <c r="D348">
        <v>1.9429999999999999E-2</v>
      </c>
      <c r="E348">
        <v>1.177</v>
      </c>
      <c r="F348">
        <v>2.2870000000000001E-2</v>
      </c>
      <c r="G348">
        <v>11</v>
      </c>
    </row>
    <row r="349" spans="1:7" x14ac:dyDescent="0.35">
      <c r="A349" t="s">
        <v>841</v>
      </c>
      <c r="B349">
        <v>348</v>
      </c>
      <c r="C349" s="16">
        <v>4</v>
      </c>
      <c r="D349">
        <v>5.5589999999999996E-6</v>
      </c>
      <c r="E349">
        <v>0.9899</v>
      </c>
      <c r="F349">
        <v>5.502E-6</v>
      </c>
      <c r="G349">
        <v>10</v>
      </c>
    </row>
    <row r="350" spans="1:7" x14ac:dyDescent="0.35">
      <c r="A350" t="s">
        <v>841</v>
      </c>
      <c r="B350">
        <v>349</v>
      </c>
      <c r="C350" s="16">
        <v>3</v>
      </c>
      <c r="D350">
        <v>0.44740000000000002</v>
      </c>
      <c r="E350">
        <v>0.46629999999999999</v>
      </c>
      <c r="F350">
        <v>0.20860000000000001</v>
      </c>
      <c r="G350">
        <v>10</v>
      </c>
    </row>
    <row r="351" spans="1:7" x14ac:dyDescent="0.35">
      <c r="A351" t="s">
        <v>841</v>
      </c>
      <c r="B351">
        <v>350</v>
      </c>
      <c r="C351" s="16">
        <v>2</v>
      </c>
      <c r="D351">
        <v>1.651E-2</v>
      </c>
      <c r="E351">
        <v>0.4612</v>
      </c>
      <c r="F351">
        <v>7.6150000000000002E-3</v>
      </c>
      <c r="G351">
        <v>10</v>
      </c>
    </row>
    <row r="352" spans="1:7" x14ac:dyDescent="0.35">
      <c r="A352" t="s">
        <v>841</v>
      </c>
      <c r="B352">
        <v>351</v>
      </c>
      <c r="C352" s="16">
        <v>1</v>
      </c>
      <c r="D352">
        <v>2.6589999999999999E-2</v>
      </c>
      <c r="E352">
        <v>0.63160000000000005</v>
      </c>
      <c r="F352">
        <v>1.6789999999999999E-2</v>
      </c>
      <c r="G352">
        <v>10</v>
      </c>
    </row>
    <row r="353" spans="1:7" x14ac:dyDescent="0.35">
      <c r="A353" t="s">
        <v>851</v>
      </c>
      <c r="B353">
        <v>352</v>
      </c>
      <c r="C353" s="16" t="s">
        <v>500</v>
      </c>
      <c r="D353">
        <v>4.411E-3</v>
      </c>
      <c r="E353">
        <v>0.92589999999999995</v>
      </c>
      <c r="F353">
        <v>4.084E-3</v>
      </c>
      <c r="G353">
        <v>14</v>
      </c>
    </row>
    <row r="354" spans="1:7" x14ac:dyDescent="0.35">
      <c r="A354" t="s">
        <v>851</v>
      </c>
      <c r="B354">
        <v>353</v>
      </c>
      <c r="C354" s="16" t="s">
        <v>499</v>
      </c>
      <c r="D354">
        <v>1.7609999999999999E-5</v>
      </c>
      <c r="E354">
        <v>0.89800000000000002</v>
      </c>
      <c r="F354">
        <v>1.5809999999999999E-5</v>
      </c>
      <c r="G354">
        <v>14</v>
      </c>
    </row>
    <row r="355" spans="1:7" x14ac:dyDescent="0.35">
      <c r="A355" t="s">
        <v>851</v>
      </c>
      <c r="B355">
        <v>354</v>
      </c>
      <c r="C355" s="16" t="s">
        <v>498</v>
      </c>
      <c r="D355">
        <v>2.5479999999999999E-11</v>
      </c>
      <c r="E355">
        <v>0.80249999999999999</v>
      </c>
      <c r="F355">
        <v>2.0450000000000001E-11</v>
      </c>
      <c r="G355">
        <v>14</v>
      </c>
    </row>
    <row r="356" spans="1:7" x14ac:dyDescent="0.35">
      <c r="A356" t="s">
        <v>851</v>
      </c>
      <c r="B356">
        <v>355</v>
      </c>
      <c r="C356" s="16" t="s">
        <v>497</v>
      </c>
      <c r="D356">
        <v>3.6200000000000002E-4</v>
      </c>
      <c r="E356">
        <v>1.1379999999999999</v>
      </c>
      <c r="F356">
        <v>4.1189999999999998E-4</v>
      </c>
      <c r="G356">
        <v>14</v>
      </c>
    </row>
    <row r="357" spans="1:7" x14ac:dyDescent="0.35">
      <c r="A357" t="s">
        <v>851</v>
      </c>
      <c r="B357">
        <v>356</v>
      </c>
      <c r="C357" s="16" t="s">
        <v>496</v>
      </c>
      <c r="D357">
        <v>1.192E-7</v>
      </c>
      <c r="E357">
        <v>1.1950000000000001</v>
      </c>
      <c r="F357">
        <v>1.4250000000000001E-7</v>
      </c>
      <c r="G357">
        <v>14</v>
      </c>
    </row>
    <row r="358" spans="1:7" x14ac:dyDescent="0.35">
      <c r="A358" t="s">
        <v>851</v>
      </c>
      <c r="B358">
        <v>357</v>
      </c>
      <c r="C358" s="16" t="s">
        <v>495</v>
      </c>
      <c r="D358">
        <v>1.314E-5</v>
      </c>
      <c r="E358">
        <v>0.71299999999999997</v>
      </c>
      <c r="F358">
        <v>9.3710000000000006E-6</v>
      </c>
      <c r="G358">
        <v>14</v>
      </c>
    </row>
    <row r="359" spans="1:7" x14ac:dyDescent="0.35">
      <c r="A359" t="s">
        <v>851</v>
      </c>
      <c r="B359">
        <v>358</v>
      </c>
      <c r="C359" s="16" t="s">
        <v>494</v>
      </c>
      <c r="D359">
        <v>1.983E-7</v>
      </c>
      <c r="E359">
        <v>1.179</v>
      </c>
      <c r="F359">
        <v>2.339E-7</v>
      </c>
      <c r="G359">
        <v>14</v>
      </c>
    </row>
    <row r="360" spans="1:7" x14ac:dyDescent="0.35">
      <c r="A360" t="s">
        <v>851</v>
      </c>
      <c r="B360">
        <v>359</v>
      </c>
      <c r="C360" s="16" t="s">
        <v>493</v>
      </c>
      <c r="D360">
        <v>0.56910000000000005</v>
      </c>
      <c r="E360">
        <v>0.46060000000000001</v>
      </c>
      <c r="F360">
        <v>0.2621</v>
      </c>
      <c r="G360">
        <v>14</v>
      </c>
    </row>
    <row r="361" spans="1:7" x14ac:dyDescent="0.35">
      <c r="A361" t="s">
        <v>851</v>
      </c>
      <c r="B361">
        <v>360</v>
      </c>
      <c r="C361" s="16" t="s">
        <v>492</v>
      </c>
      <c r="D361">
        <v>6.8019999999999999E-10</v>
      </c>
      <c r="E361">
        <v>1.0900000000000001</v>
      </c>
      <c r="F361">
        <v>7.4149999999999997E-10</v>
      </c>
      <c r="G361">
        <v>14</v>
      </c>
    </row>
    <row r="362" spans="1:7" x14ac:dyDescent="0.35">
      <c r="A362" t="s">
        <v>851</v>
      </c>
      <c r="B362">
        <v>361</v>
      </c>
      <c r="C362" s="16" t="s">
        <v>491</v>
      </c>
      <c r="D362">
        <v>1.1900000000000001E-2</v>
      </c>
      <c r="E362">
        <v>0.51649999999999996</v>
      </c>
      <c r="F362">
        <v>6.1469999999999997E-3</v>
      </c>
      <c r="G362">
        <v>14</v>
      </c>
    </row>
    <row r="363" spans="1:7" x14ac:dyDescent="0.35">
      <c r="A363" t="s">
        <v>851</v>
      </c>
      <c r="B363">
        <v>362</v>
      </c>
      <c r="C363" s="16" t="s">
        <v>692</v>
      </c>
      <c r="D363">
        <v>2.0599999999999999E-4</v>
      </c>
      <c r="E363">
        <v>0.86519999999999997</v>
      </c>
      <c r="F363">
        <v>1.7819999999999999E-4</v>
      </c>
      <c r="G363">
        <v>14</v>
      </c>
    </row>
    <row r="364" spans="1:7" x14ac:dyDescent="0.35">
      <c r="A364" t="s">
        <v>826</v>
      </c>
      <c r="B364">
        <v>363</v>
      </c>
      <c r="C364" s="16" t="s">
        <v>542</v>
      </c>
      <c r="D364">
        <v>3.2230000000000001E-5</v>
      </c>
      <c r="E364">
        <v>1.5289999999999999</v>
      </c>
      <c r="F364">
        <v>4.9270000000000001E-5</v>
      </c>
      <c r="G364">
        <v>10</v>
      </c>
    </row>
    <row r="365" spans="1:7" x14ac:dyDescent="0.35">
      <c r="A365" t="s">
        <v>826</v>
      </c>
      <c r="B365">
        <v>364</v>
      </c>
      <c r="C365" s="16" t="s">
        <v>541</v>
      </c>
      <c r="D365">
        <v>9.8740000000000007E-5</v>
      </c>
      <c r="E365">
        <v>1.7030000000000001</v>
      </c>
      <c r="F365">
        <v>1.682E-4</v>
      </c>
      <c r="G365">
        <v>10</v>
      </c>
    </row>
    <row r="366" spans="1:7" x14ac:dyDescent="0.35">
      <c r="A366" t="s">
        <v>826</v>
      </c>
      <c r="B366">
        <v>365</v>
      </c>
      <c r="C366" s="16" t="s">
        <v>540</v>
      </c>
      <c r="D366">
        <v>3.4430000000000001E-5</v>
      </c>
      <c r="E366">
        <v>1.5129999999999999</v>
      </c>
      <c r="F366">
        <v>5.2110000000000001E-5</v>
      </c>
      <c r="G366">
        <v>10</v>
      </c>
    </row>
    <row r="367" spans="1:7" x14ac:dyDescent="0.35">
      <c r="A367" t="s">
        <v>826</v>
      </c>
      <c r="B367">
        <v>366</v>
      </c>
      <c r="C367" s="16" t="s">
        <v>539</v>
      </c>
      <c r="D367">
        <v>1.8920000000000001E-6</v>
      </c>
      <c r="E367">
        <v>1.3009999999999999</v>
      </c>
      <c r="F367">
        <v>2.4609999999999998E-6</v>
      </c>
      <c r="G367">
        <v>10</v>
      </c>
    </row>
    <row r="368" spans="1:7" x14ac:dyDescent="0.35">
      <c r="A368" t="s">
        <v>826</v>
      </c>
      <c r="B368">
        <v>367</v>
      </c>
      <c r="C368" s="16" t="s">
        <v>538</v>
      </c>
      <c r="D368">
        <v>4.5600000000000003E-4</v>
      </c>
      <c r="E368">
        <v>1.6890000000000001</v>
      </c>
      <c r="F368">
        <v>7.7039999999999997E-4</v>
      </c>
      <c r="G368">
        <v>10</v>
      </c>
    </row>
    <row r="369" spans="1:7" x14ac:dyDescent="0.35">
      <c r="A369" t="s">
        <v>826</v>
      </c>
      <c r="B369">
        <v>368</v>
      </c>
      <c r="C369" s="16" t="s">
        <v>537</v>
      </c>
      <c r="D369">
        <v>5.596E-5</v>
      </c>
      <c r="E369">
        <v>1.7789999999999999</v>
      </c>
      <c r="F369">
        <v>9.9539999999999999E-5</v>
      </c>
      <c r="G369">
        <v>10</v>
      </c>
    </row>
    <row r="370" spans="1:7" x14ac:dyDescent="0.35">
      <c r="A370" t="s">
        <v>826</v>
      </c>
      <c r="B370">
        <v>369</v>
      </c>
      <c r="C370" s="16" t="s">
        <v>536</v>
      </c>
      <c r="D370">
        <v>5.2079999999999999E-6</v>
      </c>
      <c r="E370">
        <v>1.5720000000000001</v>
      </c>
      <c r="F370">
        <v>8.1850000000000004E-6</v>
      </c>
      <c r="G370">
        <v>10</v>
      </c>
    </row>
    <row r="371" spans="1:7" x14ac:dyDescent="0.35">
      <c r="A371" t="s">
        <v>826</v>
      </c>
      <c r="B371">
        <v>370</v>
      </c>
      <c r="C371" s="16" t="s">
        <v>535</v>
      </c>
      <c r="D371">
        <v>2.8089999999999999E-3</v>
      </c>
      <c r="E371">
        <v>0.85529999999999995</v>
      </c>
      <c r="F371">
        <v>2.4020000000000001E-3</v>
      </c>
      <c r="G371">
        <v>10</v>
      </c>
    </row>
    <row r="372" spans="1:7" x14ac:dyDescent="0.35">
      <c r="A372" t="s">
        <v>826</v>
      </c>
      <c r="B372">
        <v>371</v>
      </c>
      <c r="C372" s="16" t="s">
        <v>534</v>
      </c>
      <c r="D372">
        <v>1.8920000000000001E-6</v>
      </c>
      <c r="E372">
        <v>2.5990000000000002</v>
      </c>
      <c r="F372">
        <v>4.9180000000000002E-6</v>
      </c>
      <c r="G372">
        <v>10</v>
      </c>
    </row>
    <row r="373" spans="1:7" x14ac:dyDescent="0.35">
      <c r="A373" t="s">
        <v>826</v>
      </c>
      <c r="B373">
        <v>372</v>
      </c>
      <c r="C373" s="16" t="s">
        <v>533</v>
      </c>
      <c r="D373">
        <v>5.2079999999999999E-6</v>
      </c>
      <c r="E373">
        <v>1.4950000000000001</v>
      </c>
      <c r="F373">
        <v>7.7840000000000004E-6</v>
      </c>
      <c r="G373">
        <v>10</v>
      </c>
    </row>
    <row r="374" spans="1:7" x14ac:dyDescent="0.35">
      <c r="A374" t="s">
        <v>826</v>
      </c>
      <c r="B374">
        <v>373</v>
      </c>
      <c r="C374" s="16" t="s">
        <v>532</v>
      </c>
      <c r="D374">
        <v>3.4989999999999998E-8</v>
      </c>
      <c r="E374">
        <v>2.6379999999999999</v>
      </c>
      <c r="F374">
        <v>9.2319999999999996E-8</v>
      </c>
      <c r="G374">
        <v>10</v>
      </c>
    </row>
    <row r="375" spans="1:7" x14ac:dyDescent="0.35">
      <c r="A375" t="s">
        <v>827</v>
      </c>
      <c r="B375">
        <v>374</v>
      </c>
      <c r="C375" s="16" t="s">
        <v>546</v>
      </c>
      <c r="D375">
        <v>7.8319999999999996E-5</v>
      </c>
      <c r="E375">
        <v>1.7350000000000001</v>
      </c>
      <c r="F375">
        <v>1.359E-4</v>
      </c>
      <c r="G375">
        <v>10</v>
      </c>
    </row>
    <row r="376" spans="1:7" x14ac:dyDescent="0.35">
      <c r="A376" t="s">
        <v>827</v>
      </c>
      <c r="B376">
        <v>375</v>
      </c>
      <c r="C376" s="16" t="s">
        <v>545</v>
      </c>
      <c r="D376">
        <v>3.2969999999999999E-2</v>
      </c>
      <c r="E376">
        <v>1.4470000000000001</v>
      </c>
      <c r="F376">
        <v>4.7710000000000002E-2</v>
      </c>
      <c r="G376">
        <v>10</v>
      </c>
    </row>
    <row r="377" spans="1:7" x14ac:dyDescent="0.35">
      <c r="A377" t="s">
        <v>827</v>
      </c>
      <c r="B377">
        <v>376</v>
      </c>
      <c r="C377" s="16" t="s">
        <v>544</v>
      </c>
      <c r="D377">
        <v>3.7189999999999999E-4</v>
      </c>
      <c r="E377">
        <v>1.002</v>
      </c>
      <c r="F377">
        <v>3.7270000000000001E-4</v>
      </c>
      <c r="G377">
        <v>10</v>
      </c>
    </row>
    <row r="378" spans="1:7" x14ac:dyDescent="0.35">
      <c r="A378" t="s">
        <v>827</v>
      </c>
      <c r="B378">
        <v>377</v>
      </c>
      <c r="C378" s="16" t="s">
        <v>543</v>
      </c>
      <c r="D378">
        <v>7.3410000000000002E-9</v>
      </c>
      <c r="E378">
        <v>2.1560000000000001</v>
      </c>
      <c r="F378">
        <v>1.5819999999999999E-8</v>
      </c>
      <c r="G378">
        <v>10</v>
      </c>
    </row>
    <row r="379" spans="1:7" x14ac:dyDescent="0.35">
      <c r="A379" t="s">
        <v>850</v>
      </c>
      <c r="B379">
        <v>378</v>
      </c>
      <c r="C379" s="16">
        <v>5</v>
      </c>
      <c r="D379">
        <v>0.24410000000000001</v>
      </c>
      <c r="E379">
        <v>0.1968</v>
      </c>
      <c r="F379">
        <v>4.8039999999999999E-2</v>
      </c>
      <c r="G379">
        <v>10</v>
      </c>
    </row>
    <row r="380" spans="1:7" x14ac:dyDescent="0.35">
      <c r="A380" t="s">
        <v>850</v>
      </c>
      <c r="B380">
        <v>379</v>
      </c>
      <c r="C380" s="16">
        <v>4</v>
      </c>
      <c r="D380">
        <v>8.2140000000000008E-3</v>
      </c>
      <c r="E380">
        <v>1.4079999999999999</v>
      </c>
      <c r="F380">
        <v>1.157E-2</v>
      </c>
      <c r="G380">
        <v>10</v>
      </c>
    </row>
    <row r="381" spans="1:7" x14ac:dyDescent="0.35">
      <c r="A381" t="s">
        <v>850</v>
      </c>
      <c r="B381">
        <v>380</v>
      </c>
      <c r="C381" s="16">
        <v>3</v>
      </c>
      <c r="D381">
        <v>2.7539999999999999E-2</v>
      </c>
      <c r="E381">
        <v>1.65</v>
      </c>
      <c r="F381">
        <v>4.5429999999999998E-2</v>
      </c>
      <c r="G381">
        <v>10</v>
      </c>
    </row>
    <row r="382" spans="1:7" x14ac:dyDescent="0.35">
      <c r="A382" t="s">
        <v>850</v>
      </c>
      <c r="B382">
        <v>381</v>
      </c>
      <c r="C382" s="16">
        <v>2</v>
      </c>
      <c r="D382">
        <v>9.8599999999999996E-7</v>
      </c>
      <c r="E382">
        <v>1.482</v>
      </c>
      <c r="F382">
        <v>1.4619999999999999E-6</v>
      </c>
      <c r="G382">
        <v>10</v>
      </c>
    </row>
    <row r="383" spans="1:7" x14ac:dyDescent="0.35">
      <c r="A383" t="s">
        <v>850</v>
      </c>
      <c r="B383">
        <v>382</v>
      </c>
      <c r="C383" s="16">
        <v>1</v>
      </c>
      <c r="D383">
        <v>1.579E-5</v>
      </c>
      <c r="E383">
        <v>1.911</v>
      </c>
      <c r="F383">
        <v>3.0159999999999999E-5</v>
      </c>
      <c r="G383">
        <v>10</v>
      </c>
    </row>
    <row r="384" spans="1:7" x14ac:dyDescent="0.35">
      <c r="A384" t="s">
        <v>861</v>
      </c>
      <c r="B384">
        <v>383</v>
      </c>
      <c r="C384" s="16" t="s">
        <v>550</v>
      </c>
      <c r="D384">
        <v>2.3980000000000001E-5</v>
      </c>
      <c r="E384">
        <v>1.137</v>
      </c>
      <c r="F384">
        <v>2.7270000000000001E-5</v>
      </c>
      <c r="G384">
        <v>10</v>
      </c>
    </row>
    <row r="385" spans="1:7" x14ac:dyDescent="0.35">
      <c r="A385" t="s">
        <v>861</v>
      </c>
      <c r="B385">
        <v>384</v>
      </c>
      <c r="C385" s="16" t="s">
        <v>549</v>
      </c>
      <c r="D385">
        <v>4.0940000000000001E-9</v>
      </c>
      <c r="E385">
        <v>1.984</v>
      </c>
      <c r="F385">
        <v>8.1229999999999993E-9</v>
      </c>
      <c r="G385">
        <v>10</v>
      </c>
    </row>
    <row r="386" spans="1:7" x14ac:dyDescent="0.35">
      <c r="A386" t="s">
        <v>861</v>
      </c>
      <c r="B386">
        <v>385</v>
      </c>
      <c r="C386" s="16" t="s">
        <v>548</v>
      </c>
      <c r="D386">
        <v>0.2223</v>
      </c>
      <c r="E386">
        <v>0.7258</v>
      </c>
      <c r="F386">
        <v>0.1613</v>
      </c>
      <c r="G386">
        <v>10</v>
      </c>
    </row>
    <row r="387" spans="1:7" x14ac:dyDescent="0.35">
      <c r="A387" t="s">
        <v>861</v>
      </c>
      <c r="B387">
        <v>386</v>
      </c>
      <c r="C387" s="16" t="s">
        <v>547</v>
      </c>
      <c r="D387">
        <v>0.44</v>
      </c>
      <c r="E387">
        <v>0.50690000000000002</v>
      </c>
      <c r="F387">
        <v>0.223</v>
      </c>
      <c r="G387">
        <v>10</v>
      </c>
    </row>
    <row r="388" spans="1:7" x14ac:dyDescent="0.35">
      <c r="A388" t="s">
        <v>849</v>
      </c>
      <c r="B388">
        <v>387</v>
      </c>
      <c r="C388" s="16" t="s">
        <v>689</v>
      </c>
      <c r="D388">
        <v>9.7110000000000001E-8</v>
      </c>
      <c r="E388">
        <v>0.5776</v>
      </c>
      <c r="F388">
        <v>5.6090000000000001E-8</v>
      </c>
      <c r="G388">
        <v>30</v>
      </c>
    </row>
    <row r="389" spans="1:7" x14ac:dyDescent="0.35">
      <c r="A389" t="s">
        <v>849</v>
      </c>
      <c r="B389">
        <v>388</v>
      </c>
      <c r="C389" s="16" t="s">
        <v>688</v>
      </c>
      <c r="D389">
        <v>4.0420000000000001E-8</v>
      </c>
      <c r="E389">
        <v>0.48509999999999998</v>
      </c>
      <c r="F389">
        <v>1.9610000000000002E-8</v>
      </c>
      <c r="G389">
        <v>30</v>
      </c>
    </row>
    <row r="390" spans="1:7" x14ac:dyDescent="0.35">
      <c r="A390" t="s">
        <v>849</v>
      </c>
      <c r="B390">
        <v>389</v>
      </c>
      <c r="C390" s="16" t="s">
        <v>687</v>
      </c>
      <c r="D390">
        <v>2.1900000000000002E-6</v>
      </c>
      <c r="E390">
        <v>1.1000000000000001</v>
      </c>
      <c r="F390">
        <v>2.4090000000000001E-6</v>
      </c>
      <c r="G390">
        <v>30</v>
      </c>
    </row>
    <row r="391" spans="1:7" x14ac:dyDescent="0.35">
      <c r="A391" t="s">
        <v>849</v>
      </c>
      <c r="B391">
        <v>390</v>
      </c>
      <c r="C391" s="16" t="s">
        <v>686</v>
      </c>
      <c r="D391">
        <v>6.8980000000000004E-10</v>
      </c>
      <c r="E391">
        <v>0.84989999999999999</v>
      </c>
      <c r="F391">
        <v>5.862E-10</v>
      </c>
      <c r="G391">
        <v>30</v>
      </c>
    </row>
    <row r="392" spans="1:7" x14ac:dyDescent="0.35">
      <c r="A392" t="s">
        <v>849</v>
      </c>
      <c r="B392">
        <v>391</v>
      </c>
      <c r="C392" s="16" t="s">
        <v>685</v>
      </c>
      <c r="D392">
        <v>2.2230000000000001E-4</v>
      </c>
      <c r="E392">
        <v>0.97250000000000003</v>
      </c>
      <c r="F392">
        <v>2.162E-4</v>
      </c>
      <c r="G392">
        <v>30</v>
      </c>
    </row>
    <row r="393" spans="1:7" x14ac:dyDescent="0.35">
      <c r="A393" t="s">
        <v>849</v>
      </c>
      <c r="B393">
        <v>392</v>
      </c>
      <c r="C393" s="16" t="s">
        <v>684</v>
      </c>
      <c r="D393">
        <v>4.6409999999999998E-5</v>
      </c>
      <c r="E393">
        <v>0.80310000000000004</v>
      </c>
      <c r="F393">
        <v>3.7270000000000001E-5</v>
      </c>
      <c r="G393">
        <v>30</v>
      </c>
    </row>
    <row r="394" spans="1:7" x14ac:dyDescent="0.35">
      <c r="A394" t="s">
        <v>828</v>
      </c>
      <c r="B394">
        <v>393</v>
      </c>
      <c r="C394" s="16">
        <v>10</v>
      </c>
      <c r="D394">
        <v>4.6179999999999997E-6</v>
      </c>
      <c r="E394">
        <v>1.0900000000000001</v>
      </c>
      <c r="F394">
        <v>5.0329999999999999E-6</v>
      </c>
      <c r="G394">
        <v>13</v>
      </c>
    </row>
    <row r="395" spans="1:7" x14ac:dyDescent="0.35">
      <c r="A395" t="s">
        <v>828</v>
      </c>
      <c r="B395">
        <v>394</v>
      </c>
      <c r="C395" s="16">
        <v>9</v>
      </c>
      <c r="D395">
        <v>4.5050000000000002E-11</v>
      </c>
      <c r="E395">
        <v>1.2709999999999999</v>
      </c>
      <c r="F395">
        <v>5.727E-11</v>
      </c>
      <c r="G395">
        <v>13</v>
      </c>
    </row>
    <row r="396" spans="1:7" x14ac:dyDescent="0.35">
      <c r="A396" t="s">
        <v>828</v>
      </c>
      <c r="B396">
        <v>395</v>
      </c>
      <c r="C396" s="16">
        <v>8</v>
      </c>
      <c r="D396">
        <v>2.624E-3</v>
      </c>
      <c r="E396">
        <v>0.57350000000000001</v>
      </c>
      <c r="F396">
        <v>1.505E-3</v>
      </c>
      <c r="G396">
        <v>13</v>
      </c>
    </row>
    <row r="397" spans="1:7" x14ac:dyDescent="0.35">
      <c r="A397" t="s">
        <v>828</v>
      </c>
      <c r="B397">
        <v>396</v>
      </c>
      <c r="C397" s="16">
        <v>7</v>
      </c>
      <c r="D397">
        <v>7.4400000000000004E-3</v>
      </c>
      <c r="E397">
        <v>0.73540000000000005</v>
      </c>
      <c r="F397">
        <v>5.4710000000000002E-3</v>
      </c>
      <c r="G397">
        <v>13</v>
      </c>
    </row>
    <row r="398" spans="1:7" x14ac:dyDescent="0.35">
      <c r="A398" t="s">
        <v>828</v>
      </c>
      <c r="B398">
        <v>397</v>
      </c>
      <c r="C398" s="16">
        <v>6</v>
      </c>
      <c r="D398">
        <v>7.4649999999999998E-4</v>
      </c>
      <c r="E398">
        <v>0.98250000000000004</v>
      </c>
      <c r="F398">
        <v>7.3349999999999999E-4</v>
      </c>
      <c r="G398">
        <v>13</v>
      </c>
    </row>
    <row r="399" spans="1:7" x14ac:dyDescent="0.35">
      <c r="A399" t="s">
        <v>828</v>
      </c>
      <c r="B399">
        <v>398</v>
      </c>
      <c r="C399" s="16">
        <v>5</v>
      </c>
      <c r="D399">
        <v>3.255E-7</v>
      </c>
      <c r="E399">
        <v>1.2589999999999999</v>
      </c>
      <c r="F399">
        <v>4.0989999999999998E-7</v>
      </c>
      <c r="G399">
        <v>13</v>
      </c>
    </row>
    <row r="400" spans="1:7" x14ac:dyDescent="0.35">
      <c r="A400" t="s">
        <v>828</v>
      </c>
      <c r="B400">
        <v>399</v>
      </c>
      <c r="C400" s="16">
        <v>4</v>
      </c>
      <c r="D400">
        <v>7.4649999999999998E-4</v>
      </c>
      <c r="E400">
        <v>1.129</v>
      </c>
      <c r="F400">
        <v>8.4270000000000005E-4</v>
      </c>
      <c r="G400">
        <v>13</v>
      </c>
    </row>
    <row r="401" spans="1:15" x14ac:dyDescent="0.35">
      <c r="A401" t="s">
        <v>828</v>
      </c>
      <c r="B401">
        <v>400</v>
      </c>
      <c r="C401" s="16">
        <v>3</v>
      </c>
      <c r="D401">
        <v>5.8789999999999997E-3</v>
      </c>
      <c r="E401">
        <v>1.2490000000000001</v>
      </c>
      <c r="F401">
        <v>7.345E-3</v>
      </c>
      <c r="G401">
        <v>13</v>
      </c>
    </row>
    <row r="402" spans="1:15" x14ac:dyDescent="0.35">
      <c r="A402" t="s">
        <v>828</v>
      </c>
      <c r="B402">
        <v>401</v>
      </c>
      <c r="C402" s="16">
        <v>2</v>
      </c>
      <c r="D402">
        <v>1.307E-3</v>
      </c>
      <c r="E402">
        <v>1.1579999999999999</v>
      </c>
      <c r="F402">
        <v>1.5139999999999999E-3</v>
      </c>
      <c r="G402">
        <v>13</v>
      </c>
    </row>
    <row r="403" spans="1:15" x14ac:dyDescent="0.35">
      <c r="A403" t="s">
        <v>828</v>
      </c>
      <c r="B403">
        <v>402</v>
      </c>
      <c r="C403" s="16">
        <v>1</v>
      </c>
      <c r="D403">
        <v>7.4400000000000004E-3</v>
      </c>
      <c r="E403">
        <v>0.65329999999999999</v>
      </c>
      <c r="F403">
        <v>4.8609999999999999E-3</v>
      </c>
      <c r="G403">
        <v>13</v>
      </c>
    </row>
    <row r="404" spans="1:15" x14ac:dyDescent="0.35">
      <c r="A404" t="s">
        <v>845</v>
      </c>
      <c r="B404">
        <v>403</v>
      </c>
      <c r="C404" s="16" t="s">
        <v>589</v>
      </c>
      <c r="D404">
        <v>9.5410000000000003E-18</v>
      </c>
      <c r="E404">
        <v>4.3319999999999999</v>
      </c>
      <c r="F404">
        <v>4.1329999999999998E-17</v>
      </c>
      <c r="G404">
        <v>21</v>
      </c>
    </row>
    <row r="405" spans="1:15" x14ac:dyDescent="0.35">
      <c r="A405" t="s">
        <v>845</v>
      </c>
      <c r="B405">
        <v>404</v>
      </c>
      <c r="C405" s="16" t="s">
        <v>588</v>
      </c>
      <c r="D405">
        <v>3.4150000000000001E-13</v>
      </c>
      <c r="E405">
        <v>3.4449999999999998</v>
      </c>
      <c r="F405">
        <v>1.176E-12</v>
      </c>
      <c r="G405">
        <v>21</v>
      </c>
    </row>
    <row r="406" spans="1:15" x14ac:dyDescent="0.35">
      <c r="A406" t="s">
        <v>845</v>
      </c>
      <c r="B406">
        <v>405</v>
      </c>
      <c r="C406" s="16" t="s">
        <v>587</v>
      </c>
      <c r="D406">
        <v>5.585E-11</v>
      </c>
      <c r="E406">
        <v>3.5209999999999999</v>
      </c>
      <c r="F406">
        <v>1.967E-10</v>
      </c>
      <c r="G406">
        <v>21</v>
      </c>
    </row>
    <row r="407" spans="1:15" s="65" customFormat="1" x14ac:dyDescent="0.35">
      <c r="A407" s="65" t="s">
        <v>845</v>
      </c>
      <c r="B407" s="65">
        <v>406</v>
      </c>
      <c r="C407" s="66" t="s">
        <v>581</v>
      </c>
      <c r="D407" s="65">
        <v>3.8770000000000003E-5</v>
      </c>
      <c r="E407" s="65">
        <v>1.345</v>
      </c>
      <c r="F407" s="65">
        <v>5.2160000000000002E-5</v>
      </c>
      <c r="G407" s="65">
        <v>19</v>
      </c>
      <c r="H407" s="65">
        <f t="shared" ref="H407:H451" si="0">IF(AND(G407&lt;&gt;G406,G407&lt;&gt;G408),1,"")</f>
        <v>1</v>
      </c>
      <c r="L407"/>
      <c r="M407"/>
      <c r="N407"/>
      <c r="O407"/>
    </row>
    <row r="408" spans="1:15" x14ac:dyDescent="0.35">
      <c r="A408" t="s">
        <v>845</v>
      </c>
      <c r="B408">
        <v>407</v>
      </c>
      <c r="C408" s="16" t="s">
        <v>502</v>
      </c>
      <c r="D408">
        <v>3.7480000000000002E-14</v>
      </c>
      <c r="E408">
        <v>2.7989999999999999</v>
      </c>
      <c r="F408">
        <v>1.049E-13</v>
      </c>
      <c r="G408">
        <v>21</v>
      </c>
      <c r="H408" t="str">
        <f t="shared" si="0"/>
        <v/>
      </c>
    </row>
    <row r="409" spans="1:15" x14ac:dyDescent="0.35">
      <c r="A409" t="s">
        <v>845</v>
      </c>
      <c r="B409">
        <v>408</v>
      </c>
      <c r="C409" s="16" t="s">
        <v>501</v>
      </c>
      <c r="D409">
        <v>1.5980000000000001E-13</v>
      </c>
      <c r="E409">
        <v>3.6469999999999998</v>
      </c>
      <c r="F409">
        <v>5.828E-13</v>
      </c>
      <c r="G409">
        <v>21</v>
      </c>
      <c r="H409" t="str">
        <f t="shared" si="0"/>
        <v/>
      </c>
    </row>
    <row r="410" spans="1:15" x14ac:dyDescent="0.35">
      <c r="A410" t="s">
        <v>845</v>
      </c>
      <c r="B410">
        <v>409</v>
      </c>
      <c r="C410" s="16" t="s">
        <v>500</v>
      </c>
      <c r="D410">
        <v>3.0920000000000002E-12</v>
      </c>
      <c r="E410">
        <v>0.70860000000000001</v>
      </c>
      <c r="F410">
        <v>2.1909999999999999E-12</v>
      </c>
      <c r="G410">
        <v>21</v>
      </c>
      <c r="H410" t="str">
        <f t="shared" si="0"/>
        <v/>
      </c>
    </row>
    <row r="411" spans="1:15" x14ac:dyDescent="0.35">
      <c r="A411" t="s">
        <v>845</v>
      </c>
      <c r="B411">
        <v>410</v>
      </c>
      <c r="C411" s="16" t="s">
        <v>586</v>
      </c>
      <c r="D411">
        <v>1.7890000000000001E-16</v>
      </c>
      <c r="E411">
        <v>3.7869999999999999</v>
      </c>
      <c r="F411">
        <v>6.7760000000000001E-16</v>
      </c>
      <c r="G411">
        <v>21</v>
      </c>
      <c r="H411" t="str">
        <f t="shared" si="0"/>
        <v/>
      </c>
    </row>
    <row r="412" spans="1:15" x14ac:dyDescent="0.35">
      <c r="A412" t="s">
        <v>845</v>
      </c>
      <c r="B412">
        <v>411</v>
      </c>
      <c r="C412" s="16" t="s">
        <v>580</v>
      </c>
      <c r="D412">
        <v>3.4150000000000001E-13</v>
      </c>
      <c r="E412">
        <v>2.242</v>
      </c>
      <c r="F412">
        <v>7.6539999999999995E-13</v>
      </c>
      <c r="G412">
        <v>21</v>
      </c>
      <c r="H412" t="str">
        <f t="shared" si="0"/>
        <v/>
      </c>
    </row>
    <row r="413" spans="1:15" x14ac:dyDescent="0.35">
      <c r="A413" t="s">
        <v>845</v>
      </c>
      <c r="B413">
        <v>412</v>
      </c>
      <c r="C413" s="16" t="s">
        <v>579</v>
      </c>
      <c r="D413">
        <v>2.0339999999999998E-3</v>
      </c>
      <c r="E413">
        <v>2.4860000000000002</v>
      </c>
      <c r="F413">
        <v>5.058E-3</v>
      </c>
      <c r="G413">
        <v>21</v>
      </c>
      <c r="H413" t="str">
        <f t="shared" si="0"/>
        <v/>
      </c>
    </row>
    <row r="414" spans="1:15" x14ac:dyDescent="0.35">
      <c r="A414" t="s">
        <v>845</v>
      </c>
      <c r="B414">
        <v>413</v>
      </c>
      <c r="C414" s="16" t="s">
        <v>585</v>
      </c>
      <c r="D414">
        <v>6.8830000000000003E-5</v>
      </c>
      <c r="E414">
        <v>2.012</v>
      </c>
      <c r="F414">
        <v>1.3850000000000001E-4</v>
      </c>
      <c r="G414">
        <v>21</v>
      </c>
      <c r="H414" t="str">
        <f t="shared" si="0"/>
        <v/>
      </c>
    </row>
    <row r="415" spans="1:15" x14ac:dyDescent="0.35">
      <c r="A415" t="s">
        <v>845</v>
      </c>
      <c r="B415">
        <v>414</v>
      </c>
      <c r="C415" s="16" t="s">
        <v>584</v>
      </c>
      <c r="D415">
        <v>4.9179999999999998E-9</v>
      </c>
      <c r="E415">
        <v>2.46</v>
      </c>
      <c r="F415">
        <v>1.2100000000000001E-8</v>
      </c>
      <c r="G415">
        <v>21</v>
      </c>
      <c r="H415" t="str">
        <f t="shared" si="0"/>
        <v/>
      </c>
    </row>
    <row r="416" spans="1:15" x14ac:dyDescent="0.35">
      <c r="A416" t="s">
        <v>845</v>
      </c>
      <c r="B416">
        <v>415</v>
      </c>
      <c r="C416" s="16" t="s">
        <v>518</v>
      </c>
      <c r="D416">
        <v>1.446E-9</v>
      </c>
      <c r="E416">
        <v>1.3520000000000001</v>
      </c>
      <c r="F416">
        <v>1.9540000000000001E-9</v>
      </c>
      <c r="G416">
        <v>21</v>
      </c>
      <c r="H416" t="str">
        <f t="shared" si="0"/>
        <v/>
      </c>
    </row>
    <row r="417" spans="1:15" x14ac:dyDescent="0.35">
      <c r="A417" t="s">
        <v>845</v>
      </c>
      <c r="B417">
        <v>416</v>
      </c>
      <c r="C417" s="16" t="s">
        <v>517</v>
      </c>
      <c r="D417">
        <v>8.9220000000000004E-9</v>
      </c>
      <c r="E417">
        <v>3.31</v>
      </c>
      <c r="F417">
        <v>2.953E-8</v>
      </c>
      <c r="G417">
        <v>21</v>
      </c>
      <c r="H417" t="str">
        <f t="shared" si="0"/>
        <v/>
      </c>
    </row>
    <row r="418" spans="1:15" x14ac:dyDescent="0.35">
      <c r="A418" t="s">
        <v>845</v>
      </c>
      <c r="B418">
        <v>417</v>
      </c>
      <c r="C418" s="16" t="s">
        <v>516</v>
      </c>
      <c r="D418">
        <v>6.6430000000000003E-9</v>
      </c>
      <c r="E418">
        <v>1.7430000000000001</v>
      </c>
      <c r="F418">
        <v>1.158E-8</v>
      </c>
      <c r="G418">
        <v>21</v>
      </c>
      <c r="H418" t="str">
        <f t="shared" si="0"/>
        <v/>
      </c>
    </row>
    <row r="419" spans="1:15" x14ac:dyDescent="0.35">
      <c r="A419" t="s">
        <v>845</v>
      </c>
      <c r="B419">
        <v>418</v>
      </c>
      <c r="C419" s="16" t="s">
        <v>515</v>
      </c>
      <c r="D419">
        <v>3.3610000000000001E-18</v>
      </c>
      <c r="E419">
        <v>4.1029999999999998</v>
      </c>
      <c r="F419">
        <v>1.379E-17</v>
      </c>
      <c r="G419">
        <v>21</v>
      </c>
      <c r="H419" t="str">
        <f t="shared" si="0"/>
        <v/>
      </c>
    </row>
    <row r="420" spans="1:15" x14ac:dyDescent="0.35">
      <c r="A420" t="s">
        <v>843</v>
      </c>
      <c r="B420">
        <v>419</v>
      </c>
      <c r="C420" s="16">
        <v>9</v>
      </c>
      <c r="D420">
        <v>5.3039999999999997E-2</v>
      </c>
      <c r="E420">
        <v>1.2849999999999999</v>
      </c>
      <c r="F420">
        <v>6.8129999999999996E-2</v>
      </c>
      <c r="G420">
        <v>13</v>
      </c>
      <c r="H420" t="str">
        <f t="shared" si="0"/>
        <v/>
      </c>
    </row>
    <row r="421" spans="1:15" x14ac:dyDescent="0.35">
      <c r="A421" t="s">
        <v>843</v>
      </c>
      <c r="B421">
        <v>420</v>
      </c>
      <c r="C421" s="16">
        <v>8</v>
      </c>
      <c r="D421">
        <v>1.363E-5</v>
      </c>
      <c r="E421">
        <v>1.913</v>
      </c>
      <c r="F421">
        <v>2.6069999999999999E-5</v>
      </c>
      <c r="G421">
        <v>13</v>
      </c>
      <c r="H421" t="str">
        <f t="shared" si="0"/>
        <v/>
      </c>
    </row>
    <row r="422" spans="1:15" x14ac:dyDescent="0.35">
      <c r="A422" t="s">
        <v>843</v>
      </c>
      <c r="B422">
        <v>421</v>
      </c>
      <c r="C422" s="16">
        <v>7</v>
      </c>
      <c r="D422">
        <v>1.5449999999999999E-4</v>
      </c>
      <c r="E422">
        <v>1.944</v>
      </c>
      <c r="F422">
        <v>3.0039999999999998E-4</v>
      </c>
      <c r="G422">
        <v>13</v>
      </c>
      <c r="H422" t="str">
        <f t="shared" si="0"/>
        <v/>
      </c>
    </row>
    <row r="423" spans="1:15" x14ac:dyDescent="0.35">
      <c r="A423" t="s">
        <v>843</v>
      </c>
      <c r="B423">
        <v>422</v>
      </c>
      <c r="C423" s="16">
        <v>6</v>
      </c>
      <c r="D423">
        <v>0.27660000000000001</v>
      </c>
      <c r="E423">
        <v>1.2849999999999999</v>
      </c>
      <c r="F423">
        <v>0.35539999999999999</v>
      </c>
      <c r="G423">
        <v>13</v>
      </c>
      <c r="H423" t="str">
        <f t="shared" si="0"/>
        <v/>
      </c>
    </row>
    <row r="424" spans="1:15" x14ac:dyDescent="0.35">
      <c r="A424" t="s">
        <v>843</v>
      </c>
      <c r="B424">
        <v>423</v>
      </c>
      <c r="C424" s="16">
        <v>5</v>
      </c>
      <c r="D424">
        <v>1.505E-3</v>
      </c>
      <c r="E424">
        <v>1.3009999999999999</v>
      </c>
      <c r="F424">
        <v>1.9580000000000001E-3</v>
      </c>
      <c r="G424">
        <v>13</v>
      </c>
      <c r="H424" t="str">
        <f t="shared" si="0"/>
        <v/>
      </c>
    </row>
    <row r="425" spans="1:15" x14ac:dyDescent="0.35">
      <c r="A425" t="s">
        <v>843</v>
      </c>
      <c r="B425">
        <v>424</v>
      </c>
      <c r="C425" s="16">
        <v>4</v>
      </c>
      <c r="D425">
        <v>1.0319999999999999E-5</v>
      </c>
      <c r="E425">
        <v>1.484</v>
      </c>
      <c r="F425">
        <v>1.5319999999999999E-5</v>
      </c>
      <c r="G425">
        <v>13</v>
      </c>
      <c r="H425" t="str">
        <f t="shared" si="0"/>
        <v/>
      </c>
    </row>
    <row r="426" spans="1:15" x14ac:dyDescent="0.35">
      <c r="A426" t="s">
        <v>843</v>
      </c>
      <c r="B426">
        <v>425</v>
      </c>
      <c r="C426" s="16">
        <v>3</v>
      </c>
      <c r="D426">
        <v>9.2150000000000004E-5</v>
      </c>
      <c r="E426">
        <v>1.651</v>
      </c>
      <c r="F426">
        <v>1.5220000000000001E-4</v>
      </c>
      <c r="G426">
        <v>13</v>
      </c>
      <c r="H426" t="str">
        <f t="shared" si="0"/>
        <v/>
      </c>
    </row>
    <row r="427" spans="1:15" x14ac:dyDescent="0.35">
      <c r="A427" t="s">
        <v>843</v>
      </c>
      <c r="B427">
        <v>426</v>
      </c>
      <c r="C427" s="16">
        <v>2</v>
      </c>
      <c r="D427">
        <v>1.0319999999999999E-5</v>
      </c>
      <c r="E427">
        <v>1.006</v>
      </c>
      <c r="F427">
        <v>1.0380000000000001E-5</v>
      </c>
      <c r="G427">
        <v>13</v>
      </c>
      <c r="H427" t="str">
        <f t="shared" si="0"/>
        <v/>
      </c>
    </row>
    <row r="428" spans="1:15" x14ac:dyDescent="0.35">
      <c r="A428" t="s">
        <v>843</v>
      </c>
      <c r="B428">
        <v>427</v>
      </c>
      <c r="C428" s="16">
        <v>1</v>
      </c>
      <c r="D428">
        <v>5.0389999999999998E-12</v>
      </c>
      <c r="E428">
        <v>1.9350000000000001</v>
      </c>
      <c r="F428">
        <v>9.7500000000000003E-12</v>
      </c>
      <c r="G428">
        <v>13</v>
      </c>
      <c r="H428" t="str">
        <f t="shared" si="0"/>
        <v/>
      </c>
    </row>
    <row r="429" spans="1:15" x14ac:dyDescent="0.35">
      <c r="A429" t="s">
        <v>844</v>
      </c>
      <c r="B429">
        <v>428</v>
      </c>
      <c r="C429" s="16">
        <v>8</v>
      </c>
      <c r="D429">
        <v>4.126E-8</v>
      </c>
      <c r="E429">
        <v>1.353</v>
      </c>
      <c r="F429">
        <v>5.5810000000000001E-8</v>
      </c>
      <c r="G429">
        <v>20</v>
      </c>
    </row>
    <row r="430" spans="1:15" s="65" customFormat="1" x14ac:dyDescent="0.35">
      <c r="A430" s="65" t="s">
        <v>844</v>
      </c>
      <c r="B430" s="65">
        <v>429</v>
      </c>
      <c r="C430" s="66">
        <v>7</v>
      </c>
      <c r="D430" s="65">
        <v>2.2290000000000001E-3</v>
      </c>
      <c r="E430" s="65">
        <v>1.268</v>
      </c>
      <c r="F430" s="65">
        <v>2.8249999999999998E-3</v>
      </c>
      <c r="G430" s="65">
        <v>19</v>
      </c>
      <c r="H430" s="65">
        <f t="shared" si="0"/>
        <v>1</v>
      </c>
      <c r="L430"/>
      <c r="M430"/>
      <c r="N430"/>
      <c r="O430"/>
    </row>
    <row r="431" spans="1:15" x14ac:dyDescent="0.35">
      <c r="A431" t="s">
        <v>844</v>
      </c>
      <c r="B431">
        <v>430</v>
      </c>
      <c r="C431" s="16">
        <v>6</v>
      </c>
      <c r="D431">
        <v>6.2610000000000004E-10</v>
      </c>
      <c r="E431">
        <v>1.7210000000000001</v>
      </c>
      <c r="F431">
        <v>1.078E-9</v>
      </c>
      <c r="G431">
        <v>20</v>
      </c>
      <c r="H431" t="str">
        <f t="shared" si="0"/>
        <v/>
      </c>
    </row>
    <row r="432" spans="1:15" x14ac:dyDescent="0.35">
      <c r="A432" t="s">
        <v>844</v>
      </c>
      <c r="B432">
        <v>431</v>
      </c>
      <c r="C432" s="16">
        <v>5</v>
      </c>
      <c r="D432">
        <v>2.9750000000000002E-9</v>
      </c>
      <c r="E432">
        <v>0.96730000000000005</v>
      </c>
      <c r="F432">
        <v>2.8780000000000002E-9</v>
      </c>
      <c r="G432">
        <v>20</v>
      </c>
      <c r="H432" t="str">
        <f t="shared" si="0"/>
        <v/>
      </c>
    </row>
    <row r="433" spans="1:15" x14ac:dyDescent="0.35">
      <c r="A433" t="s">
        <v>844</v>
      </c>
      <c r="B433">
        <v>432</v>
      </c>
      <c r="C433" s="16">
        <v>4</v>
      </c>
      <c r="D433">
        <v>3.807E-2</v>
      </c>
      <c r="E433">
        <v>0.92259999999999998</v>
      </c>
      <c r="F433">
        <v>3.5119999999999998E-2</v>
      </c>
      <c r="G433">
        <v>20</v>
      </c>
      <c r="H433" t="str">
        <f t="shared" si="0"/>
        <v/>
      </c>
    </row>
    <row r="434" spans="1:15" x14ac:dyDescent="0.35">
      <c r="A434" t="s">
        <v>844</v>
      </c>
      <c r="B434">
        <v>433</v>
      </c>
      <c r="C434" s="16">
        <v>3</v>
      </c>
      <c r="D434">
        <v>3.2580000000000001E-9</v>
      </c>
      <c r="E434">
        <v>1.206</v>
      </c>
      <c r="F434">
        <v>3.9309999999999998E-9</v>
      </c>
      <c r="G434">
        <v>20</v>
      </c>
      <c r="H434" t="str">
        <f t="shared" si="0"/>
        <v/>
      </c>
    </row>
    <row r="435" spans="1:15" x14ac:dyDescent="0.35">
      <c r="A435" t="s">
        <v>844</v>
      </c>
      <c r="B435">
        <v>434</v>
      </c>
      <c r="C435" s="16">
        <v>2</v>
      </c>
      <c r="D435">
        <v>1.3519999999999999E-3</v>
      </c>
      <c r="E435">
        <v>1.3859999999999999</v>
      </c>
      <c r="F435">
        <v>1.874E-3</v>
      </c>
      <c r="G435">
        <v>20</v>
      </c>
      <c r="H435" t="str">
        <f t="shared" si="0"/>
        <v/>
      </c>
    </row>
    <row r="436" spans="1:15" s="65" customFormat="1" x14ac:dyDescent="0.35">
      <c r="A436" s="65" t="s">
        <v>844</v>
      </c>
      <c r="B436" s="65">
        <v>435</v>
      </c>
      <c r="C436" s="66">
        <v>1</v>
      </c>
      <c r="D436" s="65">
        <v>5.0660000000000005E-7</v>
      </c>
      <c r="E436" s="65">
        <v>1.1639999999999999</v>
      </c>
      <c r="F436" s="65">
        <v>5.8970000000000005E-7</v>
      </c>
      <c r="G436" s="65">
        <v>15</v>
      </c>
      <c r="H436" s="65">
        <f t="shared" si="0"/>
        <v>1</v>
      </c>
      <c r="L436"/>
      <c r="M436"/>
      <c r="N436"/>
      <c r="O436"/>
    </row>
    <row r="437" spans="1:15" x14ac:dyDescent="0.35">
      <c r="A437" t="s">
        <v>856</v>
      </c>
      <c r="B437">
        <v>436</v>
      </c>
      <c r="C437" s="16" t="s">
        <v>739</v>
      </c>
      <c r="D437">
        <v>7.9929999999999997E-4</v>
      </c>
      <c r="E437">
        <v>2.6429999999999998</v>
      </c>
      <c r="F437">
        <v>2.1120000000000002E-3</v>
      </c>
      <c r="G437">
        <v>10</v>
      </c>
      <c r="H437" t="str">
        <f t="shared" si="0"/>
        <v/>
      </c>
    </row>
    <row r="438" spans="1:15" x14ac:dyDescent="0.35">
      <c r="A438" t="s">
        <v>856</v>
      </c>
      <c r="B438">
        <v>437</v>
      </c>
      <c r="C438" s="16" t="s">
        <v>738</v>
      </c>
      <c r="D438">
        <v>4.5410000000000001E-10</v>
      </c>
      <c r="E438">
        <v>2.2429999999999999</v>
      </c>
      <c r="F438">
        <v>1.018E-9</v>
      </c>
      <c r="G438">
        <v>10</v>
      </c>
      <c r="H438" t="str">
        <f t="shared" si="0"/>
        <v/>
      </c>
    </row>
    <row r="439" spans="1:15" x14ac:dyDescent="0.35">
      <c r="A439" t="s">
        <v>856</v>
      </c>
      <c r="B439">
        <v>438</v>
      </c>
      <c r="C439" s="16" t="s">
        <v>737</v>
      </c>
      <c r="D439">
        <v>4.0790000000000002E-6</v>
      </c>
      <c r="E439">
        <v>2.2559999999999998</v>
      </c>
      <c r="F439">
        <v>9.2029999999999998E-6</v>
      </c>
      <c r="G439">
        <v>10</v>
      </c>
      <c r="H439" t="str">
        <f t="shared" si="0"/>
        <v/>
      </c>
    </row>
    <row r="440" spans="1:15" x14ac:dyDescent="0.35">
      <c r="A440" t="s">
        <v>856</v>
      </c>
      <c r="B440">
        <v>439</v>
      </c>
      <c r="C440" s="16" t="s">
        <v>736</v>
      </c>
      <c r="D440">
        <v>4.489E-7</v>
      </c>
      <c r="E440">
        <v>1.357</v>
      </c>
      <c r="F440">
        <v>6.0900000000000001E-7</v>
      </c>
      <c r="G440">
        <v>10</v>
      </c>
      <c r="H440" t="str">
        <f t="shared" si="0"/>
        <v/>
      </c>
    </row>
    <row r="441" spans="1:15" x14ac:dyDescent="0.35">
      <c r="A441" t="s">
        <v>856</v>
      </c>
      <c r="B441">
        <v>440</v>
      </c>
      <c r="C441" s="16" t="s">
        <v>735</v>
      </c>
      <c r="D441">
        <v>2.3779999999999999E-6</v>
      </c>
      <c r="E441">
        <v>0.82540000000000002</v>
      </c>
      <c r="F441">
        <v>1.9630000000000001E-6</v>
      </c>
      <c r="G441">
        <v>10</v>
      </c>
      <c r="H441" t="str">
        <f t="shared" si="0"/>
        <v/>
      </c>
    </row>
    <row r="442" spans="1:15" x14ac:dyDescent="0.35">
      <c r="A442" t="s">
        <v>856</v>
      </c>
      <c r="B442">
        <v>441</v>
      </c>
      <c r="C442" s="16" t="s">
        <v>734</v>
      </c>
      <c r="D442">
        <v>1.072E-2</v>
      </c>
      <c r="E442">
        <v>0.68910000000000005</v>
      </c>
      <c r="F442">
        <v>7.3879999999999996E-3</v>
      </c>
      <c r="G442">
        <v>10</v>
      </c>
      <c r="H442" t="str">
        <f t="shared" si="0"/>
        <v/>
      </c>
    </row>
    <row r="443" spans="1:15" x14ac:dyDescent="0.35">
      <c r="A443" t="s">
        <v>856</v>
      </c>
      <c r="B443">
        <v>442</v>
      </c>
      <c r="C443" s="16" t="s">
        <v>733</v>
      </c>
      <c r="D443">
        <v>5.5290000000000002E-10</v>
      </c>
      <c r="E443">
        <v>1.5820000000000001</v>
      </c>
      <c r="F443">
        <v>8.7459999999999996E-10</v>
      </c>
      <c r="G443">
        <v>10</v>
      </c>
      <c r="H443" t="str">
        <f t="shared" si="0"/>
        <v/>
      </c>
    </row>
    <row r="444" spans="1:15" x14ac:dyDescent="0.35">
      <c r="A444" t="s">
        <v>856</v>
      </c>
      <c r="B444">
        <v>443</v>
      </c>
      <c r="C444" s="16" t="s">
        <v>732</v>
      </c>
      <c r="D444">
        <v>5.4459999999999999E-8</v>
      </c>
      <c r="E444">
        <v>2.1459999999999999</v>
      </c>
      <c r="F444">
        <v>1.1689999999999999E-7</v>
      </c>
      <c r="G444">
        <v>10</v>
      </c>
      <c r="H444" t="str">
        <f t="shared" si="0"/>
        <v/>
      </c>
    </row>
    <row r="445" spans="1:15" x14ac:dyDescent="0.35">
      <c r="A445" t="s">
        <v>856</v>
      </c>
      <c r="B445">
        <v>444</v>
      </c>
      <c r="C445" s="16" t="s">
        <v>731</v>
      </c>
      <c r="D445">
        <v>6.2870000000000001E-3</v>
      </c>
      <c r="E445">
        <v>1.796</v>
      </c>
      <c r="F445">
        <v>1.129E-2</v>
      </c>
      <c r="G445">
        <v>10</v>
      </c>
      <c r="H445" t="str">
        <f t="shared" si="0"/>
        <v/>
      </c>
    </row>
    <row r="446" spans="1:15" x14ac:dyDescent="0.35">
      <c r="A446" t="s">
        <v>829</v>
      </c>
      <c r="B446">
        <v>445</v>
      </c>
      <c r="C446" s="16" t="s">
        <v>558</v>
      </c>
      <c r="D446">
        <v>9.1430000000000004E-6</v>
      </c>
      <c r="E446">
        <v>2.3929999999999998</v>
      </c>
      <c r="F446">
        <v>2.1880000000000001E-5</v>
      </c>
      <c r="G446">
        <v>10</v>
      </c>
      <c r="H446" t="str">
        <f t="shared" si="0"/>
        <v/>
      </c>
    </row>
    <row r="447" spans="1:15" x14ac:dyDescent="0.35">
      <c r="A447" t="s">
        <v>829</v>
      </c>
      <c r="B447">
        <v>446</v>
      </c>
      <c r="C447" s="16" t="s">
        <v>557</v>
      </c>
      <c r="D447">
        <v>1.5510000000000001E-6</v>
      </c>
      <c r="E447">
        <v>2.2349999999999999</v>
      </c>
      <c r="F447">
        <v>3.467E-6</v>
      </c>
      <c r="G447">
        <v>10</v>
      </c>
      <c r="H447" t="str">
        <f t="shared" si="0"/>
        <v/>
      </c>
    </row>
    <row r="448" spans="1:15" x14ac:dyDescent="0.35">
      <c r="A448" t="s">
        <v>829</v>
      </c>
      <c r="B448">
        <v>447</v>
      </c>
      <c r="C448" s="16" t="s">
        <v>556</v>
      </c>
      <c r="D448">
        <v>3.6630000000000001E-4</v>
      </c>
      <c r="E448">
        <v>2.4649999999999999</v>
      </c>
      <c r="F448">
        <v>9.0289999999999999E-4</v>
      </c>
      <c r="G448">
        <v>10</v>
      </c>
      <c r="H448" t="str">
        <f t="shared" si="0"/>
        <v/>
      </c>
    </row>
    <row r="449" spans="1:15" x14ac:dyDescent="0.35">
      <c r="A449" t="s">
        <v>829</v>
      </c>
      <c r="B449">
        <v>448</v>
      </c>
      <c r="C449" s="16" t="s">
        <v>555</v>
      </c>
      <c r="D449">
        <v>3.2489999999999998E-2</v>
      </c>
      <c r="E449">
        <v>1.115</v>
      </c>
      <c r="F449">
        <v>3.6240000000000001E-2</v>
      </c>
      <c r="G449">
        <v>10</v>
      </c>
      <c r="H449" t="str">
        <f t="shared" si="0"/>
        <v/>
      </c>
    </row>
    <row r="450" spans="1:15" x14ac:dyDescent="0.35">
      <c r="A450" t="s">
        <v>829</v>
      </c>
      <c r="B450">
        <v>449</v>
      </c>
      <c r="C450" s="16" t="s">
        <v>554</v>
      </c>
      <c r="D450">
        <v>1.6789999999999999E-4</v>
      </c>
      <c r="E450">
        <v>2.669</v>
      </c>
      <c r="F450">
        <v>4.482E-4</v>
      </c>
      <c r="G450">
        <v>10</v>
      </c>
      <c r="H450" t="str">
        <f t="shared" si="0"/>
        <v/>
      </c>
    </row>
    <row r="451" spans="1:15" x14ac:dyDescent="0.35">
      <c r="A451" t="s">
        <v>829</v>
      </c>
      <c r="B451">
        <v>450</v>
      </c>
      <c r="C451" s="16" t="s">
        <v>553</v>
      </c>
      <c r="D451">
        <v>1.2249999999999999E-6</v>
      </c>
      <c r="E451">
        <v>3.3889999999999998</v>
      </c>
      <c r="F451">
        <v>4.1500000000000001E-6</v>
      </c>
      <c r="G451">
        <v>10</v>
      </c>
      <c r="H451" t="str">
        <f t="shared" si="0"/>
        <v/>
      </c>
    </row>
    <row r="452" spans="1:15" s="65" customFormat="1" x14ac:dyDescent="0.35">
      <c r="A452" s="65" t="s">
        <v>829</v>
      </c>
      <c r="B452" s="65">
        <v>451</v>
      </c>
      <c r="C452" s="66" t="s">
        <v>552</v>
      </c>
      <c r="D452" s="65">
        <v>2.9059999999999998E-6</v>
      </c>
      <c r="E452" s="65">
        <v>3.44</v>
      </c>
      <c r="F452" s="65">
        <v>9.9979999999999998E-6</v>
      </c>
      <c r="G452" s="65">
        <v>7</v>
      </c>
      <c r="H452" s="65">
        <f t="shared" ref="H452" si="1">IF(AND(G452&lt;&gt;G451,G452&lt;&gt;G453),1,"")</f>
        <v>1</v>
      </c>
      <c r="L452"/>
      <c r="M452"/>
      <c r="N452"/>
      <c r="O452"/>
    </row>
    <row r="453" spans="1:15" x14ac:dyDescent="0.35">
      <c r="A453" t="s">
        <v>829</v>
      </c>
      <c r="B453">
        <v>452</v>
      </c>
      <c r="C453" s="16" t="s">
        <v>551</v>
      </c>
      <c r="D453">
        <v>1.3939999999999999E-2</v>
      </c>
      <c r="E453">
        <v>1.667</v>
      </c>
      <c r="F453">
        <v>2.3230000000000001E-2</v>
      </c>
      <c r="G453">
        <v>10</v>
      </c>
    </row>
    <row r="454" spans="1:15" x14ac:dyDescent="0.35">
      <c r="A454" t="s">
        <v>830</v>
      </c>
      <c r="B454">
        <v>453</v>
      </c>
      <c r="C454" s="16">
        <v>14</v>
      </c>
      <c r="D454">
        <v>6.4859999999999996E-3</v>
      </c>
      <c r="E454">
        <v>2.3679999999999999</v>
      </c>
      <c r="F454">
        <v>1.536E-2</v>
      </c>
      <c r="G454">
        <v>15</v>
      </c>
    </row>
    <row r="455" spans="1:15" x14ac:dyDescent="0.35">
      <c r="A455" t="s">
        <v>830</v>
      </c>
      <c r="B455">
        <v>454</v>
      </c>
      <c r="C455" s="16">
        <v>13</v>
      </c>
      <c r="D455">
        <v>4.8469999999999999E-2</v>
      </c>
      <c r="E455">
        <v>1.766</v>
      </c>
      <c r="F455">
        <v>8.5620000000000002E-2</v>
      </c>
      <c r="G455">
        <v>15</v>
      </c>
    </row>
    <row r="456" spans="1:15" x14ac:dyDescent="0.35">
      <c r="A456" t="s">
        <v>830</v>
      </c>
      <c r="B456">
        <v>455</v>
      </c>
      <c r="C456" s="16">
        <v>12</v>
      </c>
      <c r="D456">
        <v>6.3499999999999999E-5</v>
      </c>
      <c r="E456">
        <v>1.7749999999999999</v>
      </c>
      <c r="F456">
        <v>1.127E-4</v>
      </c>
      <c r="G456">
        <v>15</v>
      </c>
    </row>
    <row r="457" spans="1:15" x14ac:dyDescent="0.35">
      <c r="A457" t="s">
        <v>830</v>
      </c>
      <c r="B457">
        <v>456</v>
      </c>
      <c r="C457" s="16">
        <v>11</v>
      </c>
      <c r="D457">
        <v>1.6170000000000001E-11</v>
      </c>
      <c r="E457">
        <v>2.3079999999999998</v>
      </c>
      <c r="F457">
        <v>3.732E-11</v>
      </c>
      <c r="G457">
        <v>15</v>
      </c>
      <c r="L457" s="65"/>
      <c r="M457" s="65"/>
    </row>
    <row r="458" spans="1:15" x14ac:dyDescent="0.35">
      <c r="A458" t="s">
        <v>830</v>
      </c>
      <c r="B458">
        <v>457</v>
      </c>
      <c r="C458" s="16">
        <v>10</v>
      </c>
      <c r="D458">
        <v>4.8469999999999999E-2</v>
      </c>
      <c r="E458">
        <v>1.9259999999999999</v>
      </c>
      <c r="F458">
        <v>9.3380000000000005E-2</v>
      </c>
      <c r="G458">
        <v>15</v>
      </c>
    </row>
    <row r="459" spans="1:15" x14ac:dyDescent="0.35">
      <c r="A459" t="s">
        <v>830</v>
      </c>
      <c r="B459">
        <v>458</v>
      </c>
      <c r="C459" s="16">
        <v>9</v>
      </c>
      <c r="D459">
        <v>3.9300000000000001E-4</v>
      </c>
      <c r="E459">
        <v>2.2749999999999999</v>
      </c>
      <c r="F459">
        <v>8.943E-4</v>
      </c>
      <c r="G459">
        <v>15</v>
      </c>
    </row>
    <row r="460" spans="1:15" x14ac:dyDescent="0.35">
      <c r="A460" t="s">
        <v>830</v>
      </c>
      <c r="B460">
        <v>459</v>
      </c>
      <c r="C460" s="16">
        <v>8</v>
      </c>
      <c r="D460">
        <v>2.6989999999999999E-6</v>
      </c>
      <c r="E460">
        <v>1.958</v>
      </c>
      <c r="F460">
        <v>5.2850000000000002E-6</v>
      </c>
      <c r="G460">
        <v>15</v>
      </c>
    </row>
    <row r="461" spans="1:15" x14ac:dyDescent="0.35">
      <c r="A461" t="s">
        <v>830</v>
      </c>
      <c r="B461">
        <v>460</v>
      </c>
      <c r="C461" s="16">
        <v>7</v>
      </c>
      <c r="D461">
        <v>2.2729999999999998E-3</v>
      </c>
      <c r="E461">
        <v>2.02</v>
      </c>
      <c r="F461">
        <v>4.5919999999999997E-3</v>
      </c>
      <c r="G461">
        <v>15</v>
      </c>
    </row>
    <row r="462" spans="1:15" x14ac:dyDescent="0.35">
      <c r="A462" t="s">
        <v>830</v>
      </c>
      <c r="B462">
        <v>461</v>
      </c>
      <c r="C462" s="16">
        <v>6</v>
      </c>
      <c r="D462">
        <v>0.64339999999999997</v>
      </c>
      <c r="E462">
        <v>1.31</v>
      </c>
      <c r="F462">
        <v>0.84289999999999998</v>
      </c>
      <c r="G462">
        <v>15</v>
      </c>
    </row>
    <row r="463" spans="1:15" x14ac:dyDescent="0.35">
      <c r="A463" t="s">
        <v>830</v>
      </c>
      <c r="B463">
        <v>462</v>
      </c>
      <c r="C463" s="16">
        <v>5</v>
      </c>
      <c r="D463">
        <v>5.8639999999999996E-9</v>
      </c>
      <c r="E463">
        <v>2.1960000000000002</v>
      </c>
      <c r="F463">
        <v>1.288E-8</v>
      </c>
      <c r="G463">
        <v>15</v>
      </c>
    </row>
    <row r="464" spans="1:15" x14ac:dyDescent="0.35">
      <c r="A464" t="s">
        <v>830</v>
      </c>
      <c r="B464">
        <v>463</v>
      </c>
      <c r="C464" s="16">
        <v>4</v>
      </c>
      <c r="D464">
        <v>3.9010000000000003E-2</v>
      </c>
      <c r="E464">
        <v>1.452</v>
      </c>
      <c r="F464">
        <v>5.6640000000000003E-2</v>
      </c>
      <c r="G464">
        <v>15</v>
      </c>
    </row>
    <row r="465" spans="1:7" x14ac:dyDescent="0.35">
      <c r="A465" t="s">
        <v>830</v>
      </c>
      <c r="B465">
        <v>464</v>
      </c>
      <c r="C465" s="16">
        <v>3</v>
      </c>
      <c r="D465">
        <v>1.5990000000000001E-10</v>
      </c>
      <c r="E465">
        <v>2.6419999999999999</v>
      </c>
      <c r="F465">
        <v>4.2240000000000001E-10</v>
      </c>
      <c r="G465">
        <v>15</v>
      </c>
    </row>
    <row r="466" spans="1:7" x14ac:dyDescent="0.35">
      <c r="A466" t="s">
        <v>830</v>
      </c>
      <c r="B466">
        <v>465</v>
      </c>
      <c r="C466" s="16">
        <v>2</v>
      </c>
      <c r="D466">
        <v>1.6620000000000001E-3</v>
      </c>
      <c r="E466">
        <v>2.2629999999999999</v>
      </c>
      <c r="F466">
        <v>3.761E-3</v>
      </c>
      <c r="G466">
        <v>15</v>
      </c>
    </row>
    <row r="467" spans="1:7" x14ac:dyDescent="0.35">
      <c r="A467" t="s">
        <v>830</v>
      </c>
      <c r="B467">
        <v>466</v>
      </c>
      <c r="C467" s="16">
        <v>1</v>
      </c>
      <c r="D467">
        <v>3.1139999999999997E-5</v>
      </c>
      <c r="E467">
        <v>2.2269999999999999</v>
      </c>
      <c r="F467">
        <v>6.9369999999999995E-5</v>
      </c>
      <c r="G467">
        <v>15</v>
      </c>
    </row>
    <row r="468" spans="1:7" x14ac:dyDescent="0.35">
      <c r="A468" t="s">
        <v>840</v>
      </c>
      <c r="B468">
        <v>467</v>
      </c>
      <c r="C468" s="16">
        <v>5</v>
      </c>
      <c r="D468">
        <v>2.2359999999999999E-5</v>
      </c>
      <c r="E468">
        <v>1.0429999999999999</v>
      </c>
      <c r="F468">
        <v>2.3329999999999999E-5</v>
      </c>
      <c r="G468">
        <v>10</v>
      </c>
    </row>
    <row r="469" spans="1:7" x14ac:dyDescent="0.35">
      <c r="A469" t="s">
        <v>840</v>
      </c>
      <c r="B469">
        <v>468</v>
      </c>
      <c r="C469" s="16">
        <v>4</v>
      </c>
      <c r="D469">
        <v>3.2329999999999999E-7</v>
      </c>
      <c r="E469">
        <v>1.6419999999999999</v>
      </c>
      <c r="F469">
        <v>5.3079999999999996E-7</v>
      </c>
      <c r="G469">
        <v>10</v>
      </c>
    </row>
    <row r="470" spans="1:7" x14ac:dyDescent="0.35">
      <c r="A470" t="s">
        <v>840</v>
      </c>
      <c r="B470">
        <v>469</v>
      </c>
      <c r="C470" s="16">
        <v>3</v>
      </c>
      <c r="D470">
        <v>1.991E-7</v>
      </c>
      <c r="E470">
        <v>0.42349999999999999</v>
      </c>
      <c r="F470">
        <v>8.4320000000000003E-8</v>
      </c>
      <c r="G470">
        <v>10</v>
      </c>
    </row>
    <row r="471" spans="1:7" x14ac:dyDescent="0.35">
      <c r="A471" t="s">
        <v>840</v>
      </c>
      <c r="B471">
        <v>470</v>
      </c>
      <c r="C471" s="16">
        <v>2</v>
      </c>
      <c r="D471">
        <v>1.0250000000000001E-9</v>
      </c>
      <c r="E471">
        <v>1.452</v>
      </c>
      <c r="F471">
        <v>1.488E-9</v>
      </c>
      <c r="G471">
        <v>10</v>
      </c>
    </row>
    <row r="472" spans="1:7" x14ac:dyDescent="0.35">
      <c r="A472" t="s">
        <v>840</v>
      </c>
      <c r="B472">
        <v>471</v>
      </c>
      <c r="C472" s="16">
        <v>1</v>
      </c>
      <c r="D472">
        <v>1.219E-5</v>
      </c>
      <c r="E472">
        <v>0.57240000000000002</v>
      </c>
      <c r="F472">
        <v>6.9770000000000003E-6</v>
      </c>
      <c r="G472">
        <v>10</v>
      </c>
    </row>
    <row r="473" spans="1:7" x14ac:dyDescent="0.35">
      <c r="A473" t="s">
        <v>831</v>
      </c>
      <c r="B473">
        <v>472</v>
      </c>
      <c r="C473" s="16">
        <v>14</v>
      </c>
      <c r="D473">
        <v>1.56E-9</v>
      </c>
      <c r="E473">
        <v>2.63</v>
      </c>
      <c r="F473">
        <v>4.1009999999999998E-9</v>
      </c>
      <c r="G473">
        <v>16</v>
      </c>
    </row>
    <row r="474" spans="1:7" x14ac:dyDescent="0.35">
      <c r="A474" t="s">
        <v>831</v>
      </c>
      <c r="B474">
        <v>473</v>
      </c>
      <c r="C474" s="16">
        <v>13</v>
      </c>
      <c r="D474">
        <v>6.7990000000000005E-5</v>
      </c>
      <c r="E474">
        <v>2.028</v>
      </c>
      <c r="F474">
        <v>1.3789999999999999E-4</v>
      </c>
      <c r="G474">
        <v>16</v>
      </c>
    </row>
    <row r="475" spans="1:7" x14ac:dyDescent="0.35">
      <c r="A475" t="s">
        <v>831</v>
      </c>
      <c r="B475">
        <v>474</v>
      </c>
      <c r="C475" s="16">
        <v>12</v>
      </c>
      <c r="D475">
        <v>2.8799999999999998E-12</v>
      </c>
      <c r="E475">
        <v>2.3450000000000002</v>
      </c>
      <c r="F475">
        <v>6.7550000000000002E-12</v>
      </c>
      <c r="G475">
        <v>16</v>
      </c>
    </row>
    <row r="476" spans="1:7" x14ac:dyDescent="0.35">
      <c r="A476" t="s">
        <v>831</v>
      </c>
      <c r="B476">
        <v>475</v>
      </c>
      <c r="C476" s="16">
        <v>11</v>
      </c>
      <c r="D476">
        <v>9.3640000000000005E-5</v>
      </c>
      <c r="E476">
        <v>1.377</v>
      </c>
      <c r="F476">
        <v>1.2889999999999999E-4</v>
      </c>
      <c r="G476">
        <v>16</v>
      </c>
    </row>
    <row r="477" spans="1:7" x14ac:dyDescent="0.35">
      <c r="A477" t="s">
        <v>831</v>
      </c>
      <c r="B477">
        <v>476</v>
      </c>
      <c r="C477" s="16">
        <v>10</v>
      </c>
      <c r="D477">
        <v>4.9399999999999999E-8</v>
      </c>
      <c r="E477">
        <v>2.0569999999999999</v>
      </c>
      <c r="F477">
        <v>1.016E-7</v>
      </c>
      <c r="G477">
        <v>16</v>
      </c>
    </row>
    <row r="478" spans="1:7" x14ac:dyDescent="0.35">
      <c r="A478" t="s">
        <v>831</v>
      </c>
      <c r="B478">
        <v>477</v>
      </c>
      <c r="C478" s="16">
        <v>9</v>
      </c>
      <c r="D478">
        <v>1.362E-5</v>
      </c>
      <c r="E478">
        <v>2.5459999999999998</v>
      </c>
      <c r="F478">
        <v>3.4669999999999998E-5</v>
      </c>
      <c r="G478">
        <v>16</v>
      </c>
    </row>
    <row r="479" spans="1:7" x14ac:dyDescent="0.35">
      <c r="A479" t="s">
        <v>831</v>
      </c>
      <c r="B479">
        <v>478</v>
      </c>
      <c r="C479" s="16">
        <v>8</v>
      </c>
      <c r="D479">
        <v>0.22739999999999999</v>
      </c>
      <c r="E479">
        <v>0.84219999999999995</v>
      </c>
      <c r="F479">
        <v>0.1915</v>
      </c>
      <c r="G479">
        <v>16</v>
      </c>
    </row>
    <row r="480" spans="1:7" x14ac:dyDescent="0.35">
      <c r="A480" t="s">
        <v>831</v>
      </c>
      <c r="B480">
        <v>479</v>
      </c>
      <c r="C480" s="16">
        <v>7</v>
      </c>
      <c r="D480">
        <v>7.0580000000000001E-8</v>
      </c>
      <c r="E480">
        <v>2.5830000000000002</v>
      </c>
      <c r="F480">
        <v>1.8230000000000001E-7</v>
      </c>
      <c r="G480">
        <v>16</v>
      </c>
    </row>
    <row r="481" spans="1:7" x14ac:dyDescent="0.35">
      <c r="A481" t="s">
        <v>831</v>
      </c>
      <c r="B481">
        <v>480</v>
      </c>
      <c r="C481" s="16">
        <v>6</v>
      </c>
      <c r="D481">
        <v>1.2319999999999999E-2</v>
      </c>
      <c r="E481">
        <v>1.4510000000000001</v>
      </c>
      <c r="F481">
        <v>1.788E-2</v>
      </c>
      <c r="G481">
        <v>16</v>
      </c>
    </row>
    <row r="482" spans="1:7" x14ac:dyDescent="0.35">
      <c r="A482" t="s">
        <v>831</v>
      </c>
      <c r="B482">
        <v>481</v>
      </c>
      <c r="C482" s="16">
        <v>5</v>
      </c>
      <c r="D482">
        <v>2.4070000000000002E-5</v>
      </c>
      <c r="E482">
        <v>2.25</v>
      </c>
      <c r="F482">
        <v>5.4160000000000003E-5</v>
      </c>
      <c r="G482">
        <v>16</v>
      </c>
    </row>
    <row r="483" spans="1:7" x14ac:dyDescent="0.35">
      <c r="A483" t="s">
        <v>831</v>
      </c>
      <c r="B483">
        <v>482</v>
      </c>
      <c r="C483" s="16">
        <v>4</v>
      </c>
      <c r="D483">
        <v>1.5159999999999999E-9</v>
      </c>
      <c r="E483">
        <v>1.5660000000000001</v>
      </c>
      <c r="F483">
        <v>2.3739999999999999E-9</v>
      </c>
      <c r="G483">
        <v>16</v>
      </c>
    </row>
    <row r="484" spans="1:7" x14ac:dyDescent="0.35">
      <c r="A484" t="s">
        <v>831</v>
      </c>
      <c r="B484">
        <v>483</v>
      </c>
      <c r="C484" s="16">
        <v>3</v>
      </c>
      <c r="D484">
        <v>1.6339999999999999E-7</v>
      </c>
      <c r="E484">
        <v>2.13</v>
      </c>
      <c r="F484">
        <v>3.4789999999999999E-7</v>
      </c>
      <c r="G484">
        <v>16</v>
      </c>
    </row>
    <row r="485" spans="1:7" x14ac:dyDescent="0.35">
      <c r="A485" t="s">
        <v>831</v>
      </c>
      <c r="B485">
        <v>484</v>
      </c>
      <c r="C485" s="16">
        <v>2</v>
      </c>
      <c r="D485">
        <v>7.7999999999999996E-3</v>
      </c>
      <c r="E485">
        <v>2.0139999999999998</v>
      </c>
      <c r="F485">
        <v>1.5709999999999998E-2</v>
      </c>
      <c r="G485">
        <v>16</v>
      </c>
    </row>
    <row r="486" spans="1:7" x14ac:dyDescent="0.35">
      <c r="A486" t="s">
        <v>831</v>
      </c>
      <c r="B486">
        <v>485</v>
      </c>
      <c r="C486" s="16">
        <v>1</v>
      </c>
      <c r="D486">
        <v>7.7999999999999996E-3</v>
      </c>
      <c r="E486">
        <v>1.849</v>
      </c>
      <c r="F486">
        <v>1.4420000000000001E-2</v>
      </c>
      <c r="G486">
        <v>16</v>
      </c>
    </row>
    <row r="487" spans="1:7" x14ac:dyDescent="0.35">
      <c r="A487" t="s">
        <v>848</v>
      </c>
      <c r="B487">
        <v>486</v>
      </c>
      <c r="C487" s="16" t="s">
        <v>583</v>
      </c>
      <c r="D487">
        <v>2.4989999999999999E-3</v>
      </c>
      <c r="E487">
        <v>0.9698</v>
      </c>
      <c r="F487">
        <v>2.4239999999999999E-3</v>
      </c>
      <c r="G487">
        <v>13</v>
      </c>
    </row>
    <row r="488" spans="1:7" x14ac:dyDescent="0.35">
      <c r="A488" t="s">
        <v>848</v>
      </c>
      <c r="B488">
        <v>487</v>
      </c>
      <c r="C488" s="16" t="s">
        <v>581</v>
      </c>
      <c r="D488">
        <v>9.6460000000000004E-2</v>
      </c>
      <c r="E488">
        <v>0.92879999999999996</v>
      </c>
      <c r="F488">
        <v>8.9590000000000003E-2</v>
      </c>
      <c r="G488">
        <v>13</v>
      </c>
    </row>
    <row r="489" spans="1:7" x14ac:dyDescent="0.35">
      <c r="A489" t="s">
        <v>848</v>
      </c>
      <c r="B489">
        <v>488</v>
      </c>
      <c r="C489" s="16" t="s">
        <v>502</v>
      </c>
      <c r="D489">
        <v>4.2849999999999997E-3</v>
      </c>
      <c r="E489">
        <v>1.909</v>
      </c>
      <c r="F489">
        <v>8.1790000000000005E-3</v>
      </c>
      <c r="G489">
        <v>13</v>
      </c>
    </row>
    <row r="490" spans="1:7" x14ac:dyDescent="0.35">
      <c r="A490" t="s">
        <v>848</v>
      </c>
      <c r="B490">
        <v>489</v>
      </c>
      <c r="C490" s="16" t="s">
        <v>501</v>
      </c>
      <c r="D490">
        <v>0.75460000000000005</v>
      </c>
      <c r="E490">
        <v>1.1439999999999999</v>
      </c>
      <c r="F490">
        <v>0.86319999999999997</v>
      </c>
      <c r="G490">
        <v>13</v>
      </c>
    </row>
    <row r="491" spans="1:7" x14ac:dyDescent="0.35">
      <c r="A491" t="s">
        <v>848</v>
      </c>
      <c r="B491">
        <v>490</v>
      </c>
      <c r="C491" s="16" t="s">
        <v>500</v>
      </c>
      <c r="D491">
        <v>0.68940000000000001</v>
      </c>
      <c r="E491">
        <v>0.61150000000000004</v>
      </c>
      <c r="F491">
        <v>0.42159999999999997</v>
      </c>
      <c r="G491">
        <v>13</v>
      </c>
    </row>
    <row r="492" spans="1:7" x14ac:dyDescent="0.35">
      <c r="A492" t="s">
        <v>848</v>
      </c>
      <c r="B492">
        <v>491</v>
      </c>
      <c r="C492" s="16" t="s">
        <v>586</v>
      </c>
      <c r="D492">
        <v>0.45390000000000003</v>
      </c>
      <c r="E492">
        <v>1.032</v>
      </c>
      <c r="F492">
        <v>0.46839999999999998</v>
      </c>
      <c r="G492">
        <v>13</v>
      </c>
    </row>
    <row r="493" spans="1:7" x14ac:dyDescent="0.35">
      <c r="A493" t="s">
        <v>848</v>
      </c>
      <c r="B493">
        <v>492</v>
      </c>
      <c r="C493" s="16" t="s">
        <v>580</v>
      </c>
      <c r="D493">
        <v>5.4539999999999996E-3</v>
      </c>
      <c r="E493">
        <v>1.1919999999999999</v>
      </c>
      <c r="F493">
        <v>6.502E-3</v>
      </c>
      <c r="G493">
        <v>13</v>
      </c>
    </row>
    <row r="494" spans="1:7" x14ac:dyDescent="0.35">
      <c r="A494" t="s">
        <v>848</v>
      </c>
      <c r="B494">
        <v>493</v>
      </c>
      <c r="C494" s="16" t="s">
        <v>579</v>
      </c>
      <c r="D494">
        <v>1.714E-3</v>
      </c>
      <c r="E494">
        <v>1.171</v>
      </c>
      <c r="F494">
        <v>2.0070000000000001E-3</v>
      </c>
      <c r="G494">
        <v>13</v>
      </c>
    </row>
    <row r="495" spans="1:7" x14ac:dyDescent="0.35">
      <c r="A495" t="s">
        <v>848</v>
      </c>
      <c r="B495">
        <v>494</v>
      </c>
      <c r="C495" s="16" t="s">
        <v>585</v>
      </c>
      <c r="D495">
        <v>9.2530000000000008E-3</v>
      </c>
      <c r="E495">
        <v>0.81569999999999998</v>
      </c>
      <c r="F495">
        <v>7.548E-3</v>
      </c>
      <c r="G495">
        <v>13</v>
      </c>
    </row>
    <row r="496" spans="1:7" x14ac:dyDescent="0.35">
      <c r="A496" t="s">
        <v>848</v>
      </c>
      <c r="B496">
        <v>495</v>
      </c>
      <c r="C496" s="16" t="s">
        <v>518</v>
      </c>
      <c r="D496">
        <v>9.4879999999999997E-4</v>
      </c>
      <c r="E496">
        <v>1.9390000000000001</v>
      </c>
      <c r="F496">
        <v>1.8400000000000001E-3</v>
      </c>
      <c r="G496">
        <v>13</v>
      </c>
    </row>
    <row r="497" spans="1:7" x14ac:dyDescent="0.35">
      <c r="A497" t="s">
        <v>848</v>
      </c>
      <c r="B497">
        <v>496</v>
      </c>
      <c r="C497" s="16" t="s">
        <v>516</v>
      </c>
      <c r="D497">
        <v>0.4209</v>
      </c>
      <c r="E497">
        <v>0.85440000000000005</v>
      </c>
      <c r="F497">
        <v>0.35959999999999998</v>
      </c>
      <c r="G497">
        <v>13</v>
      </c>
    </row>
    <row r="498" spans="1:7" x14ac:dyDescent="0.35">
      <c r="A498" t="s">
        <v>848</v>
      </c>
      <c r="B498">
        <v>497</v>
      </c>
      <c r="C498" s="16" t="s">
        <v>515</v>
      </c>
      <c r="D498">
        <v>0.1389</v>
      </c>
      <c r="E498">
        <v>0.94779999999999998</v>
      </c>
      <c r="F498">
        <v>0.13159999999999999</v>
      </c>
      <c r="G498">
        <v>13</v>
      </c>
    </row>
    <row r="499" spans="1:7" x14ac:dyDescent="0.35">
      <c r="A499" t="s">
        <v>847</v>
      </c>
      <c r="B499">
        <v>498</v>
      </c>
      <c r="C499" s="16" t="s">
        <v>582</v>
      </c>
      <c r="D499">
        <v>8.0420000000000003E-6</v>
      </c>
      <c r="E499">
        <v>1.3340000000000001</v>
      </c>
      <c r="F499">
        <v>1.0730000000000001E-5</v>
      </c>
      <c r="G499">
        <v>13</v>
      </c>
    </row>
    <row r="500" spans="1:7" x14ac:dyDescent="0.35">
      <c r="A500" t="s">
        <v>847</v>
      </c>
      <c r="B500">
        <v>499</v>
      </c>
      <c r="C500" s="16" t="s">
        <v>591</v>
      </c>
      <c r="D500">
        <v>1.0189999999999999E-2</v>
      </c>
      <c r="E500">
        <v>1.1160000000000001</v>
      </c>
      <c r="F500">
        <v>1.137E-2</v>
      </c>
      <c r="G500">
        <v>13</v>
      </c>
    </row>
    <row r="501" spans="1:7" x14ac:dyDescent="0.35">
      <c r="A501" t="s">
        <v>847</v>
      </c>
      <c r="B501">
        <v>500</v>
      </c>
      <c r="C501" s="16" t="s">
        <v>590</v>
      </c>
      <c r="D501">
        <v>2.7400000000000001E-9</v>
      </c>
      <c r="E501">
        <v>2.0249999999999999</v>
      </c>
      <c r="F501">
        <v>5.5500000000000001E-9</v>
      </c>
      <c r="G501">
        <v>13</v>
      </c>
    </row>
    <row r="502" spans="1:7" x14ac:dyDescent="0.35">
      <c r="A502" t="s">
        <v>847</v>
      </c>
      <c r="B502">
        <v>501</v>
      </c>
      <c r="C502" s="16" t="s">
        <v>589</v>
      </c>
      <c r="D502">
        <v>0.27660000000000001</v>
      </c>
      <c r="E502">
        <v>0.81310000000000004</v>
      </c>
      <c r="F502">
        <v>0.22489999999999999</v>
      </c>
      <c r="G502">
        <v>13</v>
      </c>
    </row>
    <row r="503" spans="1:7" x14ac:dyDescent="0.35">
      <c r="A503" t="s">
        <v>847</v>
      </c>
      <c r="B503">
        <v>502</v>
      </c>
      <c r="C503" s="16" t="s">
        <v>588</v>
      </c>
      <c r="D503">
        <v>4.4110000000000003E-2</v>
      </c>
      <c r="E503">
        <v>1.2789999999999999</v>
      </c>
      <c r="F503">
        <v>5.6399999999999999E-2</v>
      </c>
      <c r="G503">
        <v>13</v>
      </c>
    </row>
    <row r="504" spans="1:7" x14ac:dyDescent="0.35">
      <c r="A504" t="s">
        <v>847</v>
      </c>
      <c r="B504">
        <v>503</v>
      </c>
      <c r="C504" s="16" t="s">
        <v>587</v>
      </c>
      <c r="D504">
        <v>0.92810000000000004</v>
      </c>
      <c r="E504">
        <v>0.8488</v>
      </c>
      <c r="F504">
        <v>0.78769999999999996</v>
      </c>
      <c r="G504">
        <v>13</v>
      </c>
    </row>
    <row r="505" spans="1:7" x14ac:dyDescent="0.35">
      <c r="A505" t="s">
        <v>847</v>
      </c>
      <c r="B505">
        <v>504</v>
      </c>
      <c r="C505" s="16" t="s">
        <v>584</v>
      </c>
      <c r="D505">
        <v>2.147E-2</v>
      </c>
      <c r="E505">
        <v>1.47</v>
      </c>
      <c r="F505">
        <v>3.1559999999999998E-2</v>
      </c>
      <c r="G505">
        <v>13</v>
      </c>
    </row>
    <row r="506" spans="1:7" x14ac:dyDescent="0.35">
      <c r="A506" t="s">
        <v>847</v>
      </c>
      <c r="B506">
        <v>505</v>
      </c>
      <c r="C506" s="16" t="s">
        <v>517</v>
      </c>
      <c r="D506">
        <v>0.45390000000000003</v>
      </c>
      <c r="E506">
        <v>1.3440000000000001</v>
      </c>
      <c r="F506">
        <v>0.60980000000000001</v>
      </c>
      <c r="G506">
        <v>13</v>
      </c>
    </row>
    <row r="507" spans="1:7" x14ac:dyDescent="0.35">
      <c r="A507" t="s">
        <v>832</v>
      </c>
      <c r="B507">
        <v>506</v>
      </c>
      <c r="C507" s="16" t="s">
        <v>576</v>
      </c>
      <c r="D507">
        <v>6.7349999999999997E-5</v>
      </c>
      <c r="E507">
        <v>1.272</v>
      </c>
      <c r="F507">
        <v>8.5649999999999995E-5</v>
      </c>
      <c r="G507">
        <v>17</v>
      </c>
    </row>
    <row r="508" spans="1:7" x14ac:dyDescent="0.35">
      <c r="A508" t="s">
        <v>832</v>
      </c>
      <c r="B508">
        <v>507</v>
      </c>
      <c r="C508" s="16" t="s">
        <v>575</v>
      </c>
      <c r="D508">
        <v>7.7820000000000005E-8</v>
      </c>
      <c r="E508">
        <v>1.8919999999999999</v>
      </c>
      <c r="F508">
        <v>1.4719999999999999E-7</v>
      </c>
      <c r="G508">
        <v>17</v>
      </c>
    </row>
    <row r="509" spans="1:7" x14ac:dyDescent="0.35">
      <c r="A509" t="s">
        <v>832</v>
      </c>
      <c r="B509">
        <v>508</v>
      </c>
      <c r="C509" s="16" t="s">
        <v>574</v>
      </c>
      <c r="D509">
        <v>0.67149999999999999</v>
      </c>
      <c r="E509">
        <v>0.626</v>
      </c>
      <c r="F509">
        <v>0.4204</v>
      </c>
      <c r="G509">
        <v>17</v>
      </c>
    </row>
    <row r="510" spans="1:7" x14ac:dyDescent="0.35">
      <c r="A510" t="s">
        <v>832</v>
      </c>
      <c r="B510">
        <v>509</v>
      </c>
      <c r="C510" s="16" t="s">
        <v>573</v>
      </c>
      <c r="D510">
        <v>3.8969999999999999E-3</v>
      </c>
      <c r="E510">
        <v>1.2070000000000001</v>
      </c>
      <c r="F510">
        <v>4.7039999999999998E-3</v>
      </c>
      <c r="G510">
        <v>17</v>
      </c>
    </row>
    <row r="511" spans="1:7" x14ac:dyDescent="0.35">
      <c r="A511" t="s">
        <v>832</v>
      </c>
      <c r="B511">
        <v>510</v>
      </c>
      <c r="C511" s="16" t="s">
        <v>572</v>
      </c>
      <c r="D511">
        <v>0.98899999999999999</v>
      </c>
      <c r="E511">
        <v>1.256</v>
      </c>
      <c r="F511">
        <v>1.242</v>
      </c>
      <c r="G511">
        <v>17</v>
      </c>
    </row>
    <row r="512" spans="1:7" x14ac:dyDescent="0.35">
      <c r="A512" t="s">
        <v>832</v>
      </c>
      <c r="B512">
        <v>511</v>
      </c>
      <c r="C512" s="16" t="s">
        <v>571</v>
      </c>
      <c r="D512">
        <v>7.9359999999999999E-4</v>
      </c>
      <c r="E512">
        <v>1.3069999999999999</v>
      </c>
      <c r="F512">
        <v>1.0369999999999999E-3</v>
      </c>
      <c r="G512">
        <v>17</v>
      </c>
    </row>
    <row r="513" spans="1:13" x14ac:dyDescent="0.35">
      <c r="A513" t="s">
        <v>832</v>
      </c>
      <c r="B513">
        <v>512</v>
      </c>
      <c r="C513" s="16" t="s">
        <v>570</v>
      </c>
      <c r="D513">
        <v>1.023E-6</v>
      </c>
      <c r="E513">
        <v>1.1499999999999999</v>
      </c>
      <c r="F513">
        <v>1.1769999999999999E-6</v>
      </c>
      <c r="G513">
        <v>17</v>
      </c>
    </row>
    <row r="514" spans="1:13" x14ac:dyDescent="0.35">
      <c r="A514" t="s">
        <v>832</v>
      </c>
      <c r="B514">
        <v>513</v>
      </c>
      <c r="C514" s="16" t="s">
        <v>569</v>
      </c>
      <c r="D514">
        <v>3.4380000000000001E-2</v>
      </c>
      <c r="E514">
        <v>1.222</v>
      </c>
      <c r="F514">
        <v>4.2020000000000002E-2</v>
      </c>
      <c r="G514">
        <v>17</v>
      </c>
    </row>
    <row r="515" spans="1:13" x14ac:dyDescent="0.35">
      <c r="A515" t="s">
        <v>832</v>
      </c>
      <c r="B515">
        <v>514</v>
      </c>
      <c r="C515" s="16" t="s">
        <v>568</v>
      </c>
      <c r="D515">
        <v>7.1569999999999998E-7</v>
      </c>
      <c r="E515">
        <v>2.0739999999999998</v>
      </c>
      <c r="F515">
        <v>1.485E-6</v>
      </c>
      <c r="G515">
        <v>17</v>
      </c>
    </row>
    <row r="516" spans="1:13" x14ac:dyDescent="0.35">
      <c r="A516" t="s">
        <v>832</v>
      </c>
      <c r="B516">
        <v>515</v>
      </c>
      <c r="C516" s="16" t="s">
        <v>567</v>
      </c>
      <c r="D516">
        <v>1.686E-8</v>
      </c>
      <c r="E516">
        <v>1.4259999999999999</v>
      </c>
      <c r="F516">
        <v>2.4039999999999999E-8</v>
      </c>
      <c r="G516">
        <v>17</v>
      </c>
    </row>
    <row r="517" spans="1:13" x14ac:dyDescent="0.35">
      <c r="A517" t="s">
        <v>832</v>
      </c>
      <c r="B517">
        <v>516</v>
      </c>
      <c r="C517" s="16" t="s">
        <v>566</v>
      </c>
      <c r="D517">
        <v>3.4680000000000001E-7</v>
      </c>
      <c r="E517">
        <v>1.474</v>
      </c>
      <c r="F517">
        <v>5.1119999999999997E-7</v>
      </c>
      <c r="G517">
        <v>17</v>
      </c>
    </row>
    <row r="518" spans="1:13" x14ac:dyDescent="0.35">
      <c r="A518" t="s">
        <v>832</v>
      </c>
      <c r="B518">
        <v>517</v>
      </c>
      <c r="C518" s="16" t="s">
        <v>565</v>
      </c>
      <c r="D518">
        <v>4.5529999999999998E-3</v>
      </c>
      <c r="E518">
        <v>1.0580000000000001</v>
      </c>
      <c r="F518">
        <v>4.8149999999999998E-3</v>
      </c>
      <c r="G518">
        <v>17</v>
      </c>
    </row>
    <row r="519" spans="1:13" x14ac:dyDescent="0.35">
      <c r="A519" t="s">
        <v>832</v>
      </c>
      <c r="B519">
        <v>518</v>
      </c>
      <c r="C519" s="16" t="s">
        <v>564</v>
      </c>
      <c r="D519">
        <v>1.019E-12</v>
      </c>
      <c r="E519">
        <v>1.7330000000000001</v>
      </c>
      <c r="F519">
        <v>1.7659999999999999E-12</v>
      </c>
      <c r="G519">
        <v>17</v>
      </c>
    </row>
    <row r="520" spans="1:13" x14ac:dyDescent="0.35">
      <c r="A520" t="s">
        <v>832</v>
      </c>
      <c r="B520">
        <v>519</v>
      </c>
      <c r="C520" s="16" t="s">
        <v>563</v>
      </c>
      <c r="D520">
        <v>1.686E-8</v>
      </c>
      <c r="E520">
        <v>1.4690000000000001</v>
      </c>
      <c r="F520">
        <v>2.4769999999999999E-8</v>
      </c>
      <c r="G520">
        <v>17</v>
      </c>
    </row>
    <row r="521" spans="1:13" x14ac:dyDescent="0.35">
      <c r="A521" t="s">
        <v>832</v>
      </c>
      <c r="B521">
        <v>520</v>
      </c>
      <c r="C521" s="16" t="s">
        <v>562</v>
      </c>
      <c r="D521">
        <v>7.9359999999999999E-4</v>
      </c>
      <c r="E521">
        <v>1.329</v>
      </c>
      <c r="F521">
        <v>1.054E-3</v>
      </c>
      <c r="G521">
        <v>17</v>
      </c>
    </row>
    <row r="522" spans="1:13" x14ac:dyDescent="0.35">
      <c r="A522" t="s">
        <v>832</v>
      </c>
      <c r="B522">
        <v>521</v>
      </c>
      <c r="C522" s="16" t="s">
        <v>561</v>
      </c>
      <c r="D522">
        <v>9.5200000000000007E-3</v>
      </c>
      <c r="E522">
        <v>0.83819999999999995</v>
      </c>
      <c r="F522">
        <v>7.9799999999999992E-3</v>
      </c>
      <c r="G522">
        <v>17</v>
      </c>
    </row>
    <row r="523" spans="1:13" x14ac:dyDescent="0.35">
      <c r="A523" t="s">
        <v>832</v>
      </c>
      <c r="B523">
        <v>522</v>
      </c>
      <c r="C523" s="16" t="s">
        <v>560</v>
      </c>
      <c r="D523">
        <v>1.9239999999999999E-4</v>
      </c>
      <c r="E523">
        <v>1.179</v>
      </c>
      <c r="F523">
        <v>2.2680000000000001E-4</v>
      </c>
      <c r="G523">
        <v>17</v>
      </c>
    </row>
    <row r="524" spans="1:13" x14ac:dyDescent="0.35">
      <c r="A524" t="s">
        <v>832</v>
      </c>
      <c r="B524">
        <v>523</v>
      </c>
      <c r="C524" s="16" t="s">
        <v>559</v>
      </c>
      <c r="D524">
        <v>0.13900000000000001</v>
      </c>
      <c r="E524">
        <v>1.645</v>
      </c>
      <c r="F524">
        <v>0.2286</v>
      </c>
      <c r="G524">
        <v>17</v>
      </c>
    </row>
    <row r="525" spans="1:13" x14ac:dyDescent="0.35">
      <c r="A525" t="s">
        <v>833</v>
      </c>
      <c r="B525">
        <v>524</v>
      </c>
      <c r="C525" s="16" t="s">
        <v>578</v>
      </c>
      <c r="D525">
        <v>0.68769999999999998</v>
      </c>
      <c r="E525">
        <v>1.0620000000000001</v>
      </c>
      <c r="F525">
        <v>0.73040000000000005</v>
      </c>
      <c r="G525">
        <v>10</v>
      </c>
    </row>
    <row r="526" spans="1:13" x14ac:dyDescent="0.35">
      <c r="A526" t="s">
        <v>833</v>
      </c>
      <c r="B526">
        <v>525</v>
      </c>
      <c r="C526" s="16" t="s">
        <v>577</v>
      </c>
      <c r="D526">
        <v>7.7939999999999995E-2</v>
      </c>
      <c r="E526">
        <v>1.468</v>
      </c>
      <c r="F526">
        <v>0.1145</v>
      </c>
      <c r="G526">
        <v>10</v>
      </c>
    </row>
    <row r="527" spans="1:13" x14ac:dyDescent="0.35">
      <c r="A527" t="s">
        <v>833</v>
      </c>
      <c r="B527">
        <v>526</v>
      </c>
      <c r="C527" s="16" t="s">
        <v>507</v>
      </c>
      <c r="D527">
        <v>0.44</v>
      </c>
      <c r="E527">
        <v>0.89639999999999997</v>
      </c>
      <c r="F527">
        <v>0.39439999999999997</v>
      </c>
      <c r="G527">
        <v>10</v>
      </c>
      <c r="L527" s="65"/>
      <c r="M527" s="65"/>
    </row>
    <row r="528" spans="1:13" x14ac:dyDescent="0.35">
      <c r="A528" t="s">
        <v>833</v>
      </c>
      <c r="B528">
        <v>527</v>
      </c>
      <c r="C528" s="16" t="s">
        <v>506</v>
      </c>
      <c r="D528">
        <v>2.366E-2</v>
      </c>
      <c r="E528">
        <v>0.81850000000000001</v>
      </c>
      <c r="F528">
        <v>1.9369999999999998E-2</v>
      </c>
      <c r="G528">
        <v>10</v>
      </c>
    </row>
    <row r="529" spans="1:7" x14ac:dyDescent="0.35">
      <c r="A529" t="s">
        <v>833</v>
      </c>
      <c r="B529">
        <v>528</v>
      </c>
      <c r="C529" s="16" t="s">
        <v>505</v>
      </c>
      <c r="D529">
        <v>1.0529999999999999E-3</v>
      </c>
      <c r="E529">
        <v>0.99690000000000001</v>
      </c>
      <c r="F529">
        <v>1.0499999999999999E-3</v>
      </c>
      <c r="G529">
        <v>10</v>
      </c>
    </row>
    <row r="530" spans="1:7" x14ac:dyDescent="0.35">
      <c r="A530" t="s">
        <v>833</v>
      </c>
      <c r="B530">
        <v>529</v>
      </c>
      <c r="C530" s="16" t="s">
        <v>504</v>
      </c>
      <c r="D530">
        <v>0.17150000000000001</v>
      </c>
      <c r="E530">
        <v>1.0029999999999999</v>
      </c>
      <c r="F530">
        <v>0.17199999999999999</v>
      </c>
      <c r="G530">
        <v>10</v>
      </c>
    </row>
    <row r="531" spans="1:7" x14ac:dyDescent="0.35">
      <c r="A531" t="s">
        <v>833</v>
      </c>
      <c r="B531">
        <v>530</v>
      </c>
      <c r="C531" s="16" t="s">
        <v>503</v>
      </c>
      <c r="D531">
        <v>3.6990000000000002E-2</v>
      </c>
      <c r="E531">
        <v>0.92910000000000004</v>
      </c>
      <c r="F531">
        <v>3.4369999999999998E-2</v>
      </c>
      <c r="G531">
        <v>10</v>
      </c>
    </row>
    <row r="532" spans="1:7" x14ac:dyDescent="0.35">
      <c r="A532" t="s">
        <v>834</v>
      </c>
      <c r="B532">
        <v>531</v>
      </c>
      <c r="C532" s="16" t="s">
        <v>592</v>
      </c>
      <c r="D532">
        <v>0.22739999999999999</v>
      </c>
      <c r="E532">
        <v>1.95</v>
      </c>
      <c r="F532">
        <v>0.44340000000000002</v>
      </c>
      <c r="G532">
        <v>16</v>
      </c>
    </row>
    <row r="533" spans="1:7" x14ac:dyDescent="0.35">
      <c r="A533" t="s">
        <v>834</v>
      </c>
      <c r="B533">
        <v>532</v>
      </c>
      <c r="C533" s="16" t="s">
        <v>591</v>
      </c>
      <c r="D533">
        <v>5.9679999999999998E-4</v>
      </c>
      <c r="E533">
        <v>1.9419999999999999</v>
      </c>
      <c r="F533">
        <v>1.1590000000000001E-3</v>
      </c>
      <c r="G533">
        <v>16</v>
      </c>
    </row>
    <row r="534" spans="1:7" x14ac:dyDescent="0.35">
      <c r="A534" t="s">
        <v>834</v>
      </c>
      <c r="B534">
        <v>533</v>
      </c>
      <c r="C534" s="16" t="s">
        <v>590</v>
      </c>
      <c r="D534">
        <v>5.9679999999999998E-4</v>
      </c>
      <c r="E534">
        <v>2.512</v>
      </c>
      <c r="F534">
        <v>1.4989999999999999E-3</v>
      </c>
      <c r="G534">
        <v>16</v>
      </c>
    </row>
    <row r="535" spans="1:7" x14ac:dyDescent="0.35">
      <c r="A535" t="s">
        <v>834</v>
      </c>
      <c r="B535">
        <v>534</v>
      </c>
      <c r="C535" s="16" t="s">
        <v>589</v>
      </c>
      <c r="D535">
        <v>0.41099999999999998</v>
      </c>
      <c r="E535">
        <v>1.4550000000000001</v>
      </c>
      <c r="F535">
        <v>0.5978</v>
      </c>
      <c r="G535">
        <v>16</v>
      </c>
    </row>
    <row r="536" spans="1:7" x14ac:dyDescent="0.35">
      <c r="A536" t="s">
        <v>834</v>
      </c>
      <c r="B536">
        <v>535</v>
      </c>
      <c r="C536" s="16" t="s">
        <v>588</v>
      </c>
      <c r="D536">
        <v>1.366E-8</v>
      </c>
      <c r="E536">
        <v>3.0169999999999999</v>
      </c>
      <c r="F536">
        <v>4.1210000000000003E-8</v>
      </c>
      <c r="G536">
        <v>16</v>
      </c>
    </row>
    <row r="537" spans="1:7" x14ac:dyDescent="0.35">
      <c r="A537" t="s">
        <v>834</v>
      </c>
      <c r="B537">
        <v>536</v>
      </c>
      <c r="C537" s="16" t="s">
        <v>587</v>
      </c>
      <c r="D537">
        <v>5.3029999999999999E-5</v>
      </c>
      <c r="E537">
        <v>3.0680000000000001</v>
      </c>
      <c r="F537">
        <v>1.627E-4</v>
      </c>
      <c r="G537">
        <v>16</v>
      </c>
    </row>
    <row r="538" spans="1:7" x14ac:dyDescent="0.35">
      <c r="A538" t="s">
        <v>834</v>
      </c>
      <c r="B538">
        <v>537</v>
      </c>
      <c r="C538" s="16" t="s">
        <v>502</v>
      </c>
      <c r="D538">
        <v>6.0600000000000003E-5</v>
      </c>
      <c r="E538">
        <v>2.9529999999999998</v>
      </c>
      <c r="F538">
        <v>1.7890000000000001E-4</v>
      </c>
      <c r="G538">
        <v>16</v>
      </c>
    </row>
    <row r="539" spans="1:7" x14ac:dyDescent="0.35">
      <c r="A539" t="s">
        <v>834</v>
      </c>
      <c r="B539">
        <v>538</v>
      </c>
      <c r="C539" s="16" t="s">
        <v>501</v>
      </c>
      <c r="D539">
        <v>3.5710000000000001E-4</v>
      </c>
      <c r="E539">
        <v>1.7869999999999999</v>
      </c>
      <c r="F539">
        <v>6.3820000000000001E-4</v>
      </c>
      <c r="G539">
        <v>16</v>
      </c>
    </row>
    <row r="540" spans="1:7" x14ac:dyDescent="0.35">
      <c r="A540" t="s">
        <v>834</v>
      </c>
      <c r="B540">
        <v>539</v>
      </c>
      <c r="C540" s="16" t="s">
        <v>500</v>
      </c>
      <c r="D540">
        <v>2.8930000000000001E-6</v>
      </c>
      <c r="E540">
        <v>2.2690000000000001</v>
      </c>
      <c r="F540">
        <v>6.5640000000000002E-6</v>
      </c>
      <c r="G540">
        <v>16</v>
      </c>
    </row>
    <row r="541" spans="1:7" x14ac:dyDescent="0.35">
      <c r="A541" t="s">
        <v>834</v>
      </c>
      <c r="B541">
        <v>540</v>
      </c>
      <c r="C541" s="16" t="s">
        <v>586</v>
      </c>
      <c r="D541">
        <v>5.2719999999999997E-6</v>
      </c>
      <c r="E541">
        <v>2.8530000000000002</v>
      </c>
      <c r="F541">
        <v>1.504E-5</v>
      </c>
      <c r="G541">
        <v>16</v>
      </c>
    </row>
    <row r="542" spans="1:7" x14ac:dyDescent="0.35">
      <c r="A542" t="s">
        <v>834</v>
      </c>
      <c r="B542">
        <v>541</v>
      </c>
      <c r="C542" s="16" t="s">
        <v>585</v>
      </c>
      <c r="D542">
        <v>7.5829999999999995E-4</v>
      </c>
      <c r="E542">
        <v>1.665</v>
      </c>
      <c r="F542">
        <v>1.263E-3</v>
      </c>
      <c r="G542">
        <v>16</v>
      </c>
    </row>
    <row r="543" spans="1:7" x14ac:dyDescent="0.35">
      <c r="A543" t="s">
        <v>834</v>
      </c>
      <c r="B543">
        <v>542</v>
      </c>
      <c r="C543" s="16" t="s">
        <v>584</v>
      </c>
      <c r="D543">
        <v>2.1799999999999999E-6</v>
      </c>
      <c r="E543">
        <v>2.6110000000000002</v>
      </c>
      <c r="F543">
        <v>5.6899999999999997E-6</v>
      </c>
      <c r="G543">
        <v>16</v>
      </c>
    </row>
    <row r="544" spans="1:7" x14ac:dyDescent="0.35">
      <c r="A544" t="s">
        <v>834</v>
      </c>
      <c r="B544">
        <v>543</v>
      </c>
      <c r="C544" s="16" t="s">
        <v>518</v>
      </c>
      <c r="D544">
        <v>4.418E-12</v>
      </c>
      <c r="E544">
        <v>2.722</v>
      </c>
      <c r="F544">
        <v>1.2029999999999999E-11</v>
      </c>
      <c r="G544">
        <v>16</v>
      </c>
    </row>
    <row r="545" spans="1:7" x14ac:dyDescent="0.35">
      <c r="A545" t="s">
        <v>834</v>
      </c>
      <c r="B545">
        <v>544</v>
      </c>
      <c r="C545" s="16" t="s">
        <v>517</v>
      </c>
      <c r="D545">
        <v>5.9690000000000003E-3</v>
      </c>
      <c r="E545">
        <v>2.1309999999999998</v>
      </c>
      <c r="F545">
        <v>1.272E-2</v>
      </c>
      <c r="G545">
        <v>16</v>
      </c>
    </row>
    <row r="546" spans="1:7" x14ac:dyDescent="0.35">
      <c r="A546" t="s">
        <v>834</v>
      </c>
      <c r="B546">
        <v>545</v>
      </c>
      <c r="C546" s="16" t="s">
        <v>515</v>
      </c>
      <c r="D546">
        <v>5.2719999999999997E-6</v>
      </c>
      <c r="E546">
        <v>2.919</v>
      </c>
      <c r="F546">
        <v>1.539E-5</v>
      </c>
      <c r="G546">
        <v>16</v>
      </c>
    </row>
    <row r="547" spans="1:7" x14ac:dyDescent="0.35">
      <c r="A547" t="s">
        <v>834</v>
      </c>
      <c r="B547">
        <v>546</v>
      </c>
      <c r="C547" s="16" t="s">
        <v>583</v>
      </c>
      <c r="D547">
        <v>1.6339999999999999E-7</v>
      </c>
      <c r="E547">
        <v>2.5059999999999998</v>
      </c>
      <c r="F547">
        <v>4.094E-7</v>
      </c>
      <c r="G547">
        <v>16</v>
      </c>
    </row>
    <row r="548" spans="1:7" x14ac:dyDescent="0.35">
      <c r="A548" t="s">
        <v>834</v>
      </c>
      <c r="B548">
        <v>547</v>
      </c>
      <c r="C548" s="16" t="s">
        <v>582</v>
      </c>
      <c r="D548">
        <v>3.4350000000000003E-7</v>
      </c>
      <c r="E548">
        <v>2.8170000000000002</v>
      </c>
      <c r="F548">
        <v>9.6750000000000005E-7</v>
      </c>
      <c r="G548">
        <v>16</v>
      </c>
    </row>
    <row r="549" spans="1:7" x14ac:dyDescent="0.35">
      <c r="A549" t="s">
        <v>834</v>
      </c>
      <c r="B549">
        <v>548</v>
      </c>
      <c r="C549" s="16" t="s">
        <v>581</v>
      </c>
      <c r="D549">
        <v>9.6560000000000004E-6</v>
      </c>
      <c r="E549">
        <v>2.8879999999999999</v>
      </c>
      <c r="F549">
        <v>2.7889999999999999E-5</v>
      </c>
      <c r="G549">
        <v>16</v>
      </c>
    </row>
    <row r="550" spans="1:7" x14ac:dyDescent="0.35">
      <c r="A550" t="s">
        <v>834</v>
      </c>
      <c r="B550">
        <v>549</v>
      </c>
      <c r="C550" s="16" t="s">
        <v>580</v>
      </c>
      <c r="D550">
        <v>6.7990000000000005E-5</v>
      </c>
      <c r="E550">
        <v>1.996</v>
      </c>
      <c r="F550">
        <v>1.3569999999999999E-4</v>
      </c>
      <c r="G550">
        <v>16</v>
      </c>
    </row>
    <row r="551" spans="1:7" x14ac:dyDescent="0.35">
      <c r="A551" t="s">
        <v>834</v>
      </c>
      <c r="B551">
        <v>550</v>
      </c>
      <c r="C551" s="16" t="s">
        <v>579</v>
      </c>
      <c r="D551">
        <v>5.3029999999999999E-5</v>
      </c>
      <c r="E551">
        <v>2.4260000000000002</v>
      </c>
      <c r="F551">
        <v>1.2870000000000001E-4</v>
      </c>
      <c r="G551">
        <v>16</v>
      </c>
    </row>
    <row r="552" spans="1:7" x14ac:dyDescent="0.35">
      <c r="A552" t="s">
        <v>834</v>
      </c>
      <c r="B552">
        <v>551</v>
      </c>
      <c r="C552" s="16" t="s">
        <v>516</v>
      </c>
      <c r="D552">
        <v>5.9679999999999998E-4</v>
      </c>
      <c r="E552">
        <v>2.5510000000000002</v>
      </c>
      <c r="F552">
        <v>1.5219999999999999E-3</v>
      </c>
      <c r="G552">
        <v>16</v>
      </c>
    </row>
    <row r="553" spans="1:7" x14ac:dyDescent="0.35">
      <c r="A553" t="s">
        <v>839</v>
      </c>
      <c r="B553">
        <v>552</v>
      </c>
      <c r="C553" s="16">
        <v>6</v>
      </c>
      <c r="D553">
        <v>1.9560000000000001E-8</v>
      </c>
      <c r="E553">
        <v>0.78680000000000005</v>
      </c>
      <c r="F553">
        <v>1.5390000000000001E-8</v>
      </c>
      <c r="G553">
        <v>10</v>
      </c>
    </row>
    <row r="554" spans="1:7" x14ac:dyDescent="0.35">
      <c r="A554" t="s">
        <v>839</v>
      </c>
      <c r="B554">
        <v>553</v>
      </c>
      <c r="C554" s="16">
        <v>5</v>
      </c>
      <c r="D554">
        <v>2.6129999999999999E-3</v>
      </c>
      <c r="E554">
        <v>1.99</v>
      </c>
      <c r="F554">
        <v>5.1989999999999996E-3</v>
      </c>
      <c r="G554">
        <v>10</v>
      </c>
    </row>
    <row r="555" spans="1:7" x14ac:dyDescent="0.35">
      <c r="A555" t="s">
        <v>839</v>
      </c>
      <c r="B555">
        <v>554</v>
      </c>
      <c r="C555" s="16">
        <v>4</v>
      </c>
      <c r="D555">
        <v>0.1847</v>
      </c>
      <c r="E555">
        <v>0.39319999999999999</v>
      </c>
      <c r="F555">
        <v>7.2650000000000006E-2</v>
      </c>
      <c r="G555">
        <v>10</v>
      </c>
    </row>
    <row r="556" spans="1:7" x14ac:dyDescent="0.35">
      <c r="A556" t="s">
        <v>839</v>
      </c>
      <c r="B556">
        <v>555</v>
      </c>
      <c r="C556" s="16">
        <v>3</v>
      </c>
      <c r="D556">
        <v>0.18099999999999999</v>
      </c>
      <c r="E556">
        <v>1.1299999999999999</v>
      </c>
      <c r="F556">
        <v>0.2046</v>
      </c>
      <c r="G556">
        <v>10</v>
      </c>
    </row>
    <row r="557" spans="1:7" x14ac:dyDescent="0.35">
      <c r="A557" t="s">
        <v>839</v>
      </c>
      <c r="B557">
        <v>556</v>
      </c>
      <c r="C557" s="16">
        <v>2</v>
      </c>
      <c r="D557">
        <v>1.5509999999999999E-2</v>
      </c>
      <c r="E557">
        <v>1.8280000000000001</v>
      </c>
      <c r="F557">
        <v>2.8340000000000001E-2</v>
      </c>
      <c r="G557">
        <v>10</v>
      </c>
    </row>
    <row r="558" spans="1:7" x14ac:dyDescent="0.35">
      <c r="A558" t="s">
        <v>839</v>
      </c>
      <c r="B558">
        <v>557</v>
      </c>
      <c r="C558" s="16">
        <v>1</v>
      </c>
      <c r="D558">
        <v>1.549E-3</v>
      </c>
      <c r="E558">
        <v>0.47320000000000001</v>
      </c>
      <c r="F558">
        <v>7.3309999999999998E-4</v>
      </c>
      <c r="G558">
        <v>10</v>
      </c>
    </row>
    <row r="559" spans="1:7" x14ac:dyDescent="0.35">
      <c r="A559" t="s">
        <v>875</v>
      </c>
      <c r="B559">
        <v>558</v>
      </c>
      <c r="C559" s="16" t="s">
        <v>595</v>
      </c>
      <c r="D559">
        <v>1.1000000000000001E-3</v>
      </c>
      <c r="E559">
        <v>0.46110000000000001</v>
      </c>
      <c r="F559">
        <v>5.0719999999999997E-4</v>
      </c>
      <c r="G559">
        <v>11</v>
      </c>
    </row>
    <row r="560" spans="1:7" x14ac:dyDescent="0.35">
      <c r="A560" t="s">
        <v>875</v>
      </c>
      <c r="B560">
        <v>559</v>
      </c>
      <c r="C560" s="16" t="s">
        <v>594</v>
      </c>
      <c r="D560">
        <v>0.70620000000000005</v>
      </c>
      <c r="E560">
        <v>1.988</v>
      </c>
      <c r="F560">
        <v>1.4039999999999999</v>
      </c>
      <c r="G560">
        <v>11</v>
      </c>
    </row>
    <row r="561" spans="1:13" x14ac:dyDescent="0.35">
      <c r="A561" t="s">
        <v>875</v>
      </c>
      <c r="B561">
        <v>560</v>
      </c>
      <c r="C561" s="16" t="s">
        <v>593</v>
      </c>
      <c r="D561">
        <v>7.9849999999999995E-4</v>
      </c>
      <c r="E561">
        <v>2.3980000000000001</v>
      </c>
      <c r="F561">
        <v>1.915E-3</v>
      </c>
      <c r="G561">
        <v>11</v>
      </c>
    </row>
    <row r="562" spans="1:13" x14ac:dyDescent="0.35">
      <c r="A562" t="s">
        <v>875</v>
      </c>
      <c r="B562">
        <v>561</v>
      </c>
      <c r="C562" s="16" t="s">
        <v>578</v>
      </c>
      <c r="D562">
        <v>2.7889999999999999E-5</v>
      </c>
      <c r="E562">
        <v>2.7360000000000002</v>
      </c>
      <c r="F562">
        <v>7.6310000000000006E-5</v>
      </c>
      <c r="G562">
        <v>11</v>
      </c>
    </row>
    <row r="563" spans="1:13" x14ac:dyDescent="0.35">
      <c r="A563" t="s">
        <v>875</v>
      </c>
      <c r="B563">
        <v>562</v>
      </c>
      <c r="C563" s="16" t="s">
        <v>507</v>
      </c>
      <c r="D563">
        <v>3.2110000000000002E-14</v>
      </c>
      <c r="E563">
        <v>3.45</v>
      </c>
      <c r="F563">
        <v>1.108E-13</v>
      </c>
      <c r="G563">
        <v>11</v>
      </c>
    </row>
    <row r="564" spans="1:13" x14ac:dyDescent="0.35">
      <c r="A564" t="s">
        <v>875</v>
      </c>
      <c r="B564">
        <v>563</v>
      </c>
      <c r="C564" s="16" t="s">
        <v>506</v>
      </c>
      <c r="D564">
        <v>7.9849999999999995E-4</v>
      </c>
      <c r="E564">
        <v>0.57369999999999999</v>
      </c>
      <c r="F564">
        <v>4.5810000000000002E-4</v>
      </c>
      <c r="G564">
        <v>11</v>
      </c>
    </row>
    <row r="565" spans="1:13" x14ac:dyDescent="0.35">
      <c r="A565" t="s">
        <v>875</v>
      </c>
      <c r="B565">
        <v>564</v>
      </c>
      <c r="C565" s="16" t="s">
        <v>577</v>
      </c>
      <c r="D565">
        <v>2.4959999999999999E-6</v>
      </c>
      <c r="E565">
        <v>2.1819999999999999</v>
      </c>
      <c r="F565">
        <v>5.4450000000000004E-6</v>
      </c>
      <c r="G565">
        <v>11</v>
      </c>
      <c r="L565" s="65"/>
      <c r="M565" s="65"/>
    </row>
    <row r="566" spans="1:13" x14ac:dyDescent="0.35">
      <c r="A566" t="s">
        <v>875</v>
      </c>
      <c r="B566">
        <v>565</v>
      </c>
      <c r="C566" s="16" t="s">
        <v>504</v>
      </c>
      <c r="D566">
        <v>7.5430000000000005E-12</v>
      </c>
      <c r="E566">
        <v>3.8050000000000002</v>
      </c>
      <c r="F566">
        <v>2.8699999999999998E-11</v>
      </c>
      <c r="G566">
        <v>11</v>
      </c>
    </row>
    <row r="567" spans="1:13" x14ac:dyDescent="0.35">
      <c r="A567" t="s">
        <v>875</v>
      </c>
      <c r="B567">
        <v>566</v>
      </c>
      <c r="C567" s="16" t="s">
        <v>503</v>
      </c>
      <c r="D567">
        <v>0.49199999999999999</v>
      </c>
      <c r="E567">
        <v>1.581</v>
      </c>
      <c r="F567">
        <v>0.77769999999999995</v>
      </c>
      <c r="G567">
        <v>11</v>
      </c>
    </row>
    <row r="568" spans="1:13" x14ac:dyDescent="0.35">
      <c r="A568" t="s">
        <v>838</v>
      </c>
      <c r="B568">
        <v>567</v>
      </c>
      <c r="C568" s="16" t="s">
        <v>634</v>
      </c>
      <c r="D568">
        <v>2.85E-10</v>
      </c>
      <c r="E568">
        <v>2.5099999999999998</v>
      </c>
      <c r="F568">
        <v>7.1559999999999999E-10</v>
      </c>
      <c r="G568">
        <v>18</v>
      </c>
    </row>
    <row r="569" spans="1:13" x14ac:dyDescent="0.35">
      <c r="A569" t="s">
        <v>838</v>
      </c>
      <c r="B569">
        <v>568</v>
      </c>
      <c r="C569" s="16" t="s">
        <v>633</v>
      </c>
      <c r="D569">
        <v>2.2430000000000002E-3</v>
      </c>
      <c r="E569">
        <v>1.762</v>
      </c>
      <c r="F569">
        <v>3.954E-3</v>
      </c>
      <c r="G569">
        <v>18</v>
      </c>
    </row>
    <row r="570" spans="1:13" x14ac:dyDescent="0.35">
      <c r="A570" t="s">
        <v>838</v>
      </c>
      <c r="B570">
        <v>569</v>
      </c>
      <c r="C570" s="16" t="s">
        <v>632</v>
      </c>
      <c r="D570">
        <v>1.8779999999999999E-9</v>
      </c>
      <c r="E570">
        <v>2.4990000000000001</v>
      </c>
      <c r="F570">
        <v>4.6939999999999997E-9</v>
      </c>
      <c r="G570">
        <v>18</v>
      </c>
    </row>
    <row r="571" spans="1:13" x14ac:dyDescent="0.35">
      <c r="A571" t="s">
        <v>838</v>
      </c>
      <c r="B571">
        <v>570</v>
      </c>
      <c r="C571" s="16" t="s">
        <v>631</v>
      </c>
      <c r="D571">
        <v>3.1590000000000001E-5</v>
      </c>
      <c r="E571">
        <v>2.0790000000000002</v>
      </c>
      <c r="F571">
        <v>6.5679999999999995E-5</v>
      </c>
      <c r="G571">
        <v>18</v>
      </c>
    </row>
    <row r="572" spans="1:13" x14ac:dyDescent="0.35">
      <c r="A572" t="s">
        <v>838</v>
      </c>
      <c r="B572">
        <v>571</v>
      </c>
      <c r="C572" s="16" t="s">
        <v>630</v>
      </c>
      <c r="D572">
        <v>1.2569999999999999E-8</v>
      </c>
      <c r="E572">
        <v>2.4660000000000002</v>
      </c>
      <c r="F572">
        <v>3.1E-8</v>
      </c>
      <c r="G572">
        <v>18</v>
      </c>
    </row>
    <row r="573" spans="1:13" x14ac:dyDescent="0.35">
      <c r="A573" t="s">
        <v>838</v>
      </c>
      <c r="B573">
        <v>572</v>
      </c>
      <c r="C573" s="16" t="s">
        <v>629</v>
      </c>
      <c r="D573">
        <v>1.462E-7</v>
      </c>
      <c r="E573">
        <v>2.6539999999999999</v>
      </c>
      <c r="F573">
        <v>3.8809999999999999E-7</v>
      </c>
      <c r="G573">
        <v>18</v>
      </c>
    </row>
    <row r="574" spans="1:13" x14ac:dyDescent="0.35">
      <c r="A574" t="s">
        <v>838</v>
      </c>
      <c r="B574">
        <v>573</v>
      </c>
      <c r="C574" s="16" t="s">
        <v>628</v>
      </c>
      <c r="D574">
        <v>1.9760000000000001E-4</v>
      </c>
      <c r="E574">
        <v>2.2130000000000001</v>
      </c>
      <c r="F574">
        <v>4.372E-4</v>
      </c>
      <c r="G574">
        <v>18</v>
      </c>
    </row>
    <row r="575" spans="1:13" x14ac:dyDescent="0.35">
      <c r="A575" t="s">
        <v>838</v>
      </c>
      <c r="B575">
        <v>574</v>
      </c>
      <c r="C575" s="16" t="s">
        <v>627</v>
      </c>
      <c r="D575">
        <v>4.9339999999999997E-8</v>
      </c>
      <c r="E575">
        <v>2.65</v>
      </c>
      <c r="F575">
        <v>1.307E-7</v>
      </c>
      <c r="G575">
        <v>18</v>
      </c>
    </row>
    <row r="576" spans="1:13" x14ac:dyDescent="0.35">
      <c r="A576" t="s">
        <v>838</v>
      </c>
      <c r="B576">
        <v>575</v>
      </c>
      <c r="C576" s="16" t="s">
        <v>626</v>
      </c>
      <c r="D576">
        <v>3.3149999999999999E-5</v>
      </c>
      <c r="E576">
        <v>1.948</v>
      </c>
      <c r="F576">
        <v>6.4579999999999995E-5</v>
      </c>
      <c r="G576">
        <v>18</v>
      </c>
    </row>
    <row r="577" spans="1:7" x14ac:dyDescent="0.35">
      <c r="A577" t="s">
        <v>838</v>
      </c>
      <c r="B577">
        <v>576</v>
      </c>
      <c r="C577" s="16" t="s">
        <v>625</v>
      </c>
      <c r="D577">
        <v>2.1880000000000001E-6</v>
      </c>
      <c r="E577">
        <v>2.1539999999999999</v>
      </c>
      <c r="F577">
        <v>4.7119999999999999E-6</v>
      </c>
      <c r="G577">
        <v>18</v>
      </c>
    </row>
    <row r="578" spans="1:7" x14ac:dyDescent="0.35">
      <c r="A578" t="s">
        <v>838</v>
      </c>
      <c r="B578">
        <v>577</v>
      </c>
      <c r="C578" s="16" t="s">
        <v>624</v>
      </c>
      <c r="D578">
        <v>3.1259999999999998E-6</v>
      </c>
      <c r="E578">
        <v>1.885</v>
      </c>
      <c r="F578">
        <v>5.8919999999999997E-6</v>
      </c>
      <c r="G578">
        <v>18</v>
      </c>
    </row>
    <row r="579" spans="1:7" x14ac:dyDescent="0.35">
      <c r="A579" t="s">
        <v>838</v>
      </c>
      <c r="B579">
        <v>578</v>
      </c>
      <c r="C579" s="16" t="s">
        <v>623</v>
      </c>
      <c r="D579">
        <v>4.9309999999999999E-6</v>
      </c>
      <c r="E579">
        <v>2.161</v>
      </c>
      <c r="F579">
        <v>1.066E-5</v>
      </c>
      <c r="G579">
        <v>18</v>
      </c>
    </row>
    <row r="580" spans="1:7" x14ac:dyDescent="0.35">
      <c r="A580" t="s">
        <v>838</v>
      </c>
      <c r="B580">
        <v>579</v>
      </c>
      <c r="C580" s="16" t="s">
        <v>622</v>
      </c>
      <c r="D580">
        <v>1.2119999999999999E-5</v>
      </c>
      <c r="E580">
        <v>2.2519999999999998</v>
      </c>
      <c r="F580">
        <v>2.73E-5</v>
      </c>
      <c r="G580">
        <v>18</v>
      </c>
    </row>
    <row r="581" spans="1:7" x14ac:dyDescent="0.35">
      <c r="A581" t="s">
        <v>838</v>
      </c>
      <c r="B581">
        <v>580</v>
      </c>
      <c r="C581" s="16" t="s">
        <v>621</v>
      </c>
      <c r="D581">
        <v>8.0889999999999998E-4</v>
      </c>
      <c r="E581">
        <v>2.448</v>
      </c>
      <c r="F581">
        <v>1.98E-3</v>
      </c>
      <c r="G581">
        <v>18</v>
      </c>
    </row>
    <row r="582" spans="1:7" x14ac:dyDescent="0.35">
      <c r="A582" t="s">
        <v>838</v>
      </c>
      <c r="B582">
        <v>581</v>
      </c>
      <c r="C582" s="16" t="s">
        <v>620</v>
      </c>
      <c r="D582">
        <v>3.8510000000000003E-2</v>
      </c>
      <c r="E582">
        <v>2.0110000000000001</v>
      </c>
      <c r="F582">
        <v>7.7450000000000005E-2</v>
      </c>
      <c r="G582">
        <v>18</v>
      </c>
    </row>
    <row r="583" spans="1:7" x14ac:dyDescent="0.35">
      <c r="A583" t="s">
        <v>838</v>
      </c>
      <c r="B583">
        <v>582</v>
      </c>
      <c r="C583" s="16" t="s">
        <v>619</v>
      </c>
      <c r="D583">
        <v>1.1810000000000001E-11</v>
      </c>
      <c r="E583">
        <v>2.6589999999999998</v>
      </c>
      <c r="F583">
        <v>3.1409999999999998E-11</v>
      </c>
      <c r="G583">
        <v>18</v>
      </c>
    </row>
    <row r="584" spans="1:7" x14ac:dyDescent="0.35">
      <c r="A584" t="s">
        <v>838</v>
      </c>
      <c r="B584">
        <v>583</v>
      </c>
      <c r="C584" s="16" t="s">
        <v>618</v>
      </c>
      <c r="D584">
        <v>1.7210000000000001E-7</v>
      </c>
      <c r="E584">
        <v>2.5</v>
      </c>
      <c r="F584">
        <v>4.3019999999999997E-7</v>
      </c>
      <c r="G584">
        <v>18</v>
      </c>
    </row>
    <row r="585" spans="1:7" x14ac:dyDescent="0.35">
      <c r="A585" t="s">
        <v>838</v>
      </c>
      <c r="B585">
        <v>584</v>
      </c>
      <c r="C585" s="16" t="s">
        <v>617</v>
      </c>
      <c r="D585">
        <v>1.8779999999999999E-9</v>
      </c>
      <c r="E585">
        <v>2.41</v>
      </c>
      <c r="F585">
        <v>4.5269999999999998E-9</v>
      </c>
      <c r="G585">
        <v>18</v>
      </c>
    </row>
    <row r="586" spans="1:7" x14ac:dyDescent="0.35">
      <c r="A586" t="s">
        <v>838</v>
      </c>
      <c r="B586">
        <v>585</v>
      </c>
      <c r="C586" s="16" t="s">
        <v>616</v>
      </c>
      <c r="D586">
        <v>1.5669999999999999E-4</v>
      </c>
      <c r="E586">
        <v>1.875</v>
      </c>
      <c r="F586">
        <v>2.9389999999999999E-4</v>
      </c>
      <c r="G586">
        <v>18</v>
      </c>
    </row>
    <row r="587" spans="1:7" x14ac:dyDescent="0.35">
      <c r="A587" t="s">
        <v>838</v>
      </c>
      <c r="B587">
        <v>586</v>
      </c>
      <c r="C587" s="16" t="s">
        <v>615</v>
      </c>
      <c r="D587">
        <v>1.382E-4</v>
      </c>
      <c r="E587">
        <v>1.833</v>
      </c>
      <c r="F587">
        <v>2.5339999999999998E-4</v>
      </c>
      <c r="G587">
        <v>18</v>
      </c>
    </row>
    <row r="588" spans="1:7" x14ac:dyDescent="0.35">
      <c r="A588" t="s">
        <v>838</v>
      </c>
      <c r="B588">
        <v>587</v>
      </c>
      <c r="C588" s="16" t="s">
        <v>614</v>
      </c>
      <c r="D588">
        <v>3.1629999999999999E-7</v>
      </c>
      <c r="E588">
        <v>2.754</v>
      </c>
      <c r="F588">
        <v>8.7110000000000001E-7</v>
      </c>
      <c r="G588">
        <v>18</v>
      </c>
    </row>
    <row r="589" spans="1:7" x14ac:dyDescent="0.35">
      <c r="A589" t="s">
        <v>838</v>
      </c>
      <c r="B589">
        <v>588</v>
      </c>
      <c r="C589" s="16" t="s">
        <v>613</v>
      </c>
      <c r="D589">
        <v>7.1130000000000001E-13</v>
      </c>
      <c r="E589">
        <v>2.95</v>
      </c>
      <c r="F589">
        <v>2.0980000000000001E-12</v>
      </c>
      <c r="G589">
        <v>18</v>
      </c>
    </row>
    <row r="590" spans="1:7" x14ac:dyDescent="0.35">
      <c r="A590" t="s">
        <v>838</v>
      </c>
      <c r="B590">
        <v>589</v>
      </c>
      <c r="C590" s="16" t="s">
        <v>612</v>
      </c>
      <c r="D590">
        <v>2.068E-3</v>
      </c>
      <c r="E590">
        <v>1.8280000000000001</v>
      </c>
      <c r="F590">
        <v>3.7799999999999999E-3</v>
      </c>
      <c r="G590">
        <v>18</v>
      </c>
    </row>
    <row r="591" spans="1:7" x14ac:dyDescent="0.35">
      <c r="A591" t="s">
        <v>838</v>
      </c>
      <c r="B591">
        <v>590</v>
      </c>
      <c r="C591" s="16" t="s">
        <v>611</v>
      </c>
      <c r="D591">
        <v>5.5500000000000001E-2</v>
      </c>
      <c r="E591">
        <v>1.82</v>
      </c>
      <c r="F591">
        <v>0.10100000000000001</v>
      </c>
      <c r="G591">
        <v>18</v>
      </c>
    </row>
    <row r="592" spans="1:7" x14ac:dyDescent="0.35">
      <c r="A592" t="s">
        <v>838</v>
      </c>
      <c r="B592">
        <v>591</v>
      </c>
      <c r="C592" s="16" t="s">
        <v>610</v>
      </c>
      <c r="D592">
        <v>1.2119999999999999E-5</v>
      </c>
      <c r="E592">
        <v>1.9590000000000001</v>
      </c>
      <c r="F592">
        <v>2.3750000000000001E-5</v>
      </c>
      <c r="G592">
        <v>18</v>
      </c>
    </row>
    <row r="593" spans="1:8" x14ac:dyDescent="0.35">
      <c r="A593" t="s">
        <v>838</v>
      </c>
      <c r="B593">
        <v>592</v>
      </c>
      <c r="C593" s="16" t="s">
        <v>609</v>
      </c>
      <c r="D593">
        <v>1.9760000000000001E-4</v>
      </c>
      <c r="E593">
        <v>2.0230000000000001</v>
      </c>
      <c r="F593">
        <v>3.9980000000000001E-4</v>
      </c>
      <c r="G593">
        <v>18</v>
      </c>
    </row>
    <row r="594" spans="1:8" x14ac:dyDescent="0.35">
      <c r="A594" t="s">
        <v>838</v>
      </c>
      <c r="B594">
        <v>593</v>
      </c>
      <c r="C594" s="16" t="s">
        <v>608</v>
      </c>
      <c r="D594">
        <v>8.1869999999999997E-11</v>
      </c>
      <c r="E594">
        <v>2.9590000000000001</v>
      </c>
      <c r="F594">
        <v>2.422E-10</v>
      </c>
      <c r="G594">
        <v>18</v>
      </c>
    </row>
    <row r="595" spans="1:8" x14ac:dyDescent="0.35">
      <c r="A595" t="s">
        <v>838</v>
      </c>
      <c r="B595">
        <v>594</v>
      </c>
      <c r="C595" s="16" t="s">
        <v>607</v>
      </c>
      <c r="D595">
        <v>1.2119999999999999E-5</v>
      </c>
      <c r="E595">
        <v>2.0070000000000001</v>
      </c>
      <c r="F595">
        <v>2.4329999999999999E-5</v>
      </c>
      <c r="G595">
        <v>18</v>
      </c>
    </row>
    <row r="596" spans="1:8" x14ac:dyDescent="0.35">
      <c r="A596" t="s">
        <v>838</v>
      </c>
      <c r="B596">
        <v>595</v>
      </c>
      <c r="C596" s="16" t="s">
        <v>606</v>
      </c>
      <c r="D596">
        <v>1.7839999999999999E-5</v>
      </c>
      <c r="E596">
        <v>1.9179999999999999</v>
      </c>
      <c r="F596">
        <v>3.4220000000000001E-5</v>
      </c>
      <c r="G596">
        <v>18</v>
      </c>
    </row>
    <row r="597" spans="1:8" x14ac:dyDescent="0.35">
      <c r="A597" t="s">
        <v>838</v>
      </c>
      <c r="B597">
        <v>596</v>
      </c>
      <c r="C597" s="16" t="s">
        <v>605</v>
      </c>
      <c r="D597">
        <v>2.1880000000000001E-6</v>
      </c>
      <c r="E597">
        <v>2.3010000000000002</v>
      </c>
      <c r="F597">
        <v>5.0340000000000004E-6</v>
      </c>
      <c r="G597">
        <v>18</v>
      </c>
    </row>
    <row r="598" spans="1:8" x14ac:dyDescent="0.35">
      <c r="A598" t="s">
        <v>838</v>
      </c>
      <c r="B598">
        <v>597</v>
      </c>
      <c r="C598" s="16" t="s">
        <v>604</v>
      </c>
      <c r="D598">
        <v>1.007E-8</v>
      </c>
      <c r="E598">
        <v>2.2770000000000001</v>
      </c>
      <c r="F598">
        <v>2.2939999999999999E-8</v>
      </c>
      <c r="G598">
        <v>18</v>
      </c>
    </row>
    <row r="599" spans="1:8" x14ac:dyDescent="0.35">
      <c r="A599" t="s">
        <v>838</v>
      </c>
      <c r="B599">
        <v>598</v>
      </c>
      <c r="C599" s="16" t="s">
        <v>603</v>
      </c>
      <c r="D599">
        <v>8.0889999999999998E-4</v>
      </c>
      <c r="E599">
        <v>1.94</v>
      </c>
      <c r="F599">
        <v>1.5690000000000001E-3</v>
      </c>
      <c r="G599">
        <v>18</v>
      </c>
    </row>
    <row r="600" spans="1:8" x14ac:dyDescent="0.35">
      <c r="A600" t="s">
        <v>835</v>
      </c>
      <c r="B600">
        <v>599</v>
      </c>
      <c r="C600" s="16" t="s">
        <v>600</v>
      </c>
      <c r="D600">
        <v>5.9280000000000001E-3</v>
      </c>
      <c r="E600">
        <v>0.7974</v>
      </c>
      <c r="F600">
        <v>4.7270000000000003E-3</v>
      </c>
      <c r="G600">
        <v>10</v>
      </c>
    </row>
    <row r="601" spans="1:8" x14ac:dyDescent="0.35">
      <c r="A601" t="s">
        <v>835</v>
      </c>
      <c r="B601">
        <v>600</v>
      </c>
      <c r="C601" s="16" t="s">
        <v>599</v>
      </c>
      <c r="D601">
        <v>6.9819999999999993E-2</v>
      </c>
      <c r="E601">
        <v>0.82840000000000003</v>
      </c>
      <c r="F601">
        <v>5.7829999999999999E-2</v>
      </c>
      <c r="G601">
        <v>10</v>
      </c>
    </row>
    <row r="602" spans="1:8" x14ac:dyDescent="0.35">
      <c r="A602" t="s">
        <v>835</v>
      </c>
      <c r="B602">
        <v>601</v>
      </c>
      <c r="C602" s="16" t="s">
        <v>598</v>
      </c>
      <c r="D602">
        <v>3.8170000000000001E-3</v>
      </c>
      <c r="E602">
        <v>1.7270000000000001</v>
      </c>
      <c r="F602">
        <v>6.5929999999999999E-3</v>
      </c>
      <c r="G602">
        <v>10</v>
      </c>
    </row>
    <row r="603" spans="1:8" x14ac:dyDescent="0.35">
      <c r="A603" t="s">
        <v>835</v>
      </c>
      <c r="B603">
        <v>602</v>
      </c>
      <c r="C603" s="16" t="s">
        <v>597</v>
      </c>
      <c r="D603">
        <v>1.8579999999999999E-2</v>
      </c>
      <c r="E603">
        <v>1.8029999999999999</v>
      </c>
      <c r="F603">
        <v>3.3520000000000001E-2</v>
      </c>
      <c r="G603">
        <v>10</v>
      </c>
    </row>
    <row r="604" spans="1:8" x14ac:dyDescent="0.35">
      <c r="A604" t="s">
        <v>835</v>
      </c>
      <c r="B604">
        <v>603</v>
      </c>
      <c r="C604" s="16" t="s">
        <v>596</v>
      </c>
      <c r="D604">
        <v>5.8909999999999997E-2</v>
      </c>
      <c r="E604">
        <v>1.29</v>
      </c>
      <c r="F604">
        <v>7.6009999999999994E-2</v>
      </c>
      <c r="G604">
        <v>10</v>
      </c>
    </row>
    <row r="605" spans="1:8" x14ac:dyDescent="0.35">
      <c r="A605" t="s">
        <v>980</v>
      </c>
      <c r="B605">
        <v>604</v>
      </c>
      <c r="C605" s="16" t="s">
        <v>612</v>
      </c>
      <c r="D605">
        <v>3.885E-8</v>
      </c>
      <c r="E605">
        <v>3.3319999999999999</v>
      </c>
      <c r="F605">
        <v>1.2949999999999999E-7</v>
      </c>
      <c r="G605">
        <v>8</v>
      </c>
    </row>
    <row r="606" spans="1:8" x14ac:dyDescent="0.35">
      <c r="A606" t="s">
        <v>980</v>
      </c>
      <c r="B606">
        <v>605</v>
      </c>
      <c r="C606" s="16" t="s">
        <v>651</v>
      </c>
      <c r="D606">
        <v>4.9180000000000002E-6</v>
      </c>
      <c r="E606">
        <v>1.3540000000000001</v>
      </c>
      <c r="F606">
        <v>6.6590000000000001E-6</v>
      </c>
      <c r="G606">
        <v>8</v>
      </c>
      <c r="H606" t="str">
        <f t="shared" ref="H606:H621" si="2">IF(AND(G606&lt;&gt;G605,G606&lt;&gt;G607),1,"")</f>
        <v/>
      </c>
    </row>
    <row r="607" spans="1:8" x14ac:dyDescent="0.35">
      <c r="A607" t="s">
        <v>980</v>
      </c>
      <c r="B607">
        <v>606</v>
      </c>
      <c r="C607" s="16" t="s">
        <v>611</v>
      </c>
      <c r="D607">
        <v>0.17699999999999999</v>
      </c>
      <c r="E607">
        <v>2.5830000000000002</v>
      </c>
      <c r="F607">
        <v>0.4572</v>
      </c>
      <c r="G607">
        <v>8</v>
      </c>
      <c r="H607" t="str">
        <f t="shared" si="2"/>
        <v/>
      </c>
    </row>
    <row r="608" spans="1:8" x14ac:dyDescent="0.35">
      <c r="A608" t="s">
        <v>980</v>
      </c>
      <c r="B608">
        <v>607</v>
      </c>
      <c r="C608" s="16" t="s">
        <v>610</v>
      </c>
      <c r="D608">
        <v>1.644E-2</v>
      </c>
      <c r="E608">
        <v>1.9159999999999999</v>
      </c>
      <c r="F608">
        <v>3.1489999999999997E-2</v>
      </c>
      <c r="G608">
        <v>8</v>
      </c>
      <c r="H608" t="str">
        <f t="shared" si="2"/>
        <v/>
      </c>
    </row>
    <row r="609" spans="1:8" x14ac:dyDescent="0.35">
      <c r="A609" t="s">
        <v>980</v>
      </c>
      <c r="B609">
        <v>608</v>
      </c>
      <c r="C609" s="16" t="s">
        <v>609</v>
      </c>
      <c r="D609">
        <v>2.6509999999999999E-2</v>
      </c>
      <c r="E609">
        <v>1.7310000000000001</v>
      </c>
      <c r="F609">
        <v>4.5900000000000003E-2</v>
      </c>
      <c r="G609">
        <v>8</v>
      </c>
      <c r="H609" t="str">
        <f t="shared" si="2"/>
        <v/>
      </c>
    </row>
    <row r="610" spans="1:8" x14ac:dyDescent="0.35">
      <c r="A610" t="s">
        <v>980</v>
      </c>
      <c r="B610">
        <v>609</v>
      </c>
      <c r="C610" s="16" t="s">
        <v>608</v>
      </c>
      <c r="D610">
        <v>0.185</v>
      </c>
      <c r="E610">
        <v>2.9569999999999999</v>
      </c>
      <c r="F610">
        <v>0.54710000000000003</v>
      </c>
      <c r="G610">
        <v>8</v>
      </c>
      <c r="H610" t="str">
        <f t="shared" si="2"/>
        <v/>
      </c>
    </row>
    <row r="611" spans="1:8" x14ac:dyDescent="0.35">
      <c r="A611" t="s">
        <v>980</v>
      </c>
      <c r="B611">
        <v>610</v>
      </c>
      <c r="C611" s="16" t="s">
        <v>634</v>
      </c>
      <c r="D611">
        <v>6.6919999999999993E-2</v>
      </c>
      <c r="E611">
        <v>1.3540000000000001</v>
      </c>
      <c r="F611">
        <v>9.0639999999999998E-2</v>
      </c>
      <c r="G611">
        <v>8</v>
      </c>
      <c r="H611" t="str">
        <f t="shared" si="2"/>
        <v/>
      </c>
    </row>
    <row r="612" spans="1:8" x14ac:dyDescent="0.35">
      <c r="A612" t="s">
        <v>980</v>
      </c>
      <c r="B612">
        <v>611</v>
      </c>
      <c r="C612" s="16" t="s">
        <v>607</v>
      </c>
      <c r="D612">
        <v>0.64</v>
      </c>
      <c r="E612">
        <v>1.5249999999999999</v>
      </c>
      <c r="F612">
        <v>0.97609999999999997</v>
      </c>
      <c r="G612">
        <v>8</v>
      </c>
      <c r="H612" t="str">
        <f t="shared" si="2"/>
        <v/>
      </c>
    </row>
    <row r="613" spans="1:8" x14ac:dyDescent="0.35">
      <c r="A613" t="s">
        <v>980</v>
      </c>
      <c r="B613">
        <v>612</v>
      </c>
      <c r="C613" s="16" t="s">
        <v>606</v>
      </c>
      <c r="D613">
        <v>0.68759999999999999</v>
      </c>
      <c r="E613">
        <v>2.1</v>
      </c>
      <c r="F613">
        <v>1.444</v>
      </c>
      <c r="G613">
        <v>8</v>
      </c>
      <c r="H613" t="str">
        <f t="shared" si="2"/>
        <v/>
      </c>
    </row>
    <row r="614" spans="1:8" x14ac:dyDescent="0.35">
      <c r="A614" t="s">
        <v>980</v>
      </c>
      <c r="B614">
        <v>613</v>
      </c>
      <c r="C614" s="16" t="s">
        <v>605</v>
      </c>
      <c r="D614">
        <v>2.6509999999999999E-2</v>
      </c>
      <c r="E614">
        <v>2.2290000000000001</v>
      </c>
      <c r="F614">
        <v>5.9110000000000003E-2</v>
      </c>
      <c r="G614">
        <v>8</v>
      </c>
      <c r="H614" t="str">
        <f t="shared" si="2"/>
        <v/>
      </c>
    </row>
    <row r="615" spans="1:8" x14ac:dyDescent="0.35">
      <c r="A615" t="s">
        <v>980</v>
      </c>
      <c r="B615">
        <v>614</v>
      </c>
      <c r="C615" s="16" t="s">
        <v>604</v>
      </c>
      <c r="D615">
        <v>1.566E-2</v>
      </c>
      <c r="E615">
        <v>1.079</v>
      </c>
      <c r="F615">
        <v>1.6910000000000001E-2</v>
      </c>
      <c r="G615">
        <v>8</v>
      </c>
      <c r="H615" t="str">
        <f t="shared" si="2"/>
        <v/>
      </c>
    </row>
    <row r="616" spans="1:8" x14ac:dyDescent="0.35">
      <c r="A616" t="s">
        <v>980</v>
      </c>
      <c r="B616">
        <v>615</v>
      </c>
      <c r="C616" s="16" t="s">
        <v>603</v>
      </c>
      <c r="D616">
        <v>2.5329999999999998E-4</v>
      </c>
      <c r="E616">
        <v>1.323</v>
      </c>
      <c r="F616">
        <v>3.3510000000000001E-4</v>
      </c>
      <c r="G616">
        <v>8</v>
      </c>
      <c r="H616" t="str">
        <f t="shared" si="2"/>
        <v/>
      </c>
    </row>
    <row r="617" spans="1:8" x14ac:dyDescent="0.35">
      <c r="A617" t="s">
        <v>1015</v>
      </c>
      <c r="B617">
        <v>616</v>
      </c>
      <c r="C617" s="16" t="s">
        <v>583</v>
      </c>
      <c r="D617">
        <v>3.3159999999999999E-3</v>
      </c>
      <c r="E617">
        <v>0.9798</v>
      </c>
      <c r="F617">
        <v>3.2499999999999999E-3</v>
      </c>
      <c r="G617" s="3">
        <v>14</v>
      </c>
      <c r="H617" t="str">
        <f t="shared" si="2"/>
        <v/>
      </c>
    </row>
    <row r="618" spans="1:8" x14ac:dyDescent="0.35">
      <c r="A618" t="s">
        <v>1015</v>
      </c>
      <c r="B618">
        <v>617</v>
      </c>
      <c r="C618" s="16" t="s">
        <v>582</v>
      </c>
      <c r="D618">
        <v>1.9040000000000001E-5</v>
      </c>
      <c r="E618">
        <v>1.734</v>
      </c>
      <c r="F618">
        <v>3.3019999999999999E-5</v>
      </c>
      <c r="G618">
        <v>14</v>
      </c>
      <c r="H618" t="str">
        <f t="shared" si="2"/>
        <v/>
      </c>
    </row>
    <row r="619" spans="1:8" x14ac:dyDescent="0.35">
      <c r="A619" t="s">
        <v>1015</v>
      </c>
      <c r="B619">
        <v>618</v>
      </c>
      <c r="C619" s="16" t="s">
        <v>591</v>
      </c>
      <c r="D619">
        <v>1.345E-2</v>
      </c>
      <c r="E619">
        <v>1.452</v>
      </c>
      <c r="F619">
        <v>1.9539999999999998E-2</v>
      </c>
      <c r="G619">
        <v>14</v>
      </c>
      <c r="H619" t="str">
        <f t="shared" si="2"/>
        <v/>
      </c>
    </row>
    <row r="620" spans="1:8" x14ac:dyDescent="0.35">
      <c r="A620" t="s">
        <v>1015</v>
      </c>
      <c r="B620">
        <v>619</v>
      </c>
      <c r="C620" s="16" t="s">
        <v>590</v>
      </c>
      <c r="D620">
        <v>3.5219999999999998E-10</v>
      </c>
      <c r="E620">
        <v>2.3809999999999998</v>
      </c>
      <c r="F620">
        <v>8.3870000000000001E-10</v>
      </c>
      <c r="G620">
        <v>14</v>
      </c>
      <c r="H620" t="str">
        <f t="shared" si="2"/>
        <v/>
      </c>
    </row>
    <row r="621" spans="1:8" x14ac:dyDescent="0.35">
      <c r="A621" t="s">
        <v>1015</v>
      </c>
      <c r="B621">
        <v>620</v>
      </c>
      <c r="C621" s="16" t="s">
        <v>589</v>
      </c>
      <c r="D621">
        <v>0.2324</v>
      </c>
      <c r="E621">
        <v>1.1779999999999999</v>
      </c>
      <c r="F621">
        <v>0.27379999999999999</v>
      </c>
      <c r="G621">
        <v>14</v>
      </c>
      <c r="H621" t="str">
        <f t="shared" si="2"/>
        <v/>
      </c>
    </row>
    <row r="622" spans="1:8" x14ac:dyDescent="0.35">
      <c r="A622" t="s">
        <v>1015</v>
      </c>
      <c r="B622">
        <v>621</v>
      </c>
      <c r="C622" s="16" t="s">
        <v>588</v>
      </c>
      <c r="D622">
        <v>4.827E-2</v>
      </c>
      <c r="E622">
        <v>1.617</v>
      </c>
      <c r="F622">
        <v>7.8060000000000004E-2</v>
      </c>
      <c r="G622">
        <v>14</v>
      </c>
    </row>
    <row r="623" spans="1:8" x14ac:dyDescent="0.35">
      <c r="A623" t="s">
        <v>1015</v>
      </c>
      <c r="B623">
        <v>622</v>
      </c>
      <c r="C623" s="16" t="s">
        <v>587</v>
      </c>
      <c r="D623">
        <v>0.89849999999999997</v>
      </c>
      <c r="E623">
        <v>1.2230000000000001</v>
      </c>
      <c r="F623">
        <v>1.099</v>
      </c>
      <c r="G623">
        <v>14</v>
      </c>
    </row>
    <row r="624" spans="1:8" x14ac:dyDescent="0.35">
      <c r="A624" t="s">
        <v>1015</v>
      </c>
      <c r="B624">
        <v>623</v>
      </c>
      <c r="C624" s="16" t="s">
        <v>581</v>
      </c>
      <c r="D624">
        <v>9.0929999999999997E-2</v>
      </c>
      <c r="E624">
        <v>0.95599999999999996</v>
      </c>
      <c r="F624">
        <v>8.6929999999999993E-2</v>
      </c>
      <c r="G624">
        <v>14</v>
      </c>
    </row>
    <row r="625" spans="1:7" x14ac:dyDescent="0.35">
      <c r="A625" t="s">
        <v>1015</v>
      </c>
      <c r="B625">
        <v>624</v>
      </c>
      <c r="C625" s="16" t="s">
        <v>502</v>
      </c>
      <c r="D625">
        <v>9.8429999999999993E-3</v>
      </c>
      <c r="E625">
        <v>1.889</v>
      </c>
      <c r="F625">
        <v>1.8589999999999999E-2</v>
      </c>
      <c r="G625">
        <v>14</v>
      </c>
    </row>
    <row r="626" spans="1:7" x14ac:dyDescent="0.35">
      <c r="A626" t="s">
        <v>1015</v>
      </c>
      <c r="B626">
        <v>625</v>
      </c>
      <c r="C626" s="16" t="s">
        <v>501</v>
      </c>
      <c r="D626">
        <v>0.89849999999999997</v>
      </c>
      <c r="E626">
        <v>1.169</v>
      </c>
      <c r="F626">
        <v>1.0509999999999999</v>
      </c>
      <c r="G626">
        <v>14</v>
      </c>
    </row>
    <row r="627" spans="1:7" x14ac:dyDescent="0.35">
      <c r="A627" t="s">
        <v>1015</v>
      </c>
      <c r="B627">
        <v>626</v>
      </c>
      <c r="C627" s="16" t="s">
        <v>500</v>
      </c>
      <c r="D627">
        <v>0.65900000000000003</v>
      </c>
      <c r="E627">
        <v>0.64</v>
      </c>
      <c r="F627">
        <v>0.42180000000000001</v>
      </c>
      <c r="G627">
        <v>14</v>
      </c>
    </row>
    <row r="628" spans="1:7" x14ac:dyDescent="0.35">
      <c r="A628" t="s">
        <v>1015</v>
      </c>
      <c r="B628">
        <v>627</v>
      </c>
      <c r="C628" s="16" t="s">
        <v>586</v>
      </c>
      <c r="D628">
        <v>0.56910000000000005</v>
      </c>
      <c r="E628">
        <v>1.0289999999999999</v>
      </c>
      <c r="F628">
        <v>0.58579999999999999</v>
      </c>
      <c r="G628">
        <v>14</v>
      </c>
    </row>
    <row r="629" spans="1:7" x14ac:dyDescent="0.35">
      <c r="A629" t="s">
        <v>1015</v>
      </c>
      <c r="B629">
        <v>628</v>
      </c>
      <c r="C629" s="16" t="s">
        <v>580</v>
      </c>
      <c r="D629">
        <v>1.168E-3</v>
      </c>
      <c r="E629">
        <v>1.2130000000000001</v>
      </c>
      <c r="F629">
        <v>1.4159999999999999E-3</v>
      </c>
      <c r="G629">
        <v>14</v>
      </c>
    </row>
    <row r="630" spans="1:7" x14ac:dyDescent="0.35">
      <c r="A630" t="s">
        <v>1015</v>
      </c>
      <c r="B630">
        <v>629</v>
      </c>
      <c r="C630" s="16" t="s">
        <v>579</v>
      </c>
      <c r="D630">
        <v>1.6100000000000001E-3</v>
      </c>
      <c r="E630">
        <v>1.177</v>
      </c>
      <c r="F630">
        <v>1.8940000000000001E-3</v>
      </c>
      <c r="G630">
        <v>14</v>
      </c>
    </row>
    <row r="631" spans="1:7" x14ac:dyDescent="0.35">
      <c r="A631" t="s">
        <v>1015</v>
      </c>
      <c r="B631">
        <v>630</v>
      </c>
      <c r="C631" s="16" t="s">
        <v>585</v>
      </c>
      <c r="D631">
        <v>6.7819999999999998E-3</v>
      </c>
      <c r="E631">
        <v>0.82089999999999996</v>
      </c>
      <c r="F631">
        <v>5.568E-3</v>
      </c>
      <c r="G631">
        <v>14</v>
      </c>
    </row>
    <row r="632" spans="1:7" x14ac:dyDescent="0.35">
      <c r="A632" t="s">
        <v>1015</v>
      </c>
      <c r="B632">
        <v>631</v>
      </c>
      <c r="C632" s="16" t="s">
        <v>584</v>
      </c>
      <c r="D632">
        <v>2.019E-2</v>
      </c>
      <c r="E632">
        <v>1.7729999999999999</v>
      </c>
      <c r="F632">
        <v>3.5790000000000002E-2</v>
      </c>
      <c r="G632">
        <v>14</v>
      </c>
    </row>
    <row r="633" spans="1:7" x14ac:dyDescent="0.35">
      <c r="A633" t="s">
        <v>1015</v>
      </c>
      <c r="B633">
        <v>632</v>
      </c>
      <c r="C633" s="16" t="s">
        <v>518</v>
      </c>
      <c r="D633">
        <v>2.202E-3</v>
      </c>
      <c r="E633">
        <v>1.9139999999999999</v>
      </c>
      <c r="F633">
        <v>4.2160000000000001E-3</v>
      </c>
      <c r="G633">
        <v>14</v>
      </c>
    </row>
    <row r="634" spans="1:7" x14ac:dyDescent="0.35">
      <c r="A634" t="s">
        <v>1015</v>
      </c>
      <c r="B634">
        <v>633</v>
      </c>
      <c r="C634" s="16" t="s">
        <v>517</v>
      </c>
      <c r="D634">
        <v>0.56910000000000005</v>
      </c>
      <c r="E634">
        <v>1.7230000000000001</v>
      </c>
      <c r="F634">
        <v>0.98070000000000002</v>
      </c>
      <c r="G634">
        <v>14</v>
      </c>
    </row>
    <row r="635" spans="1:7" x14ac:dyDescent="0.35">
      <c r="A635" t="s">
        <v>1015</v>
      </c>
      <c r="B635">
        <v>634</v>
      </c>
      <c r="C635" s="16" t="s">
        <v>516</v>
      </c>
      <c r="D635">
        <v>0.35649999999999998</v>
      </c>
      <c r="E635">
        <v>0.86439999999999995</v>
      </c>
      <c r="F635">
        <v>0.30819999999999997</v>
      </c>
      <c r="G635">
        <v>14</v>
      </c>
    </row>
    <row r="636" spans="1:7" x14ac:dyDescent="0.35">
      <c r="A636" t="s">
        <v>1015</v>
      </c>
      <c r="B636">
        <v>635</v>
      </c>
      <c r="C636" s="16" t="s">
        <v>515</v>
      </c>
      <c r="D636">
        <v>0.2225</v>
      </c>
      <c r="E636">
        <v>0.98370000000000002</v>
      </c>
      <c r="F636">
        <v>0.21890000000000001</v>
      </c>
      <c r="G636">
        <v>14</v>
      </c>
    </row>
    <row r="637" spans="1:7" x14ac:dyDescent="0.35">
      <c r="A637" t="s">
        <v>1016</v>
      </c>
      <c r="B637">
        <v>636</v>
      </c>
      <c r="C637" s="16" t="s">
        <v>1014</v>
      </c>
      <c r="D637">
        <v>0.12039999999999999</v>
      </c>
      <c r="E637">
        <v>2.5760000000000001</v>
      </c>
      <c r="F637">
        <v>0.31009999999999999</v>
      </c>
      <c r="G637">
        <v>15</v>
      </c>
    </row>
    <row r="638" spans="1:7" x14ac:dyDescent="0.35">
      <c r="A638" t="s">
        <v>1016</v>
      </c>
      <c r="B638">
        <v>637</v>
      </c>
      <c r="C638" s="16" t="s">
        <v>1013</v>
      </c>
      <c r="D638">
        <v>1.048E-4</v>
      </c>
      <c r="E638">
        <v>4.101</v>
      </c>
      <c r="F638">
        <v>4.2989999999999999E-4</v>
      </c>
      <c r="G638">
        <v>15</v>
      </c>
    </row>
    <row r="639" spans="1:7" x14ac:dyDescent="0.35">
      <c r="A639" t="s">
        <v>1016</v>
      </c>
      <c r="B639">
        <v>638</v>
      </c>
      <c r="C639" s="16" t="s">
        <v>1012</v>
      </c>
      <c r="D639">
        <v>1.2590000000000001E-7</v>
      </c>
      <c r="E639">
        <v>2.7050000000000001</v>
      </c>
      <c r="F639">
        <v>3.4069999999999997E-7</v>
      </c>
      <c r="G639">
        <v>15</v>
      </c>
    </row>
    <row r="640" spans="1:7" x14ac:dyDescent="0.35">
      <c r="A640" t="s">
        <v>1016</v>
      </c>
      <c r="B640">
        <v>639</v>
      </c>
      <c r="C640" s="16" t="s">
        <v>1011</v>
      </c>
      <c r="D640">
        <v>2.2359999999999999E-4</v>
      </c>
      <c r="E640">
        <v>3.3820000000000001</v>
      </c>
      <c r="F640">
        <v>7.5619999999999995E-4</v>
      </c>
      <c r="G640">
        <v>15</v>
      </c>
    </row>
    <row r="641" spans="1:7" x14ac:dyDescent="0.35">
      <c r="A641" t="s">
        <v>1016</v>
      </c>
      <c r="B641">
        <v>640</v>
      </c>
      <c r="C641" s="16" t="s">
        <v>1010</v>
      </c>
      <c r="D641">
        <v>7.5759999999999998E-8</v>
      </c>
      <c r="E641">
        <v>2.9319999999999999</v>
      </c>
      <c r="F641">
        <v>2.2219999999999999E-7</v>
      </c>
      <c r="G641">
        <v>15</v>
      </c>
    </row>
    <row r="642" spans="1:7" x14ac:dyDescent="0.35">
      <c r="A642" t="s">
        <v>1016</v>
      </c>
      <c r="B642">
        <v>641</v>
      </c>
      <c r="C642" s="16" t="s">
        <v>1009</v>
      </c>
      <c r="D642">
        <v>2.6989999999999999E-6</v>
      </c>
      <c r="E642">
        <v>2.2669999999999999</v>
      </c>
      <c r="F642">
        <v>6.1199999999999999E-6</v>
      </c>
      <c r="G642">
        <v>15</v>
      </c>
    </row>
    <row r="643" spans="1:7" x14ac:dyDescent="0.35">
      <c r="A643" t="s">
        <v>1016</v>
      </c>
      <c r="B643">
        <v>642</v>
      </c>
      <c r="C643" s="16" t="s">
        <v>1008</v>
      </c>
      <c r="D643">
        <v>7.5759999999999998E-8</v>
      </c>
      <c r="E643">
        <v>1.86</v>
      </c>
      <c r="F643">
        <v>1.409E-7</v>
      </c>
      <c r="G643">
        <v>15</v>
      </c>
    </row>
    <row r="644" spans="1:7" x14ac:dyDescent="0.35">
      <c r="A644" t="s">
        <v>1016</v>
      </c>
      <c r="B644">
        <v>643</v>
      </c>
      <c r="C644" s="16" t="s">
        <v>1007</v>
      </c>
      <c r="D644">
        <v>1.5769999999999999E-2</v>
      </c>
      <c r="E644">
        <v>2.286</v>
      </c>
      <c r="F644">
        <v>3.6060000000000002E-2</v>
      </c>
      <c r="G644">
        <v>15</v>
      </c>
    </row>
    <row r="645" spans="1:7" x14ac:dyDescent="0.35">
      <c r="A645" t="s">
        <v>1016</v>
      </c>
      <c r="B645">
        <v>644</v>
      </c>
      <c r="C645" s="16" t="s">
        <v>1006</v>
      </c>
      <c r="D645">
        <v>8.4719999999999999E-4</v>
      </c>
      <c r="E645">
        <v>2.1960000000000002</v>
      </c>
      <c r="F645">
        <v>1.8600000000000001E-3</v>
      </c>
      <c r="G645">
        <v>15</v>
      </c>
    </row>
    <row r="646" spans="1:7" x14ac:dyDescent="0.35">
      <c r="A646" t="s">
        <v>1016</v>
      </c>
      <c r="B646">
        <v>645</v>
      </c>
      <c r="C646" s="16" t="s">
        <v>1005</v>
      </c>
      <c r="D646">
        <v>1.423E-6</v>
      </c>
      <c r="E646">
        <v>2.0310000000000001</v>
      </c>
      <c r="F646">
        <v>2.8899999999999999E-6</v>
      </c>
      <c r="G646">
        <v>15</v>
      </c>
    </row>
    <row r="647" spans="1:7" x14ac:dyDescent="0.35">
      <c r="A647" t="s">
        <v>1016</v>
      </c>
      <c r="B647">
        <v>646</v>
      </c>
      <c r="C647" s="16" t="s">
        <v>592</v>
      </c>
      <c r="D647">
        <v>4.7239999999999999E-3</v>
      </c>
      <c r="E647">
        <v>2.0630000000000002</v>
      </c>
      <c r="F647">
        <v>9.7470000000000005E-3</v>
      </c>
      <c r="G647">
        <v>15</v>
      </c>
    </row>
    <row r="648" spans="1:7" x14ac:dyDescent="0.35">
      <c r="A648" t="s">
        <v>1016</v>
      </c>
      <c r="B648">
        <v>647</v>
      </c>
      <c r="C648" s="16" t="s">
        <v>583</v>
      </c>
      <c r="D648">
        <v>0.2356</v>
      </c>
      <c r="E648">
        <v>1.0620000000000001</v>
      </c>
      <c r="F648">
        <v>0.25009999999999999</v>
      </c>
      <c r="G648">
        <v>15</v>
      </c>
    </row>
    <row r="649" spans="1:7" x14ac:dyDescent="0.35">
      <c r="A649" t="s">
        <v>1016</v>
      </c>
      <c r="B649">
        <v>648</v>
      </c>
      <c r="C649" s="16" t="s">
        <v>582</v>
      </c>
      <c r="D649">
        <v>0.13919999999999999</v>
      </c>
      <c r="E649">
        <v>1.1910000000000001</v>
      </c>
      <c r="F649">
        <v>0.1658</v>
      </c>
      <c r="G649">
        <v>15</v>
      </c>
    </row>
    <row r="650" spans="1:7" x14ac:dyDescent="0.35">
      <c r="A650" t="s">
        <v>1016</v>
      </c>
      <c r="B650">
        <v>649</v>
      </c>
      <c r="C650" s="16" t="s">
        <v>591</v>
      </c>
      <c r="D650">
        <v>3.1139999999999997E-5</v>
      </c>
      <c r="E650">
        <v>2.5299999999999998</v>
      </c>
      <c r="F650">
        <v>7.8789999999999996E-5</v>
      </c>
      <c r="G650">
        <v>15</v>
      </c>
    </row>
    <row r="651" spans="1:7" x14ac:dyDescent="0.35">
      <c r="A651" t="s">
        <v>1016</v>
      </c>
      <c r="B651">
        <v>650</v>
      </c>
      <c r="C651" s="16" t="s">
        <v>590</v>
      </c>
      <c r="D651">
        <v>1.7510000000000001E-2</v>
      </c>
      <c r="E651">
        <v>2.2450000000000001</v>
      </c>
      <c r="F651">
        <v>3.9300000000000002E-2</v>
      </c>
      <c r="G651">
        <v>15</v>
      </c>
    </row>
    <row r="652" spans="1:7" x14ac:dyDescent="0.35">
      <c r="A652" t="s">
        <v>1016</v>
      </c>
      <c r="B652">
        <v>651</v>
      </c>
      <c r="C652" s="16" t="s">
        <v>589</v>
      </c>
      <c r="D652">
        <v>6.2459999999999998E-3</v>
      </c>
      <c r="E652">
        <v>1.7130000000000001</v>
      </c>
      <c r="F652">
        <v>1.0699999999999999E-2</v>
      </c>
      <c r="G652">
        <v>15</v>
      </c>
    </row>
    <row r="653" spans="1:7" x14ac:dyDescent="0.35">
      <c r="A653" t="s">
        <v>1016</v>
      </c>
      <c r="B653">
        <v>652</v>
      </c>
      <c r="C653" s="16" t="s">
        <v>588</v>
      </c>
      <c r="D653">
        <v>2.2359999999999999E-4</v>
      </c>
      <c r="E653">
        <v>1.5109999999999999</v>
      </c>
      <c r="F653">
        <v>3.3780000000000003E-4</v>
      </c>
      <c r="G653">
        <v>15</v>
      </c>
    </row>
    <row r="654" spans="1:7" x14ac:dyDescent="0.35">
      <c r="A654" t="s">
        <v>1016</v>
      </c>
      <c r="B654">
        <v>653</v>
      </c>
      <c r="C654" s="16" t="s">
        <v>581</v>
      </c>
      <c r="D654">
        <v>1.8029999999999999E-7</v>
      </c>
      <c r="E654">
        <v>2.9169999999999998</v>
      </c>
      <c r="F654">
        <v>5.2590000000000002E-7</v>
      </c>
      <c r="G654">
        <v>15</v>
      </c>
    </row>
    <row r="655" spans="1:7" x14ac:dyDescent="0.35">
      <c r="A655" t="s">
        <v>1016</v>
      </c>
      <c r="B655">
        <v>654</v>
      </c>
      <c r="C655" s="16" t="s">
        <v>501</v>
      </c>
      <c r="D655">
        <v>0.18609999999999999</v>
      </c>
      <c r="E655">
        <v>1.421</v>
      </c>
      <c r="F655">
        <v>0.26450000000000001</v>
      </c>
      <c r="G655">
        <v>15</v>
      </c>
    </row>
    <row r="656" spans="1:7" x14ac:dyDescent="0.35">
      <c r="A656" t="s">
        <v>1016</v>
      </c>
      <c r="B656">
        <v>655</v>
      </c>
      <c r="C656" s="16" t="s">
        <v>500</v>
      </c>
      <c r="D656">
        <v>0.43109999999999998</v>
      </c>
      <c r="E656">
        <v>1.2470000000000001</v>
      </c>
      <c r="F656">
        <v>0.53779999999999994</v>
      </c>
      <c r="G656">
        <v>15</v>
      </c>
    </row>
    <row r="657" spans="1:7" x14ac:dyDescent="0.35">
      <c r="A657" t="s">
        <v>1016</v>
      </c>
      <c r="B657">
        <v>656</v>
      </c>
      <c r="C657" s="16" t="s">
        <v>586</v>
      </c>
      <c r="D657">
        <v>8.0840000000000005E-5</v>
      </c>
      <c r="E657">
        <v>2.5489999999999999</v>
      </c>
      <c r="F657">
        <v>2.061E-4</v>
      </c>
      <c r="G657">
        <v>15</v>
      </c>
    </row>
    <row r="658" spans="1:7" x14ac:dyDescent="0.35">
      <c r="A658" t="s">
        <v>1016</v>
      </c>
      <c r="B658">
        <v>657</v>
      </c>
      <c r="C658" s="16" t="s">
        <v>580</v>
      </c>
      <c r="D658">
        <v>3.4799999999999999E-5</v>
      </c>
      <c r="E658">
        <v>2.327</v>
      </c>
      <c r="F658">
        <v>8.0980000000000001E-5</v>
      </c>
      <c r="G658">
        <v>15</v>
      </c>
    </row>
    <row r="659" spans="1:7" x14ac:dyDescent="0.35">
      <c r="A659" t="s">
        <v>1016</v>
      </c>
      <c r="B659">
        <v>658</v>
      </c>
      <c r="C659" s="16" t="s">
        <v>579</v>
      </c>
      <c r="D659">
        <v>1.8459999999999999E-4</v>
      </c>
      <c r="E659">
        <v>2.3820000000000001</v>
      </c>
      <c r="F659">
        <v>4.3980000000000001E-4</v>
      </c>
      <c r="G659">
        <v>15</v>
      </c>
    </row>
    <row r="660" spans="1:7" x14ac:dyDescent="0.35">
      <c r="A660" t="s">
        <v>1016</v>
      </c>
      <c r="B660">
        <v>659</v>
      </c>
      <c r="C660" s="16" t="s">
        <v>585</v>
      </c>
      <c r="D660">
        <v>1.482E-3</v>
      </c>
      <c r="E660">
        <v>1.3049999999999999</v>
      </c>
      <c r="F660">
        <v>1.9350000000000001E-3</v>
      </c>
      <c r="G660">
        <v>15</v>
      </c>
    </row>
    <row r="661" spans="1:7" x14ac:dyDescent="0.35">
      <c r="A661" t="s">
        <v>1016</v>
      </c>
      <c r="B661">
        <v>660</v>
      </c>
      <c r="C661" s="16" t="s">
        <v>584</v>
      </c>
      <c r="D661">
        <v>8.4229999999999999E-2</v>
      </c>
      <c r="E661">
        <v>2.0259999999999998</v>
      </c>
      <c r="F661">
        <v>0.17069999999999999</v>
      </c>
      <c r="G661">
        <v>15</v>
      </c>
    </row>
    <row r="662" spans="1:7" x14ac:dyDescent="0.35">
      <c r="A662" t="s">
        <v>1016</v>
      </c>
      <c r="B662">
        <v>661</v>
      </c>
      <c r="C662" s="16" t="s">
        <v>517</v>
      </c>
      <c r="D662">
        <v>7.7009999999999996E-10</v>
      </c>
      <c r="E662">
        <v>2.0030000000000001</v>
      </c>
      <c r="F662">
        <v>1.5429999999999999E-9</v>
      </c>
      <c r="G662">
        <v>15</v>
      </c>
    </row>
    <row r="663" spans="1:7" x14ac:dyDescent="0.35">
      <c r="A663" t="s">
        <v>1016</v>
      </c>
      <c r="B663">
        <v>662</v>
      </c>
      <c r="C663" s="16" t="s">
        <v>516</v>
      </c>
      <c r="D663">
        <v>1.1710000000000001E-6</v>
      </c>
      <c r="E663">
        <v>3.5139999999999998</v>
      </c>
      <c r="F663">
        <v>4.1150000000000004E-6</v>
      </c>
      <c r="G663">
        <v>15</v>
      </c>
    </row>
    <row r="664" spans="1:7" x14ac:dyDescent="0.35">
      <c r="A664" t="s">
        <v>1016</v>
      </c>
      <c r="B664">
        <v>663</v>
      </c>
      <c r="C664" s="16" t="s">
        <v>515</v>
      </c>
      <c r="D664">
        <v>1.8459999999999999E-4</v>
      </c>
      <c r="E664">
        <v>2.7010000000000001</v>
      </c>
      <c r="F664">
        <v>4.9859999999999998E-4</v>
      </c>
      <c r="G664">
        <v>15</v>
      </c>
    </row>
  </sheetData>
  <sortState xmlns:xlrd2="http://schemas.microsoft.com/office/spreadsheetml/2017/richdata2" ref="L2:M622">
    <sortCondition descending="1" ref="L2:L622"/>
  </sortState>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5"/>
  <dimension ref="A1:H41"/>
  <sheetViews>
    <sheetView workbookViewId="0">
      <selection activeCell="I20" sqref="I20"/>
    </sheetView>
  </sheetViews>
  <sheetFormatPr defaultRowHeight="14.5" x14ac:dyDescent="0.35"/>
  <sheetData>
    <row r="1" spans="1:8" x14ac:dyDescent="0.35">
      <c r="A1" t="s">
        <v>305</v>
      </c>
      <c r="H1" t="s">
        <v>58</v>
      </c>
    </row>
    <row r="2" spans="1:8" x14ac:dyDescent="0.35">
      <c r="A2">
        <v>1</v>
      </c>
      <c r="B2">
        <v>1</v>
      </c>
      <c r="D2" s="4">
        <v>70.84</v>
      </c>
      <c r="E2" s="4">
        <v>118.06</v>
      </c>
      <c r="F2" s="4">
        <v>177.1</v>
      </c>
      <c r="H2" s="4">
        <v>213.78</v>
      </c>
    </row>
    <row r="3" spans="1:8" x14ac:dyDescent="0.35">
      <c r="A3">
        <v>1</v>
      </c>
      <c r="B3">
        <v>2</v>
      </c>
      <c r="D3" s="4">
        <v>21.18</v>
      </c>
      <c r="E3" s="4">
        <v>35.299999999999997</v>
      </c>
      <c r="F3" s="4">
        <v>52.95</v>
      </c>
      <c r="H3" s="4">
        <v>-0.74</v>
      </c>
    </row>
    <row r="4" spans="1:8" x14ac:dyDescent="0.35">
      <c r="A4">
        <v>1</v>
      </c>
      <c r="B4">
        <v>3</v>
      </c>
      <c r="D4" s="4">
        <v>15</v>
      </c>
      <c r="E4" s="4">
        <v>25</v>
      </c>
      <c r="F4" s="4">
        <v>27</v>
      </c>
      <c r="H4" s="4">
        <v>12</v>
      </c>
    </row>
    <row r="5" spans="1:8" x14ac:dyDescent="0.35">
      <c r="A5">
        <v>1</v>
      </c>
      <c r="B5">
        <v>4</v>
      </c>
      <c r="D5" s="4">
        <v>5</v>
      </c>
      <c r="E5" s="4">
        <v>10</v>
      </c>
      <c r="F5" s="4">
        <v>13</v>
      </c>
      <c r="H5" s="4">
        <v>4</v>
      </c>
    </row>
    <row r="6" spans="1:8" x14ac:dyDescent="0.35">
      <c r="A6">
        <v>1</v>
      </c>
      <c r="B6">
        <v>5</v>
      </c>
      <c r="D6" s="4">
        <v>65</v>
      </c>
      <c r="E6" s="4">
        <v>75</v>
      </c>
      <c r="F6" s="4">
        <v>77</v>
      </c>
      <c r="H6" s="4">
        <v>49</v>
      </c>
    </row>
    <row r="7" spans="1:8" x14ac:dyDescent="0.35">
      <c r="A7">
        <v>1</v>
      </c>
      <c r="B7">
        <v>6</v>
      </c>
      <c r="D7" s="4">
        <v>55</v>
      </c>
      <c r="E7" s="4">
        <v>65</v>
      </c>
      <c r="F7" s="4">
        <v>67</v>
      </c>
      <c r="H7" s="4">
        <v>55.69</v>
      </c>
    </row>
    <row r="8" spans="1:8" x14ac:dyDescent="0.35">
      <c r="A8">
        <v>1</v>
      </c>
      <c r="B8">
        <v>7</v>
      </c>
      <c r="D8" s="4">
        <v>60</v>
      </c>
      <c r="E8" s="4">
        <v>70</v>
      </c>
      <c r="F8" s="4">
        <v>72</v>
      </c>
      <c r="H8" s="4">
        <v>59.52</v>
      </c>
    </row>
    <row r="9" spans="1:8" x14ac:dyDescent="0.35">
      <c r="A9">
        <v>1</v>
      </c>
      <c r="B9">
        <v>8</v>
      </c>
      <c r="D9" s="4">
        <v>28</v>
      </c>
      <c r="E9" s="4">
        <v>30</v>
      </c>
      <c r="F9" s="4">
        <v>32</v>
      </c>
      <c r="H9" s="4">
        <v>53.98</v>
      </c>
    </row>
    <row r="10" spans="1:8" x14ac:dyDescent="0.35">
      <c r="A10">
        <v>1</v>
      </c>
      <c r="B10">
        <v>9</v>
      </c>
      <c r="D10" s="4">
        <v>0.59</v>
      </c>
      <c r="E10" s="4">
        <v>0.67</v>
      </c>
      <c r="F10" s="4">
        <v>0.77</v>
      </c>
      <c r="H10" s="4">
        <v>0.66</v>
      </c>
    </row>
    <row r="11" spans="1:8" x14ac:dyDescent="0.35">
      <c r="A11">
        <v>1</v>
      </c>
      <c r="B11">
        <v>10</v>
      </c>
      <c r="D11" s="4">
        <v>58</v>
      </c>
      <c r="E11" s="4">
        <v>60</v>
      </c>
      <c r="F11" s="4">
        <v>70</v>
      </c>
      <c r="H11" s="4">
        <v>79</v>
      </c>
    </row>
    <row r="12" spans="1:8" x14ac:dyDescent="0.35">
      <c r="A12">
        <v>2</v>
      </c>
      <c r="B12">
        <v>1</v>
      </c>
      <c r="D12" s="4">
        <v>10</v>
      </c>
      <c r="E12" s="4">
        <v>50</v>
      </c>
      <c r="F12" s="4">
        <v>200</v>
      </c>
    </row>
    <row r="13" spans="1:8" x14ac:dyDescent="0.35">
      <c r="A13">
        <v>2</v>
      </c>
      <c r="B13">
        <v>2</v>
      </c>
      <c r="D13" s="4">
        <v>-30</v>
      </c>
      <c r="E13" s="4">
        <v>-10</v>
      </c>
      <c r="F13" s="4">
        <v>10</v>
      </c>
    </row>
    <row r="14" spans="1:8" x14ac:dyDescent="0.35">
      <c r="A14">
        <v>2</v>
      </c>
      <c r="B14">
        <v>3</v>
      </c>
      <c r="D14" s="4">
        <v>8.8000000000000007</v>
      </c>
      <c r="E14" s="4">
        <v>9</v>
      </c>
      <c r="F14" s="4">
        <v>9.5</v>
      </c>
    </row>
    <row r="15" spans="1:8" x14ac:dyDescent="0.35">
      <c r="A15">
        <v>2</v>
      </c>
      <c r="B15">
        <v>4</v>
      </c>
      <c r="D15" s="4">
        <v>6</v>
      </c>
      <c r="E15" s="4">
        <v>8</v>
      </c>
      <c r="F15" s="4">
        <v>10</v>
      </c>
    </row>
    <row r="16" spans="1:8" x14ac:dyDescent="0.35">
      <c r="A16">
        <v>2</v>
      </c>
      <c r="B16">
        <v>5</v>
      </c>
      <c r="D16" s="4">
        <v>48</v>
      </c>
      <c r="E16" s="4">
        <v>50</v>
      </c>
      <c r="F16" s="4">
        <v>52</v>
      </c>
    </row>
    <row r="17" spans="1:6" x14ac:dyDescent="0.35">
      <c r="A17">
        <v>2</v>
      </c>
      <c r="B17">
        <v>6</v>
      </c>
      <c r="D17" s="4">
        <v>5</v>
      </c>
      <c r="E17" s="4">
        <v>15</v>
      </c>
      <c r="F17" s="4">
        <v>25</v>
      </c>
    </row>
    <row r="18" spans="1:6" x14ac:dyDescent="0.35">
      <c r="A18">
        <v>2</v>
      </c>
      <c r="B18">
        <v>7</v>
      </c>
      <c r="D18" s="4">
        <v>5</v>
      </c>
      <c r="E18" s="4">
        <v>15</v>
      </c>
      <c r="F18" s="4">
        <v>25</v>
      </c>
    </row>
    <row r="19" spans="1:6" x14ac:dyDescent="0.35">
      <c r="A19">
        <v>2</v>
      </c>
      <c r="B19">
        <v>8</v>
      </c>
      <c r="D19" s="4">
        <v>30</v>
      </c>
      <c r="E19" s="4">
        <v>50</v>
      </c>
      <c r="F19" s="4">
        <v>60</v>
      </c>
    </row>
    <row r="20" spans="1:6" x14ac:dyDescent="0.35">
      <c r="A20">
        <v>2</v>
      </c>
      <c r="B20">
        <v>9</v>
      </c>
      <c r="D20" s="4">
        <v>0.25</v>
      </c>
      <c r="E20" s="4">
        <v>0.5</v>
      </c>
      <c r="F20" s="4">
        <v>2</v>
      </c>
    </row>
    <row r="21" spans="1:6" x14ac:dyDescent="0.35">
      <c r="A21">
        <v>2</v>
      </c>
      <c r="B21">
        <v>10</v>
      </c>
      <c r="D21" s="4">
        <v>70</v>
      </c>
      <c r="E21" s="4">
        <v>80</v>
      </c>
      <c r="F21" s="4">
        <v>95</v>
      </c>
    </row>
    <row r="22" spans="1:6" x14ac:dyDescent="0.35">
      <c r="A22">
        <v>3</v>
      </c>
      <c r="B22">
        <v>1</v>
      </c>
      <c r="D22" s="4">
        <v>-30</v>
      </c>
      <c r="E22" s="4">
        <v>20</v>
      </c>
      <c r="F22" s="4">
        <v>250</v>
      </c>
    </row>
    <row r="23" spans="1:6" x14ac:dyDescent="0.35">
      <c r="A23">
        <v>3</v>
      </c>
      <c r="B23">
        <v>2</v>
      </c>
      <c r="D23" s="4">
        <v>-5</v>
      </c>
      <c r="E23" s="4">
        <v>10</v>
      </c>
      <c r="F23" s="4">
        <v>60</v>
      </c>
    </row>
    <row r="24" spans="1:6" x14ac:dyDescent="0.35">
      <c r="A24">
        <v>3</v>
      </c>
      <c r="B24">
        <v>3</v>
      </c>
      <c r="D24" s="4">
        <v>5</v>
      </c>
      <c r="E24" s="4">
        <v>15</v>
      </c>
      <c r="F24" s="4">
        <v>30</v>
      </c>
    </row>
    <row r="25" spans="1:6" x14ac:dyDescent="0.35">
      <c r="A25">
        <v>3</v>
      </c>
      <c r="B25">
        <v>4</v>
      </c>
      <c r="D25" s="4">
        <v>2</v>
      </c>
      <c r="E25" s="4">
        <v>6</v>
      </c>
      <c r="F25" s="4">
        <v>15</v>
      </c>
    </row>
    <row r="26" spans="1:6" x14ac:dyDescent="0.35">
      <c r="A26">
        <v>3</v>
      </c>
      <c r="B26">
        <v>5</v>
      </c>
      <c r="D26" s="4">
        <v>5</v>
      </c>
      <c r="E26" s="4">
        <v>40</v>
      </c>
      <c r="F26" s="4">
        <v>70</v>
      </c>
    </row>
    <row r="27" spans="1:6" x14ac:dyDescent="0.35">
      <c r="A27">
        <v>3</v>
      </c>
      <c r="B27">
        <v>6</v>
      </c>
      <c r="D27" s="4">
        <v>10</v>
      </c>
      <c r="E27" s="4">
        <v>30</v>
      </c>
      <c r="F27" s="4">
        <v>50</v>
      </c>
    </row>
    <row r="28" spans="1:6" x14ac:dyDescent="0.35">
      <c r="A28">
        <v>3</v>
      </c>
      <c r="B28">
        <v>7</v>
      </c>
      <c r="D28" s="4">
        <v>10</v>
      </c>
      <c r="E28" s="4">
        <v>30</v>
      </c>
      <c r="F28" s="4">
        <v>50</v>
      </c>
    </row>
    <row r="29" spans="1:6" x14ac:dyDescent="0.35">
      <c r="A29">
        <v>3</v>
      </c>
      <c r="B29">
        <v>8</v>
      </c>
      <c r="D29" s="4">
        <v>25</v>
      </c>
      <c r="E29" s="4">
        <v>50</v>
      </c>
      <c r="F29" s="4">
        <v>75</v>
      </c>
    </row>
    <row r="30" spans="1:6" x14ac:dyDescent="0.35">
      <c r="A30">
        <v>3</v>
      </c>
      <c r="B30">
        <v>9</v>
      </c>
      <c r="D30" s="4">
        <v>0.5</v>
      </c>
      <c r="E30" s="4">
        <v>1.1100000000000001</v>
      </c>
      <c r="F30" s="4">
        <v>2</v>
      </c>
    </row>
    <row r="31" spans="1:6" x14ac:dyDescent="0.35">
      <c r="A31">
        <v>3</v>
      </c>
      <c r="B31">
        <v>10</v>
      </c>
      <c r="D31" s="4">
        <v>80</v>
      </c>
      <c r="E31" s="4">
        <v>96</v>
      </c>
      <c r="F31" s="4">
        <v>100</v>
      </c>
    </row>
    <row r="32" spans="1:6" x14ac:dyDescent="0.35">
      <c r="A32">
        <v>4</v>
      </c>
      <c r="B32">
        <v>1</v>
      </c>
      <c r="D32" s="4">
        <v>47.23</v>
      </c>
      <c r="E32" s="4">
        <v>118.06</v>
      </c>
      <c r="F32" s="4">
        <v>188.9</v>
      </c>
    </row>
    <row r="33" spans="1:6" x14ac:dyDescent="0.35">
      <c r="A33">
        <v>4</v>
      </c>
      <c r="B33">
        <v>2</v>
      </c>
      <c r="D33" s="4">
        <v>21.18</v>
      </c>
      <c r="E33" s="4">
        <v>49.42</v>
      </c>
      <c r="F33" s="4">
        <v>70.599999999999994</v>
      </c>
    </row>
    <row r="34" spans="1:6" x14ac:dyDescent="0.35">
      <c r="A34">
        <v>4</v>
      </c>
      <c r="B34">
        <v>3</v>
      </c>
      <c r="D34" s="4">
        <v>3</v>
      </c>
      <c r="E34" s="4">
        <v>5</v>
      </c>
      <c r="F34" s="4">
        <v>10</v>
      </c>
    </row>
    <row r="35" spans="1:6" x14ac:dyDescent="0.35">
      <c r="A35">
        <v>4</v>
      </c>
      <c r="B35">
        <v>4</v>
      </c>
      <c r="D35" s="4">
        <v>3</v>
      </c>
      <c r="E35" s="4">
        <v>10</v>
      </c>
      <c r="F35" s="4">
        <v>13</v>
      </c>
    </row>
    <row r="36" spans="1:6" x14ac:dyDescent="0.35">
      <c r="A36">
        <v>4</v>
      </c>
      <c r="B36">
        <v>5</v>
      </c>
      <c r="D36" s="4">
        <v>20</v>
      </c>
      <c r="E36" s="4">
        <v>50</v>
      </c>
      <c r="F36" s="4">
        <v>70</v>
      </c>
    </row>
    <row r="37" spans="1:6" x14ac:dyDescent="0.35">
      <c r="A37">
        <v>4</v>
      </c>
      <c r="B37">
        <v>6</v>
      </c>
      <c r="D37" s="4">
        <v>10</v>
      </c>
      <c r="E37" s="4">
        <v>25</v>
      </c>
      <c r="F37" s="4">
        <v>35</v>
      </c>
    </row>
    <row r="38" spans="1:6" x14ac:dyDescent="0.35">
      <c r="A38">
        <v>4</v>
      </c>
      <c r="B38">
        <v>7</v>
      </c>
      <c r="D38" s="4">
        <v>20</v>
      </c>
      <c r="E38" s="4">
        <v>30</v>
      </c>
      <c r="F38" s="4">
        <v>40</v>
      </c>
    </row>
    <row r="39" spans="1:6" x14ac:dyDescent="0.35">
      <c r="A39">
        <v>4</v>
      </c>
      <c r="B39">
        <v>8</v>
      </c>
      <c r="D39" s="4">
        <v>45</v>
      </c>
      <c r="E39" s="4">
        <v>60</v>
      </c>
      <c r="F39" s="4">
        <v>70</v>
      </c>
    </row>
    <row r="40" spans="1:6" x14ac:dyDescent="0.35">
      <c r="A40">
        <v>4</v>
      </c>
      <c r="B40">
        <v>9</v>
      </c>
      <c r="D40" s="4">
        <v>1</v>
      </c>
      <c r="E40" s="4">
        <v>2</v>
      </c>
      <c r="F40" s="4">
        <v>4</v>
      </c>
    </row>
    <row r="41" spans="1:6" x14ac:dyDescent="0.35">
      <c r="A41">
        <v>4</v>
      </c>
      <c r="B41">
        <v>10</v>
      </c>
      <c r="D41" s="4">
        <v>25</v>
      </c>
      <c r="E41" s="4">
        <v>50</v>
      </c>
      <c r="F41" s="4">
        <v>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2"/>
  <dimension ref="A1:AA91"/>
  <sheetViews>
    <sheetView workbookViewId="0">
      <selection activeCell="E1" sqref="E1"/>
    </sheetView>
  </sheetViews>
  <sheetFormatPr defaultRowHeight="14.5" x14ac:dyDescent="0.35"/>
  <sheetData>
    <row r="1" spans="1:27" x14ac:dyDescent="0.35">
      <c r="A1" s="9" t="s">
        <v>35</v>
      </c>
      <c r="D1" s="21">
        <v>0.05</v>
      </c>
      <c r="E1" s="21">
        <v>0.5</v>
      </c>
      <c r="F1" s="21">
        <v>0.95</v>
      </c>
      <c r="G1" s="23"/>
      <c r="H1" s="24" t="s">
        <v>34</v>
      </c>
      <c r="I1" s="2"/>
      <c r="J1" s="5"/>
      <c r="K1" s="5"/>
      <c r="L1" s="5"/>
    </row>
    <row r="2" spans="1:27" x14ac:dyDescent="0.35">
      <c r="A2" s="9">
        <v>1</v>
      </c>
      <c r="B2" s="9">
        <v>1</v>
      </c>
      <c r="C2" s="9" t="s">
        <v>36</v>
      </c>
      <c r="D2" s="15">
        <v>500</v>
      </c>
      <c r="E2" s="15">
        <v>1500</v>
      </c>
      <c r="F2" s="15">
        <v>2500</v>
      </c>
      <c r="H2" s="15">
        <v>380</v>
      </c>
      <c r="J2" s="1"/>
      <c r="K2" s="1"/>
      <c r="AA2" s="7"/>
    </row>
    <row r="3" spans="1:27" x14ac:dyDescent="0.35">
      <c r="A3" s="9">
        <v>1</v>
      </c>
      <c r="B3" s="9">
        <v>2</v>
      </c>
      <c r="C3" s="9" t="s">
        <v>37</v>
      </c>
      <c r="D3" s="15">
        <v>250</v>
      </c>
      <c r="E3" s="15">
        <v>1250</v>
      </c>
      <c r="F3" s="15">
        <v>2500</v>
      </c>
      <c r="H3" s="15">
        <v>3000</v>
      </c>
      <c r="J3" s="1"/>
      <c r="K3" s="1"/>
      <c r="AA3" s="7"/>
    </row>
    <row r="4" spans="1:27" x14ac:dyDescent="0.35">
      <c r="A4" s="9">
        <v>1</v>
      </c>
      <c r="B4" s="9">
        <v>3</v>
      </c>
      <c r="C4" s="9" t="s">
        <v>38</v>
      </c>
      <c r="D4" s="15">
        <v>5</v>
      </c>
      <c r="E4" s="15">
        <v>10</v>
      </c>
      <c r="F4" s="15">
        <v>25</v>
      </c>
      <c r="H4" s="15">
        <v>110</v>
      </c>
      <c r="J4" s="1"/>
      <c r="K4" s="1"/>
      <c r="AA4" s="7"/>
    </row>
    <row r="5" spans="1:27" x14ac:dyDescent="0.35">
      <c r="A5" s="9">
        <v>1</v>
      </c>
      <c r="B5" s="9">
        <v>4</v>
      </c>
      <c r="C5" s="9" t="s">
        <v>39</v>
      </c>
      <c r="D5" s="15">
        <v>5</v>
      </c>
      <c r="E5" s="15">
        <v>10</v>
      </c>
      <c r="F5" s="15">
        <v>20</v>
      </c>
      <c r="H5" s="15">
        <v>12.61</v>
      </c>
      <c r="J5" s="1"/>
      <c r="K5" s="1"/>
      <c r="AA5" s="7"/>
    </row>
    <row r="6" spans="1:27" x14ac:dyDescent="0.35">
      <c r="A6" s="9">
        <v>1</v>
      </c>
      <c r="B6" s="9">
        <v>5</v>
      </c>
      <c r="C6" s="9" t="s">
        <v>40</v>
      </c>
      <c r="D6" s="15">
        <v>1.01</v>
      </c>
      <c r="E6" s="15">
        <v>1.1000000000000001</v>
      </c>
      <c r="F6" s="15">
        <v>1.2</v>
      </c>
      <c r="H6" s="15">
        <v>133</v>
      </c>
      <c r="J6" s="1"/>
      <c r="K6" s="1"/>
      <c r="AA6" s="7"/>
    </row>
    <row r="7" spans="1:27" x14ac:dyDescent="0.35">
      <c r="A7" s="9">
        <v>1</v>
      </c>
      <c r="B7" s="9">
        <v>6</v>
      </c>
      <c r="C7" s="9" t="s">
        <v>41</v>
      </c>
      <c r="D7" s="15">
        <v>100</v>
      </c>
      <c r="E7" s="15">
        <v>1500</v>
      </c>
      <c r="F7" s="15">
        <v>2500</v>
      </c>
      <c r="H7" s="15">
        <v>367</v>
      </c>
      <c r="AA7" s="7"/>
    </row>
    <row r="8" spans="1:27" x14ac:dyDescent="0.35">
      <c r="A8" s="9">
        <v>1</v>
      </c>
      <c r="B8" s="9">
        <v>7</v>
      </c>
      <c r="C8" s="9" t="s">
        <v>42</v>
      </c>
      <c r="D8" s="15">
        <v>2</v>
      </c>
      <c r="E8" s="15">
        <v>5</v>
      </c>
      <c r="F8" s="15">
        <v>10</v>
      </c>
      <c r="H8" s="15">
        <v>29</v>
      </c>
      <c r="AA8" s="7"/>
    </row>
    <row r="9" spans="1:27" x14ac:dyDescent="0.35">
      <c r="A9" s="9">
        <v>1</v>
      </c>
      <c r="B9" s="9">
        <v>8</v>
      </c>
      <c r="C9" s="9" t="s">
        <v>43</v>
      </c>
      <c r="D9" s="15">
        <v>7</v>
      </c>
      <c r="E9" s="15">
        <v>10</v>
      </c>
      <c r="F9" s="15">
        <v>15</v>
      </c>
      <c r="H9" s="15">
        <v>3.8</v>
      </c>
      <c r="AA9" s="7"/>
    </row>
    <row r="10" spans="1:27" x14ac:dyDescent="0.35">
      <c r="A10" s="9">
        <v>1</v>
      </c>
      <c r="B10" s="9">
        <v>9</v>
      </c>
      <c r="C10" s="9" t="s">
        <v>44</v>
      </c>
      <c r="D10" s="15">
        <v>1</v>
      </c>
      <c r="E10" s="15">
        <v>1.5</v>
      </c>
      <c r="F10" s="15">
        <v>4</v>
      </c>
      <c r="H10" s="15">
        <v>3.4</v>
      </c>
      <c r="AA10" s="7"/>
    </row>
    <row r="11" spans="1:27" x14ac:dyDescent="0.35">
      <c r="A11" s="9">
        <v>1</v>
      </c>
      <c r="B11" s="9">
        <v>10</v>
      </c>
      <c r="C11" s="9" t="s">
        <v>45</v>
      </c>
      <c r="D11" s="15">
        <v>2</v>
      </c>
      <c r="E11" s="15">
        <v>5</v>
      </c>
      <c r="F11" s="15">
        <v>7</v>
      </c>
      <c r="H11" s="15">
        <v>6.61</v>
      </c>
      <c r="AA11" s="7"/>
    </row>
    <row r="12" spans="1:27" x14ac:dyDescent="0.35">
      <c r="A12" s="9">
        <v>2</v>
      </c>
      <c r="B12" s="9">
        <v>1</v>
      </c>
      <c r="C12" s="9" t="s">
        <v>36</v>
      </c>
      <c r="D12" s="15">
        <v>600</v>
      </c>
      <c r="E12" s="15">
        <v>800</v>
      </c>
      <c r="F12" s="15">
        <v>1200</v>
      </c>
      <c r="S12" s="7"/>
    </row>
    <row r="13" spans="1:27" x14ac:dyDescent="0.35">
      <c r="A13" s="9">
        <v>2</v>
      </c>
      <c r="B13" s="9">
        <v>2</v>
      </c>
      <c r="C13" s="9" t="s">
        <v>37</v>
      </c>
      <c r="D13" s="15">
        <v>40</v>
      </c>
      <c r="E13" s="15">
        <v>100</v>
      </c>
      <c r="F13" s="15">
        <v>200</v>
      </c>
      <c r="S13" s="7"/>
    </row>
    <row r="14" spans="1:27" x14ac:dyDescent="0.35">
      <c r="A14" s="9">
        <v>2</v>
      </c>
      <c r="B14" s="9">
        <v>3</v>
      </c>
      <c r="C14" s="9" t="s">
        <v>38</v>
      </c>
      <c r="D14" s="15">
        <v>30</v>
      </c>
      <c r="E14" s="15">
        <v>50</v>
      </c>
      <c r="F14" s="15">
        <v>1000</v>
      </c>
      <c r="S14" s="7"/>
    </row>
    <row r="15" spans="1:27" x14ac:dyDescent="0.35">
      <c r="A15" s="9">
        <v>2</v>
      </c>
      <c r="B15" s="9">
        <v>4</v>
      </c>
      <c r="C15" s="9" t="s">
        <v>39</v>
      </c>
      <c r="D15" s="15">
        <v>1.2</v>
      </c>
      <c r="E15" s="15">
        <v>2</v>
      </c>
      <c r="F15" s="15">
        <v>4</v>
      </c>
      <c r="S15" s="7"/>
    </row>
    <row r="16" spans="1:27" x14ac:dyDescent="0.35">
      <c r="A16" s="9">
        <v>2</v>
      </c>
      <c r="B16" s="9">
        <v>5</v>
      </c>
      <c r="C16" s="9" t="s">
        <v>40</v>
      </c>
      <c r="D16" s="15">
        <v>1.5</v>
      </c>
      <c r="E16" s="15">
        <v>2</v>
      </c>
      <c r="F16" s="15">
        <v>4</v>
      </c>
      <c r="S16" s="7"/>
    </row>
    <row r="17" spans="1:19" x14ac:dyDescent="0.35">
      <c r="A17" s="9">
        <v>2</v>
      </c>
      <c r="B17" s="9">
        <v>6</v>
      </c>
      <c r="C17" s="9" t="s">
        <v>41</v>
      </c>
      <c r="D17" s="15">
        <v>500</v>
      </c>
      <c r="E17" s="15">
        <v>1000</v>
      </c>
      <c r="F17" s="15">
        <v>1800</v>
      </c>
      <c r="S17" s="7"/>
    </row>
    <row r="18" spans="1:19" x14ac:dyDescent="0.35">
      <c r="A18" s="9">
        <v>2</v>
      </c>
      <c r="B18" s="9">
        <v>7</v>
      </c>
      <c r="C18" s="9" t="s">
        <v>42</v>
      </c>
      <c r="D18" s="15">
        <v>2</v>
      </c>
      <c r="E18" s="15">
        <v>5</v>
      </c>
      <c r="F18" s="15">
        <v>10</v>
      </c>
      <c r="S18" s="7"/>
    </row>
    <row r="19" spans="1:19" x14ac:dyDescent="0.35">
      <c r="A19" s="9">
        <v>2</v>
      </c>
      <c r="B19" s="9">
        <v>8</v>
      </c>
      <c r="C19" s="9" t="s">
        <v>43</v>
      </c>
      <c r="D19" s="15">
        <v>2</v>
      </c>
      <c r="E19" s="15">
        <v>3</v>
      </c>
      <c r="F19" s="15">
        <v>5</v>
      </c>
      <c r="S19" s="7"/>
    </row>
    <row r="20" spans="1:19" x14ac:dyDescent="0.35">
      <c r="A20" s="9">
        <v>2</v>
      </c>
      <c r="B20" s="9">
        <v>9</v>
      </c>
      <c r="C20" s="9" t="s">
        <v>44</v>
      </c>
      <c r="D20" s="15">
        <v>1</v>
      </c>
      <c r="E20" s="15">
        <v>1.5</v>
      </c>
      <c r="F20" s="15">
        <v>4</v>
      </c>
      <c r="S20" s="7"/>
    </row>
    <row r="21" spans="1:19" x14ac:dyDescent="0.35">
      <c r="A21" s="9">
        <v>2</v>
      </c>
      <c r="B21" s="9">
        <v>10</v>
      </c>
      <c r="C21" s="9" t="s">
        <v>45</v>
      </c>
      <c r="D21" s="15">
        <v>1</v>
      </c>
      <c r="E21" s="15">
        <v>3</v>
      </c>
      <c r="F21" s="15">
        <v>10</v>
      </c>
      <c r="S21" s="7"/>
    </row>
    <row r="22" spans="1:19" x14ac:dyDescent="0.35">
      <c r="A22" s="9">
        <v>3</v>
      </c>
      <c r="B22" s="9">
        <v>1</v>
      </c>
      <c r="C22" s="9" t="s">
        <v>36</v>
      </c>
      <c r="D22" s="15">
        <v>375</v>
      </c>
      <c r="E22" s="15">
        <v>380</v>
      </c>
      <c r="F22" s="15">
        <v>385</v>
      </c>
      <c r="S22" s="7"/>
    </row>
    <row r="23" spans="1:19" x14ac:dyDescent="0.35">
      <c r="A23" s="9">
        <v>3</v>
      </c>
      <c r="B23" s="9">
        <v>2</v>
      </c>
      <c r="C23" s="9" t="s">
        <v>37</v>
      </c>
      <c r="D23" s="15">
        <v>50</v>
      </c>
      <c r="E23" s="15">
        <v>130</v>
      </c>
      <c r="F23" s="15">
        <v>500</v>
      </c>
      <c r="S23" s="7"/>
    </row>
    <row r="24" spans="1:19" x14ac:dyDescent="0.35">
      <c r="A24" s="9">
        <v>3</v>
      </c>
      <c r="B24" s="9">
        <v>3</v>
      </c>
      <c r="C24" s="9" t="s">
        <v>38</v>
      </c>
      <c r="D24" s="15">
        <v>20</v>
      </c>
      <c r="E24" s="15">
        <v>100</v>
      </c>
      <c r="F24" s="15">
        <v>3000</v>
      </c>
      <c r="S24" s="7"/>
    </row>
    <row r="25" spans="1:19" x14ac:dyDescent="0.35">
      <c r="A25" s="9">
        <v>3</v>
      </c>
      <c r="B25" s="9">
        <v>4</v>
      </c>
      <c r="C25" s="9" t="s">
        <v>39</v>
      </c>
      <c r="D25" s="15">
        <v>1.5</v>
      </c>
      <c r="E25" s="15">
        <v>4</v>
      </c>
      <c r="F25" s="15">
        <v>10</v>
      </c>
      <c r="S25" s="7"/>
    </row>
    <row r="26" spans="1:19" x14ac:dyDescent="0.35">
      <c r="A26" s="9">
        <v>3</v>
      </c>
      <c r="B26" s="9">
        <v>5</v>
      </c>
      <c r="C26" s="9" t="s">
        <v>40</v>
      </c>
      <c r="D26" s="15">
        <v>1</v>
      </c>
      <c r="E26" s="15">
        <v>2</v>
      </c>
      <c r="F26" s="15">
        <v>3.5</v>
      </c>
      <c r="S26" s="7"/>
    </row>
    <row r="27" spans="1:19" x14ac:dyDescent="0.35">
      <c r="A27" s="9">
        <v>3</v>
      </c>
      <c r="B27" s="9">
        <v>6</v>
      </c>
      <c r="C27" s="9" t="s">
        <v>41</v>
      </c>
      <c r="D27" s="15">
        <v>25</v>
      </c>
      <c r="E27" s="15">
        <v>80</v>
      </c>
      <c r="F27" s="15">
        <v>180</v>
      </c>
      <c r="S27" s="7"/>
    </row>
    <row r="28" spans="1:19" x14ac:dyDescent="0.35">
      <c r="A28" s="9">
        <v>3</v>
      </c>
      <c r="B28" s="9">
        <v>7</v>
      </c>
      <c r="C28" s="9" t="s">
        <v>42</v>
      </c>
      <c r="D28" s="15">
        <v>3</v>
      </c>
      <c r="E28" s="15">
        <v>8</v>
      </c>
      <c r="F28" s="15">
        <v>12</v>
      </c>
      <c r="S28" s="7"/>
    </row>
    <row r="29" spans="1:19" x14ac:dyDescent="0.35">
      <c r="A29" s="9">
        <v>3</v>
      </c>
      <c r="B29" s="9">
        <v>8</v>
      </c>
      <c r="C29" s="9" t="s">
        <v>43</v>
      </c>
      <c r="D29" s="15">
        <v>3</v>
      </c>
      <c r="E29" s="15">
        <v>6</v>
      </c>
      <c r="F29" s="15">
        <v>12</v>
      </c>
      <c r="S29" s="7"/>
    </row>
    <row r="30" spans="1:19" x14ac:dyDescent="0.35">
      <c r="A30" s="9">
        <v>3</v>
      </c>
      <c r="B30" s="9">
        <v>9</v>
      </c>
      <c r="C30" s="9" t="s">
        <v>44</v>
      </c>
      <c r="D30" s="15">
        <v>1</v>
      </c>
      <c r="E30" s="15">
        <v>1.5</v>
      </c>
      <c r="F30" s="15">
        <v>3</v>
      </c>
      <c r="S30" s="7"/>
    </row>
    <row r="31" spans="1:19" x14ac:dyDescent="0.35">
      <c r="A31" s="9">
        <v>3</v>
      </c>
      <c r="B31" s="9">
        <v>10</v>
      </c>
      <c r="C31" s="9" t="s">
        <v>45</v>
      </c>
      <c r="D31" s="15">
        <v>1</v>
      </c>
      <c r="E31" s="15">
        <v>3</v>
      </c>
      <c r="F31" s="15">
        <v>8</v>
      </c>
      <c r="S31" s="7"/>
    </row>
    <row r="32" spans="1:19" x14ac:dyDescent="0.35">
      <c r="A32" s="9">
        <v>4</v>
      </c>
      <c r="B32" s="9">
        <v>1</v>
      </c>
      <c r="C32" s="9" t="s">
        <v>36</v>
      </c>
      <c r="D32" s="15">
        <v>300</v>
      </c>
      <c r="E32" s="15">
        <v>1000</v>
      </c>
      <c r="F32" s="15">
        <v>2500</v>
      </c>
      <c r="S32" s="7"/>
    </row>
    <row r="33" spans="1:19" x14ac:dyDescent="0.35">
      <c r="A33" s="9">
        <v>4</v>
      </c>
      <c r="B33" s="9">
        <v>2</v>
      </c>
      <c r="C33" s="9" t="s">
        <v>37</v>
      </c>
      <c r="D33" s="15">
        <v>50</v>
      </c>
      <c r="E33" s="15">
        <v>500</v>
      </c>
      <c r="F33" s="15">
        <v>1000</v>
      </c>
      <c r="S33" s="7"/>
    </row>
    <row r="34" spans="1:19" x14ac:dyDescent="0.35">
      <c r="A34" s="9">
        <v>4</v>
      </c>
      <c r="B34" s="9">
        <v>3</v>
      </c>
      <c r="C34" s="9" t="s">
        <v>38</v>
      </c>
      <c r="D34" s="15">
        <v>40</v>
      </c>
      <c r="E34" s="15">
        <v>100</v>
      </c>
      <c r="F34" s="15">
        <v>400</v>
      </c>
    </row>
    <row r="35" spans="1:19" x14ac:dyDescent="0.35">
      <c r="A35" s="9">
        <v>4</v>
      </c>
      <c r="B35" s="9">
        <v>4</v>
      </c>
      <c r="C35" s="9" t="s">
        <v>39</v>
      </c>
      <c r="D35" s="15">
        <v>12</v>
      </c>
      <c r="E35" s="15">
        <v>15</v>
      </c>
      <c r="F35" s="15">
        <v>30</v>
      </c>
    </row>
    <row r="36" spans="1:19" x14ac:dyDescent="0.35">
      <c r="A36" s="9">
        <v>4</v>
      </c>
      <c r="B36" s="9">
        <v>5</v>
      </c>
      <c r="C36" s="9" t="s">
        <v>40</v>
      </c>
      <c r="D36" s="15">
        <v>5</v>
      </c>
      <c r="E36" s="15">
        <v>25</v>
      </c>
      <c r="F36" s="15">
        <v>50</v>
      </c>
    </row>
    <row r="37" spans="1:19" x14ac:dyDescent="0.35">
      <c r="A37" s="9">
        <v>4</v>
      </c>
      <c r="B37" s="9">
        <v>6</v>
      </c>
      <c r="C37" s="9" t="s">
        <v>41</v>
      </c>
      <c r="D37" s="15">
        <v>200</v>
      </c>
      <c r="E37" s="15">
        <v>2000</v>
      </c>
      <c r="F37" s="15">
        <v>20000</v>
      </c>
    </row>
    <row r="38" spans="1:19" x14ac:dyDescent="0.35">
      <c r="A38" s="9">
        <v>4</v>
      </c>
      <c r="B38" s="9">
        <v>7</v>
      </c>
      <c r="C38" s="9" t="s">
        <v>42</v>
      </c>
      <c r="D38" s="15">
        <v>0.01</v>
      </c>
      <c r="E38" s="15">
        <v>0.1</v>
      </c>
      <c r="F38" s="15">
        <v>1</v>
      </c>
    </row>
    <row r="39" spans="1:19" x14ac:dyDescent="0.35">
      <c r="A39" s="9">
        <v>4</v>
      </c>
      <c r="B39" s="9">
        <v>8</v>
      </c>
      <c r="C39" s="9" t="s">
        <v>43</v>
      </c>
      <c r="D39" s="15">
        <v>4</v>
      </c>
      <c r="E39" s="15">
        <v>5</v>
      </c>
      <c r="F39" s="15">
        <v>10</v>
      </c>
    </row>
    <row r="40" spans="1:19" x14ac:dyDescent="0.35">
      <c r="A40" s="9">
        <v>4</v>
      </c>
      <c r="B40" s="9">
        <v>9</v>
      </c>
      <c r="C40" s="9" t="s">
        <v>44</v>
      </c>
      <c r="D40" s="15">
        <v>2.2000000000000002</v>
      </c>
      <c r="E40" s="15">
        <v>3.2</v>
      </c>
      <c r="F40" s="15">
        <v>3.7</v>
      </c>
    </row>
    <row r="41" spans="1:19" x14ac:dyDescent="0.35">
      <c r="A41" s="9">
        <v>4</v>
      </c>
      <c r="B41" s="9">
        <v>10</v>
      </c>
      <c r="C41" s="9" t="s">
        <v>45</v>
      </c>
      <c r="D41" s="15">
        <v>2</v>
      </c>
      <c r="E41" s="15">
        <v>3</v>
      </c>
      <c r="F41" s="15">
        <v>5</v>
      </c>
    </row>
    <row r="42" spans="1:19" x14ac:dyDescent="0.35">
      <c r="A42" s="9">
        <v>5</v>
      </c>
      <c r="B42" s="9">
        <v>1</v>
      </c>
      <c r="C42" s="9" t="s">
        <v>36</v>
      </c>
      <c r="D42" s="15">
        <v>320</v>
      </c>
      <c r="E42" s="15">
        <v>350</v>
      </c>
      <c r="F42" s="15">
        <v>400</v>
      </c>
    </row>
    <row r="43" spans="1:19" x14ac:dyDescent="0.35">
      <c r="A43" s="9">
        <v>5</v>
      </c>
      <c r="B43" s="9">
        <v>2</v>
      </c>
      <c r="C43" s="9" t="s">
        <v>37</v>
      </c>
      <c r="D43" s="15">
        <v>10</v>
      </c>
      <c r="E43" s="15">
        <v>50</v>
      </c>
      <c r="F43" s="15">
        <v>500</v>
      </c>
    </row>
    <row r="44" spans="1:19" x14ac:dyDescent="0.35">
      <c r="A44" s="9">
        <v>5</v>
      </c>
      <c r="B44" s="9">
        <v>3</v>
      </c>
      <c r="C44" s="9" t="s">
        <v>38</v>
      </c>
      <c r="D44" s="15">
        <v>10</v>
      </c>
      <c r="E44" s="15">
        <v>100</v>
      </c>
      <c r="F44" s="15">
        <v>1200</v>
      </c>
    </row>
    <row r="45" spans="1:19" x14ac:dyDescent="0.35">
      <c r="A45" s="9">
        <v>5</v>
      </c>
      <c r="B45" s="9">
        <v>4</v>
      </c>
      <c r="C45" s="9" t="s">
        <v>39</v>
      </c>
      <c r="D45" s="15">
        <v>10</v>
      </c>
      <c r="E45" s="15">
        <v>20</v>
      </c>
      <c r="F45" s="15">
        <v>50</v>
      </c>
    </row>
    <row r="46" spans="1:19" x14ac:dyDescent="0.35">
      <c r="A46" s="9">
        <v>5</v>
      </c>
      <c r="B46" s="9">
        <v>5</v>
      </c>
      <c r="C46" s="9" t="s">
        <v>40</v>
      </c>
      <c r="D46" s="15">
        <v>0.05</v>
      </c>
      <c r="E46" s="15">
        <v>1</v>
      </c>
      <c r="F46" s="15">
        <v>20</v>
      </c>
    </row>
    <row r="47" spans="1:19" x14ac:dyDescent="0.35">
      <c r="A47" s="9">
        <v>5</v>
      </c>
      <c r="B47" s="9">
        <v>6</v>
      </c>
      <c r="C47" s="9" t="s">
        <v>41</v>
      </c>
      <c r="D47" s="15">
        <v>20</v>
      </c>
      <c r="E47" s="15">
        <v>500</v>
      </c>
      <c r="F47" s="15">
        <v>2000</v>
      </c>
    </row>
    <row r="48" spans="1:19" x14ac:dyDescent="0.35">
      <c r="A48" s="9">
        <v>5</v>
      </c>
      <c r="B48" s="9">
        <v>7</v>
      </c>
      <c r="C48" s="9" t="s">
        <v>42</v>
      </c>
      <c r="D48" s="15">
        <v>1.0000000000000001E-5</v>
      </c>
      <c r="E48" s="15">
        <v>1E-3</v>
      </c>
      <c r="F48" s="15">
        <v>0.01</v>
      </c>
    </row>
    <row r="49" spans="1:6" x14ac:dyDescent="0.35">
      <c r="A49" s="9">
        <v>5</v>
      </c>
      <c r="B49" s="9">
        <v>8</v>
      </c>
      <c r="C49" s="9" t="s">
        <v>43</v>
      </c>
      <c r="D49" s="15">
        <v>1.01</v>
      </c>
      <c r="E49" s="15">
        <v>2</v>
      </c>
      <c r="F49" s="15">
        <v>10</v>
      </c>
    </row>
    <row r="50" spans="1:6" x14ac:dyDescent="0.35">
      <c r="A50" s="9">
        <v>5</v>
      </c>
      <c r="B50" s="9">
        <v>9</v>
      </c>
      <c r="C50" s="9" t="s">
        <v>44</v>
      </c>
      <c r="D50" s="15">
        <v>0.5</v>
      </c>
      <c r="E50" s="15">
        <v>1.5</v>
      </c>
      <c r="F50" s="15">
        <v>5</v>
      </c>
    </row>
    <row r="51" spans="1:6" x14ac:dyDescent="0.35">
      <c r="A51" s="9">
        <v>5</v>
      </c>
      <c r="B51" s="9">
        <v>10</v>
      </c>
      <c r="C51" s="9" t="s">
        <v>45</v>
      </c>
      <c r="D51" s="15">
        <v>1</v>
      </c>
      <c r="E51" s="15">
        <v>2</v>
      </c>
      <c r="F51" s="15">
        <v>8</v>
      </c>
    </row>
    <row r="52" spans="1:6" x14ac:dyDescent="0.35">
      <c r="A52" s="9">
        <v>6</v>
      </c>
      <c r="B52" s="9">
        <v>1</v>
      </c>
      <c r="C52" s="9" t="s">
        <v>36</v>
      </c>
      <c r="D52" s="15">
        <v>380</v>
      </c>
      <c r="E52" s="15">
        <v>410</v>
      </c>
      <c r="F52" s="15">
        <v>550</v>
      </c>
    </row>
    <row r="53" spans="1:6" x14ac:dyDescent="0.35">
      <c r="A53" s="9">
        <v>6</v>
      </c>
      <c r="B53" s="9">
        <v>2</v>
      </c>
      <c r="C53" s="9" t="s">
        <v>37</v>
      </c>
      <c r="D53" s="15">
        <v>350</v>
      </c>
      <c r="E53" s="15">
        <v>500</v>
      </c>
      <c r="F53" s="15">
        <v>650</v>
      </c>
    </row>
    <row r="54" spans="1:6" x14ac:dyDescent="0.35">
      <c r="A54" s="9">
        <v>6</v>
      </c>
      <c r="B54" s="9">
        <v>3</v>
      </c>
      <c r="C54" s="9" t="s">
        <v>38</v>
      </c>
      <c r="D54" s="15">
        <v>5</v>
      </c>
      <c r="E54" s="15">
        <v>10</v>
      </c>
      <c r="F54" s="15">
        <v>20</v>
      </c>
    </row>
    <row r="55" spans="1:6" x14ac:dyDescent="0.35">
      <c r="A55" s="9">
        <v>6</v>
      </c>
      <c r="B55" s="9">
        <v>4</v>
      </c>
      <c r="C55" s="9" t="s">
        <v>39</v>
      </c>
      <c r="D55" s="15">
        <v>5</v>
      </c>
      <c r="E55" s="15">
        <v>10</v>
      </c>
      <c r="F55" s="15">
        <v>15</v>
      </c>
    </row>
    <row r="56" spans="1:6" x14ac:dyDescent="0.35">
      <c r="A56" s="9">
        <v>6</v>
      </c>
      <c r="B56" s="9">
        <v>5</v>
      </c>
      <c r="C56" s="9" t="s">
        <v>40</v>
      </c>
      <c r="D56" s="15">
        <v>1.3</v>
      </c>
      <c r="E56" s="15">
        <v>2</v>
      </c>
      <c r="F56" s="15">
        <v>2.5</v>
      </c>
    </row>
    <row r="57" spans="1:6" x14ac:dyDescent="0.35">
      <c r="A57" s="9">
        <v>6</v>
      </c>
      <c r="B57" s="9">
        <v>6</v>
      </c>
      <c r="C57" s="9" t="s">
        <v>41</v>
      </c>
      <c r="D57" s="15">
        <v>2000</v>
      </c>
      <c r="E57" s="15">
        <v>5000</v>
      </c>
      <c r="F57" s="15">
        <v>10000</v>
      </c>
    </row>
    <row r="58" spans="1:6" x14ac:dyDescent="0.35">
      <c r="A58" s="9">
        <v>6</v>
      </c>
      <c r="B58" s="9">
        <v>7</v>
      </c>
      <c r="C58" s="9" t="s">
        <v>42</v>
      </c>
      <c r="D58" s="15">
        <v>5</v>
      </c>
      <c r="E58" s="15">
        <v>6</v>
      </c>
      <c r="F58" s="15">
        <v>10</v>
      </c>
    </row>
    <row r="59" spans="1:6" x14ac:dyDescent="0.35">
      <c r="A59" s="9">
        <v>6</v>
      </c>
      <c r="B59" s="9">
        <v>8</v>
      </c>
      <c r="C59" s="9" t="s">
        <v>43</v>
      </c>
      <c r="D59" s="15">
        <v>1.5</v>
      </c>
      <c r="E59" s="15">
        <v>3</v>
      </c>
      <c r="F59" s="15">
        <v>5</v>
      </c>
    </row>
    <row r="60" spans="1:6" x14ac:dyDescent="0.35">
      <c r="A60" s="9">
        <v>6</v>
      </c>
      <c r="B60" s="9">
        <v>9</v>
      </c>
      <c r="C60" s="9" t="s">
        <v>44</v>
      </c>
      <c r="D60" s="15">
        <v>1.2</v>
      </c>
      <c r="E60" s="15">
        <v>3</v>
      </c>
      <c r="F60" s="15">
        <v>4.8</v>
      </c>
    </row>
    <row r="61" spans="1:6" x14ac:dyDescent="0.35">
      <c r="A61" s="9">
        <v>6</v>
      </c>
      <c r="B61" s="9">
        <v>10</v>
      </c>
      <c r="C61" s="9" t="s">
        <v>45</v>
      </c>
      <c r="D61" s="15">
        <v>1</v>
      </c>
      <c r="E61" s="15">
        <v>1.5</v>
      </c>
      <c r="F61" s="15">
        <v>10</v>
      </c>
    </row>
    <row r="62" spans="1:6" x14ac:dyDescent="0.35">
      <c r="A62" s="9">
        <v>7</v>
      </c>
      <c r="B62" s="9">
        <v>1</v>
      </c>
      <c r="C62" s="9" t="s">
        <v>36</v>
      </c>
      <c r="D62" s="15">
        <v>300</v>
      </c>
      <c r="E62" s="15">
        <v>500</v>
      </c>
      <c r="F62" s="15">
        <v>2000</v>
      </c>
    </row>
    <row r="63" spans="1:6" x14ac:dyDescent="0.35">
      <c r="A63" s="9">
        <v>7</v>
      </c>
      <c r="B63" s="9">
        <v>2</v>
      </c>
      <c r="C63" s="9" t="s">
        <v>37</v>
      </c>
      <c r="D63" s="15">
        <v>1</v>
      </c>
      <c r="E63" s="15">
        <v>20</v>
      </c>
      <c r="F63" s="15">
        <v>99</v>
      </c>
    </row>
    <row r="64" spans="1:6" x14ac:dyDescent="0.35">
      <c r="A64" s="9">
        <v>7</v>
      </c>
      <c r="B64" s="9">
        <v>3</v>
      </c>
      <c r="C64" s="9" t="s">
        <v>38</v>
      </c>
      <c r="D64" s="15">
        <v>1</v>
      </c>
      <c r="E64" s="15">
        <v>10</v>
      </c>
      <c r="F64" s="15">
        <v>30</v>
      </c>
    </row>
    <row r="65" spans="1:6" x14ac:dyDescent="0.35">
      <c r="A65" s="9">
        <v>7</v>
      </c>
      <c r="B65" s="9">
        <v>4</v>
      </c>
      <c r="C65" s="9" t="s">
        <v>39</v>
      </c>
      <c r="D65" s="15">
        <v>0.5</v>
      </c>
      <c r="E65" s="15">
        <v>8</v>
      </c>
      <c r="F65" s="15">
        <v>20</v>
      </c>
    </row>
    <row r="66" spans="1:6" x14ac:dyDescent="0.35">
      <c r="A66" s="9">
        <v>7</v>
      </c>
      <c r="B66" s="9">
        <v>5</v>
      </c>
      <c r="C66" s="9" t="s">
        <v>40</v>
      </c>
      <c r="D66" s="15">
        <v>1.1000000000000001</v>
      </c>
      <c r="E66" s="15">
        <v>3</v>
      </c>
      <c r="F66" s="15">
        <v>10</v>
      </c>
    </row>
    <row r="67" spans="1:6" x14ac:dyDescent="0.35">
      <c r="A67" s="9">
        <v>7</v>
      </c>
      <c r="B67" s="9">
        <v>6</v>
      </c>
      <c r="C67" s="9" t="s">
        <v>41</v>
      </c>
      <c r="D67" s="15">
        <v>500000</v>
      </c>
      <c r="E67" s="15">
        <v>2000000</v>
      </c>
      <c r="F67" s="15">
        <v>25000000</v>
      </c>
    </row>
    <row r="68" spans="1:6" x14ac:dyDescent="0.35">
      <c r="A68" s="9">
        <v>7</v>
      </c>
      <c r="B68" s="9">
        <v>7</v>
      </c>
      <c r="C68" s="9" t="s">
        <v>42</v>
      </c>
      <c r="D68" s="15">
        <v>1E-3</v>
      </c>
      <c r="E68" s="15">
        <v>1.1000000000000001</v>
      </c>
      <c r="F68" s="15">
        <v>20</v>
      </c>
    </row>
    <row r="69" spans="1:6" x14ac:dyDescent="0.35">
      <c r="A69" s="9">
        <v>7</v>
      </c>
      <c r="B69" s="9">
        <v>8</v>
      </c>
      <c r="C69" s="9" t="s">
        <v>43</v>
      </c>
      <c r="D69" s="15">
        <v>1.5</v>
      </c>
      <c r="E69" s="15">
        <v>10</v>
      </c>
      <c r="F69" s="15">
        <v>25</v>
      </c>
    </row>
    <row r="70" spans="1:6" x14ac:dyDescent="0.35">
      <c r="A70" s="9">
        <v>7</v>
      </c>
      <c r="B70" s="9">
        <v>9</v>
      </c>
      <c r="C70" s="9" t="s">
        <v>44</v>
      </c>
      <c r="D70" s="15">
        <v>1</v>
      </c>
      <c r="E70" s="15">
        <v>1.2</v>
      </c>
      <c r="F70" s="15">
        <v>1.8</v>
      </c>
    </row>
    <row r="71" spans="1:6" x14ac:dyDescent="0.35">
      <c r="A71" s="9">
        <v>7</v>
      </c>
      <c r="B71" s="9">
        <v>10</v>
      </c>
      <c r="C71" s="9" t="s">
        <v>45</v>
      </c>
      <c r="D71" s="15">
        <v>1</v>
      </c>
      <c r="E71" s="15">
        <v>2</v>
      </c>
      <c r="F71" s="15">
        <v>10</v>
      </c>
    </row>
    <row r="72" spans="1:6" x14ac:dyDescent="0.35">
      <c r="A72" s="9">
        <v>8</v>
      </c>
      <c r="B72" s="9">
        <v>1</v>
      </c>
      <c r="C72" s="9" t="s">
        <v>36</v>
      </c>
      <c r="D72" s="15">
        <v>330</v>
      </c>
      <c r="E72" s="15">
        <v>380</v>
      </c>
      <c r="F72" s="15">
        <v>600</v>
      </c>
    </row>
    <row r="73" spans="1:6" x14ac:dyDescent="0.35">
      <c r="A73" s="9">
        <v>8</v>
      </c>
      <c r="B73" s="9">
        <v>2</v>
      </c>
      <c r="C73" s="9" t="s">
        <v>37</v>
      </c>
      <c r="D73" s="15">
        <v>10</v>
      </c>
      <c r="E73" s="15">
        <v>120</v>
      </c>
      <c r="F73" s="15">
        <v>1000</v>
      </c>
    </row>
    <row r="74" spans="1:6" x14ac:dyDescent="0.35">
      <c r="A74" s="9">
        <v>8</v>
      </c>
      <c r="B74" s="9">
        <v>3</v>
      </c>
      <c r="C74" s="9" t="s">
        <v>38</v>
      </c>
      <c r="D74" s="15">
        <v>30</v>
      </c>
      <c r="E74" s="15">
        <v>100</v>
      </c>
      <c r="F74" s="15">
        <v>400</v>
      </c>
    </row>
    <row r="75" spans="1:6" x14ac:dyDescent="0.35">
      <c r="A75" s="9">
        <v>8</v>
      </c>
      <c r="B75" s="9">
        <v>4</v>
      </c>
      <c r="C75" s="9" t="s">
        <v>39</v>
      </c>
      <c r="D75" s="15">
        <v>3</v>
      </c>
      <c r="E75" s="15">
        <v>4</v>
      </c>
      <c r="F75" s="15">
        <v>8</v>
      </c>
    </row>
    <row r="76" spans="1:6" x14ac:dyDescent="0.35">
      <c r="A76" s="9">
        <v>8</v>
      </c>
      <c r="B76" s="9">
        <v>5</v>
      </c>
      <c r="C76" s="9" t="s">
        <v>40</v>
      </c>
      <c r="D76" s="15">
        <v>0.5</v>
      </c>
      <c r="E76" s="15">
        <v>5</v>
      </c>
      <c r="F76" s="15">
        <v>20</v>
      </c>
    </row>
    <row r="77" spans="1:6" x14ac:dyDescent="0.35">
      <c r="A77" s="9">
        <v>8</v>
      </c>
      <c r="B77" s="9">
        <v>6</v>
      </c>
      <c r="C77" s="9" t="s">
        <v>41</v>
      </c>
      <c r="D77" s="15">
        <v>1000</v>
      </c>
      <c r="E77" s="15">
        <v>3000</v>
      </c>
      <c r="F77" s="15">
        <v>10000</v>
      </c>
    </row>
    <row r="78" spans="1:6" x14ac:dyDescent="0.35">
      <c r="A78" s="9">
        <v>8</v>
      </c>
      <c r="B78" s="9">
        <v>7</v>
      </c>
      <c r="C78" s="9" t="s">
        <v>42</v>
      </c>
      <c r="D78" s="15">
        <v>0.1</v>
      </c>
      <c r="E78" s="15">
        <v>0.3</v>
      </c>
      <c r="F78" s="15">
        <v>1</v>
      </c>
    </row>
    <row r="79" spans="1:6" x14ac:dyDescent="0.35">
      <c r="A79" s="9">
        <v>8</v>
      </c>
      <c r="B79" s="9">
        <v>8</v>
      </c>
      <c r="C79" s="9" t="s">
        <v>43</v>
      </c>
      <c r="D79" s="15">
        <v>2</v>
      </c>
      <c r="E79" s="15">
        <v>20</v>
      </c>
      <c r="F79" s="15">
        <v>40</v>
      </c>
    </row>
    <row r="80" spans="1:6" x14ac:dyDescent="0.35">
      <c r="A80" s="9">
        <v>8</v>
      </c>
      <c r="B80" s="9">
        <v>9</v>
      </c>
      <c r="C80" s="9" t="s">
        <v>44</v>
      </c>
      <c r="D80" s="15">
        <v>1</v>
      </c>
      <c r="E80" s="15">
        <v>1.2</v>
      </c>
      <c r="F80" s="15">
        <v>2</v>
      </c>
    </row>
    <row r="81" spans="1:6" x14ac:dyDescent="0.35">
      <c r="A81" s="9">
        <v>8</v>
      </c>
      <c r="B81" s="9">
        <v>10</v>
      </c>
      <c r="C81" s="9" t="s">
        <v>45</v>
      </c>
      <c r="D81" s="15">
        <v>1.1000000000000001</v>
      </c>
      <c r="E81" s="15">
        <v>1.4</v>
      </c>
      <c r="F81" s="15">
        <v>2</v>
      </c>
    </row>
    <row r="82" spans="1:6" x14ac:dyDescent="0.35">
      <c r="A82" s="9">
        <v>9</v>
      </c>
      <c r="B82" s="9">
        <v>1</v>
      </c>
      <c r="C82" s="9" t="s">
        <v>36</v>
      </c>
      <c r="D82" s="15">
        <v>320</v>
      </c>
      <c r="E82" s="15">
        <v>360</v>
      </c>
      <c r="F82" s="15">
        <v>400</v>
      </c>
    </row>
    <row r="83" spans="1:6" x14ac:dyDescent="0.35">
      <c r="A83" s="9">
        <v>9</v>
      </c>
      <c r="B83" s="9">
        <v>2</v>
      </c>
      <c r="C83" s="9" t="s">
        <v>37</v>
      </c>
      <c r="D83" s="15">
        <v>800</v>
      </c>
      <c r="E83" s="15">
        <v>1000</v>
      </c>
      <c r="F83" s="15">
        <v>1800</v>
      </c>
    </row>
    <row r="84" spans="1:6" x14ac:dyDescent="0.35">
      <c r="A84" s="9">
        <v>9</v>
      </c>
      <c r="B84" s="9">
        <v>3</v>
      </c>
      <c r="C84" s="9" t="s">
        <v>38</v>
      </c>
      <c r="D84" s="15">
        <v>40</v>
      </c>
      <c r="E84" s="15">
        <v>300</v>
      </c>
      <c r="F84" s="15">
        <v>360</v>
      </c>
    </row>
    <row r="85" spans="1:6" x14ac:dyDescent="0.35">
      <c r="A85" s="9">
        <v>9</v>
      </c>
      <c r="B85" s="9">
        <v>4</v>
      </c>
      <c r="C85" s="9" t="s">
        <v>39</v>
      </c>
      <c r="D85" s="15">
        <v>0.6</v>
      </c>
      <c r="E85" s="15">
        <v>2.1</v>
      </c>
      <c r="F85" s="15">
        <v>9.3000000000000007</v>
      </c>
    </row>
    <row r="86" spans="1:6" x14ac:dyDescent="0.35">
      <c r="A86" s="9">
        <v>9</v>
      </c>
      <c r="B86" s="9">
        <v>5</v>
      </c>
      <c r="C86" s="9" t="s">
        <v>40</v>
      </c>
      <c r="D86" s="15">
        <v>1.1000000000000001</v>
      </c>
      <c r="E86" s="15">
        <v>2</v>
      </c>
      <c r="F86" s="15">
        <v>2.5</v>
      </c>
    </row>
    <row r="87" spans="1:6" x14ac:dyDescent="0.35">
      <c r="A87" s="9">
        <v>9</v>
      </c>
      <c r="B87" s="9">
        <v>6</v>
      </c>
      <c r="C87" s="9" t="s">
        <v>41</v>
      </c>
      <c r="D87" s="15">
        <v>150</v>
      </c>
      <c r="E87" s="15">
        <v>200</v>
      </c>
      <c r="F87" s="15">
        <v>300</v>
      </c>
    </row>
    <row r="88" spans="1:6" x14ac:dyDescent="0.35">
      <c r="A88" s="9">
        <v>9</v>
      </c>
      <c r="B88" s="9">
        <v>7</v>
      </c>
      <c r="C88" s="9" t="s">
        <v>42</v>
      </c>
      <c r="D88" s="15">
        <v>0.01</v>
      </c>
      <c r="E88" s="15">
        <v>0.02</v>
      </c>
      <c r="F88" s="15">
        <v>0.03</v>
      </c>
    </row>
    <row r="89" spans="1:6" x14ac:dyDescent="0.35">
      <c r="A89" s="9">
        <v>9</v>
      </c>
      <c r="B89" s="9">
        <v>8</v>
      </c>
      <c r="C89" s="9" t="s">
        <v>43</v>
      </c>
      <c r="D89" s="15">
        <v>1.5</v>
      </c>
      <c r="E89" s="15">
        <v>3.5</v>
      </c>
      <c r="F89" s="15">
        <v>6</v>
      </c>
    </row>
    <row r="90" spans="1:6" x14ac:dyDescent="0.35">
      <c r="A90" s="9">
        <v>9</v>
      </c>
      <c r="B90" s="9">
        <v>9</v>
      </c>
      <c r="C90" s="9" t="s">
        <v>44</v>
      </c>
      <c r="D90" s="15">
        <v>1.1000000000000001</v>
      </c>
      <c r="E90" s="15">
        <v>1.5</v>
      </c>
      <c r="F90" s="15">
        <v>2.2000000000000002</v>
      </c>
    </row>
    <row r="91" spans="1:6" x14ac:dyDescent="0.35">
      <c r="A91" s="9">
        <v>9</v>
      </c>
      <c r="B91" s="9">
        <v>10</v>
      </c>
      <c r="C91" s="9" t="s">
        <v>45</v>
      </c>
      <c r="D91" s="15">
        <v>1.1000000000000001</v>
      </c>
      <c r="E91" s="15">
        <v>2</v>
      </c>
      <c r="F91" s="15">
        <v>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5"/>
  <dimension ref="A1:H51"/>
  <sheetViews>
    <sheetView zoomScale="63" zoomScaleNormal="63" workbookViewId="0"/>
  </sheetViews>
  <sheetFormatPr defaultRowHeight="14.5" x14ac:dyDescent="0.35"/>
  <sheetData>
    <row r="1" spans="1:8" x14ac:dyDescent="0.35">
      <c r="A1" s="9" t="s">
        <v>76</v>
      </c>
      <c r="H1" s="9" t="s">
        <v>58</v>
      </c>
    </row>
    <row r="2" spans="1:8" x14ac:dyDescent="0.35">
      <c r="A2" s="9">
        <v>1</v>
      </c>
      <c r="B2" s="9">
        <v>1</v>
      </c>
      <c r="D2" s="15">
        <v>1</v>
      </c>
      <c r="E2" s="15">
        <v>6</v>
      </c>
      <c r="F2" s="15">
        <v>20</v>
      </c>
      <c r="H2" s="15">
        <v>25</v>
      </c>
    </row>
    <row r="3" spans="1:8" x14ac:dyDescent="0.35">
      <c r="A3" s="9">
        <v>1</v>
      </c>
      <c r="B3" s="9">
        <v>2</v>
      </c>
      <c r="D3" s="15">
        <v>1.0000000000000001E-9</v>
      </c>
      <c r="E3" s="15">
        <v>1E-4</v>
      </c>
      <c r="F3" s="15">
        <v>2E-3</v>
      </c>
      <c r="H3" s="15">
        <v>1.1000000000000001E-3</v>
      </c>
    </row>
    <row r="4" spans="1:8" x14ac:dyDescent="0.35">
      <c r="A4" s="9">
        <v>1</v>
      </c>
      <c r="B4" s="9">
        <v>3</v>
      </c>
      <c r="D4" s="15">
        <v>5</v>
      </c>
      <c r="E4" s="15">
        <v>150</v>
      </c>
      <c r="F4" s="15">
        <v>900</v>
      </c>
      <c r="H4" s="15">
        <v>214</v>
      </c>
    </row>
    <row r="5" spans="1:8" x14ac:dyDescent="0.35">
      <c r="A5" s="9">
        <v>1</v>
      </c>
      <c r="B5" s="9">
        <v>4</v>
      </c>
      <c r="D5" s="15">
        <v>1000</v>
      </c>
      <c r="E5" s="15">
        <v>10000</v>
      </c>
      <c r="F5" s="15">
        <v>65000</v>
      </c>
      <c r="H5" s="15">
        <v>10840</v>
      </c>
    </row>
    <row r="6" spans="1:8" x14ac:dyDescent="0.35">
      <c r="A6" s="9">
        <v>1</v>
      </c>
      <c r="B6" s="9">
        <v>5</v>
      </c>
      <c r="D6" s="15">
        <v>5</v>
      </c>
      <c r="E6" s="15">
        <v>65</v>
      </c>
      <c r="F6" s="15">
        <v>95</v>
      </c>
      <c r="H6" s="15">
        <v>1</v>
      </c>
    </row>
    <row r="7" spans="1:8" x14ac:dyDescent="0.35">
      <c r="A7" s="9">
        <v>1</v>
      </c>
      <c r="B7" s="9">
        <v>6</v>
      </c>
      <c r="D7" s="15">
        <v>0.1</v>
      </c>
      <c r="E7" s="15">
        <v>6</v>
      </c>
      <c r="F7" s="15">
        <v>50</v>
      </c>
      <c r="H7" s="15">
        <v>6</v>
      </c>
    </row>
    <row r="8" spans="1:8" x14ac:dyDescent="0.35">
      <c r="A8" s="9">
        <v>1</v>
      </c>
      <c r="B8" s="9">
        <v>7</v>
      </c>
      <c r="D8" s="15">
        <v>2</v>
      </c>
      <c r="E8" s="15">
        <v>40</v>
      </c>
      <c r="F8" s="15">
        <v>99</v>
      </c>
      <c r="H8" s="15">
        <v>20</v>
      </c>
    </row>
    <row r="9" spans="1:8" x14ac:dyDescent="0.35">
      <c r="A9" s="9">
        <v>1</v>
      </c>
      <c r="B9" s="9">
        <v>8</v>
      </c>
      <c r="D9" s="15">
        <v>0.1</v>
      </c>
      <c r="E9" s="15">
        <v>5</v>
      </c>
      <c r="F9" s="15">
        <v>40</v>
      </c>
      <c r="H9" s="15">
        <v>0.23</v>
      </c>
    </row>
    <row r="10" spans="1:8" x14ac:dyDescent="0.35">
      <c r="A10" s="9">
        <v>1</v>
      </c>
      <c r="B10" s="9">
        <v>9</v>
      </c>
      <c r="D10" s="15">
        <v>9.9999999999999995E-7</v>
      </c>
      <c r="E10" s="15">
        <v>1.0000000000000001E-5</v>
      </c>
      <c r="F10" s="15">
        <v>1E-4</v>
      </c>
      <c r="H10" s="15">
        <v>6.5E-8</v>
      </c>
    </row>
    <row r="11" spans="1:8" x14ac:dyDescent="0.35">
      <c r="A11" s="9">
        <v>1</v>
      </c>
      <c r="B11" s="9">
        <v>10</v>
      </c>
      <c r="D11" s="15">
        <v>3.9999999999999998E-7</v>
      </c>
      <c r="E11" s="15">
        <v>9.9999999999999995E-7</v>
      </c>
      <c r="F11" s="15">
        <v>1.9999999999999999E-6</v>
      </c>
      <c r="H11" s="15">
        <v>1.5999999999999999E-5</v>
      </c>
    </row>
    <row r="12" spans="1:8" x14ac:dyDescent="0.35">
      <c r="A12" s="9">
        <v>2</v>
      </c>
      <c r="B12" s="9">
        <v>1</v>
      </c>
      <c r="D12" s="15">
        <v>15</v>
      </c>
      <c r="E12" s="15">
        <v>25</v>
      </c>
      <c r="F12" s="15">
        <v>30</v>
      </c>
    </row>
    <row r="13" spans="1:8" x14ac:dyDescent="0.35">
      <c r="A13" s="9">
        <v>2</v>
      </c>
      <c r="B13" s="9">
        <v>2</v>
      </c>
      <c r="D13" s="15">
        <v>0.01</v>
      </c>
      <c r="E13" s="15">
        <v>0.03</v>
      </c>
      <c r="F13" s="15">
        <v>0.1</v>
      </c>
    </row>
    <row r="14" spans="1:8" x14ac:dyDescent="0.35">
      <c r="A14" s="9">
        <v>2</v>
      </c>
      <c r="B14" s="9">
        <v>3</v>
      </c>
      <c r="D14" s="15">
        <v>5</v>
      </c>
      <c r="E14" s="15">
        <v>12</v>
      </c>
      <c r="F14" s="15">
        <v>32</v>
      </c>
    </row>
    <row r="15" spans="1:8" x14ac:dyDescent="0.35">
      <c r="A15" s="9">
        <v>2</v>
      </c>
      <c r="B15" s="9">
        <v>4</v>
      </c>
      <c r="D15" s="15">
        <v>5000</v>
      </c>
      <c r="E15" s="15">
        <v>10000</v>
      </c>
      <c r="F15" s="15">
        <v>50000</v>
      </c>
    </row>
    <row r="16" spans="1:8" x14ac:dyDescent="0.35">
      <c r="A16" s="9">
        <v>2</v>
      </c>
      <c r="B16" s="9">
        <v>5</v>
      </c>
      <c r="D16" s="15">
        <v>30</v>
      </c>
      <c r="E16" s="15">
        <v>70</v>
      </c>
      <c r="F16" s="15">
        <v>90</v>
      </c>
    </row>
    <row r="17" spans="1:6" x14ac:dyDescent="0.35">
      <c r="A17" s="9">
        <v>2</v>
      </c>
      <c r="B17" s="9">
        <v>6</v>
      </c>
      <c r="D17" s="15">
        <v>1</v>
      </c>
      <c r="E17" s="15">
        <v>5</v>
      </c>
      <c r="F17" s="15">
        <v>40</v>
      </c>
    </row>
    <row r="18" spans="1:6" x14ac:dyDescent="0.35">
      <c r="A18" s="9">
        <v>2</v>
      </c>
      <c r="B18" s="9">
        <v>7</v>
      </c>
      <c r="D18" s="15">
        <v>10</v>
      </c>
      <c r="E18" s="15">
        <v>40</v>
      </c>
      <c r="F18" s="15">
        <v>60</v>
      </c>
    </row>
    <row r="19" spans="1:6" x14ac:dyDescent="0.35">
      <c r="A19" s="9">
        <v>2</v>
      </c>
      <c r="B19" s="9">
        <v>8</v>
      </c>
      <c r="D19" s="15">
        <v>5</v>
      </c>
      <c r="E19" s="15">
        <v>10</v>
      </c>
      <c r="F19" s="15">
        <v>25</v>
      </c>
    </row>
    <row r="20" spans="1:6" x14ac:dyDescent="0.35">
      <c r="A20" s="9">
        <v>2</v>
      </c>
      <c r="B20" s="9">
        <v>9</v>
      </c>
      <c r="D20" s="15">
        <v>1.0000000000000001E-9</v>
      </c>
      <c r="E20" s="15">
        <v>0.01</v>
      </c>
      <c r="F20" s="15">
        <v>0.05</v>
      </c>
    </row>
    <row r="21" spans="1:6" x14ac:dyDescent="0.35">
      <c r="A21" s="9">
        <v>2</v>
      </c>
      <c r="B21" s="9">
        <v>10</v>
      </c>
      <c r="D21" s="15">
        <v>1.0000000000000001E-9</v>
      </c>
      <c r="E21" s="15">
        <v>0.01</v>
      </c>
      <c r="F21" s="15">
        <v>0.05</v>
      </c>
    </row>
    <row r="22" spans="1:6" x14ac:dyDescent="0.35">
      <c r="A22" s="9">
        <v>3</v>
      </c>
      <c r="B22" s="9">
        <v>1</v>
      </c>
      <c r="D22" s="15">
        <v>10</v>
      </c>
      <c r="E22" s="15">
        <v>15</v>
      </c>
      <c r="F22" s="15">
        <v>30</v>
      </c>
    </row>
    <row r="23" spans="1:6" x14ac:dyDescent="0.35">
      <c r="A23" s="9">
        <v>3</v>
      </c>
      <c r="B23" s="9">
        <v>2</v>
      </c>
      <c r="D23" s="15">
        <v>0.01</v>
      </c>
      <c r="E23" s="15">
        <v>0.02</v>
      </c>
      <c r="F23" s="15">
        <v>0.05</v>
      </c>
    </row>
    <row r="24" spans="1:6" x14ac:dyDescent="0.35">
      <c r="A24" s="9">
        <v>3</v>
      </c>
      <c r="B24" s="9">
        <v>3</v>
      </c>
      <c r="D24" s="15">
        <v>4</v>
      </c>
      <c r="E24" s="15">
        <v>10</v>
      </c>
      <c r="F24" s="15">
        <v>100</v>
      </c>
    </row>
    <row r="25" spans="1:6" x14ac:dyDescent="0.35">
      <c r="A25" s="9">
        <v>3</v>
      </c>
      <c r="B25" s="9">
        <v>4</v>
      </c>
      <c r="D25" s="15">
        <v>3000</v>
      </c>
      <c r="E25" s="15">
        <v>6000</v>
      </c>
      <c r="F25" s="15">
        <v>7000</v>
      </c>
    </row>
    <row r="26" spans="1:6" x14ac:dyDescent="0.35">
      <c r="A26" s="9">
        <v>3</v>
      </c>
      <c r="B26" s="9">
        <v>5</v>
      </c>
      <c r="D26" s="15">
        <v>20</v>
      </c>
      <c r="E26" s="15">
        <v>30</v>
      </c>
      <c r="F26" s="15">
        <v>50</v>
      </c>
    </row>
    <row r="27" spans="1:6" x14ac:dyDescent="0.35">
      <c r="A27" s="9">
        <v>3</v>
      </c>
      <c r="B27" s="9">
        <v>6</v>
      </c>
      <c r="D27" s="15">
        <v>3</v>
      </c>
      <c r="E27" s="15">
        <v>10</v>
      </c>
      <c r="F27" s="15">
        <v>15</v>
      </c>
    </row>
    <row r="28" spans="1:6" x14ac:dyDescent="0.35">
      <c r="A28" s="9">
        <v>3</v>
      </c>
      <c r="B28" s="9">
        <v>7</v>
      </c>
      <c r="D28" s="15">
        <v>10</v>
      </c>
      <c r="E28" s="15">
        <v>55</v>
      </c>
      <c r="F28" s="15">
        <v>70</v>
      </c>
    </row>
    <row r="29" spans="1:6" x14ac:dyDescent="0.35">
      <c r="A29" s="9">
        <v>3</v>
      </c>
      <c r="B29" s="9">
        <v>8</v>
      </c>
      <c r="D29" s="15">
        <v>2</v>
      </c>
      <c r="E29" s="15">
        <v>5</v>
      </c>
      <c r="F29" s="15">
        <v>8</v>
      </c>
    </row>
    <row r="30" spans="1:6" x14ac:dyDescent="0.35">
      <c r="A30" s="9">
        <v>3</v>
      </c>
      <c r="B30" s="9">
        <v>9</v>
      </c>
      <c r="D30" s="15">
        <v>9.9999999999999995E-7</v>
      </c>
      <c r="E30" s="15">
        <v>2.5000000000000002E-6</v>
      </c>
      <c r="F30" s="15">
        <v>1.0000000000000001E-5</v>
      </c>
    </row>
    <row r="31" spans="1:6" x14ac:dyDescent="0.35">
      <c r="A31" s="9">
        <v>3</v>
      </c>
      <c r="B31" s="9">
        <v>10</v>
      </c>
      <c r="D31" s="15">
        <v>2.5000000000000002E-6</v>
      </c>
      <c r="E31" s="15">
        <v>1.0000000000000001E-5</v>
      </c>
      <c r="F31" s="15">
        <v>3.0000000000000001E-5</v>
      </c>
    </row>
    <row r="32" spans="1:6" x14ac:dyDescent="0.35">
      <c r="A32" s="9">
        <v>4</v>
      </c>
      <c r="B32" s="9">
        <v>1</v>
      </c>
      <c r="D32" s="15">
        <v>8</v>
      </c>
      <c r="E32" s="15">
        <v>13</v>
      </c>
      <c r="F32" s="15">
        <v>15</v>
      </c>
    </row>
    <row r="33" spans="1:6" x14ac:dyDescent="0.35">
      <c r="A33" s="9">
        <v>4</v>
      </c>
      <c r="B33" s="9">
        <v>2</v>
      </c>
      <c r="D33" s="15">
        <v>0.03</v>
      </c>
      <c r="E33" s="15">
        <v>0.1</v>
      </c>
      <c r="F33" s="15">
        <v>0.2</v>
      </c>
    </row>
    <row r="34" spans="1:6" x14ac:dyDescent="0.35">
      <c r="A34" s="9">
        <v>4</v>
      </c>
      <c r="B34" s="9">
        <v>3</v>
      </c>
      <c r="D34" s="15">
        <v>250</v>
      </c>
      <c r="E34" s="15">
        <v>360</v>
      </c>
      <c r="F34" s="15">
        <v>500</v>
      </c>
    </row>
    <row r="35" spans="1:6" x14ac:dyDescent="0.35">
      <c r="A35" s="9">
        <v>4</v>
      </c>
      <c r="B35" s="9">
        <v>4</v>
      </c>
      <c r="D35" s="15">
        <v>15000</v>
      </c>
      <c r="E35" s="15">
        <v>20000</v>
      </c>
      <c r="F35" s="15">
        <v>30000</v>
      </c>
    </row>
    <row r="36" spans="1:6" x14ac:dyDescent="0.35">
      <c r="A36" s="9">
        <v>4</v>
      </c>
      <c r="B36" s="9">
        <v>5</v>
      </c>
      <c r="D36" s="15">
        <v>40</v>
      </c>
      <c r="E36" s="15">
        <v>60</v>
      </c>
      <c r="F36" s="15">
        <v>70</v>
      </c>
    </row>
    <row r="37" spans="1:6" x14ac:dyDescent="0.35">
      <c r="A37" s="9">
        <v>4</v>
      </c>
      <c r="B37" s="9">
        <v>6</v>
      </c>
      <c r="D37" s="15">
        <v>1</v>
      </c>
      <c r="E37" s="15">
        <v>2</v>
      </c>
      <c r="F37" s="15">
        <v>10</v>
      </c>
    </row>
    <row r="38" spans="1:6" x14ac:dyDescent="0.35">
      <c r="A38" s="9">
        <v>4</v>
      </c>
      <c r="B38" s="9">
        <v>7</v>
      </c>
      <c r="D38" s="15">
        <v>35</v>
      </c>
      <c r="E38" s="15">
        <v>55</v>
      </c>
      <c r="F38" s="15">
        <v>75</v>
      </c>
    </row>
    <row r="39" spans="1:6" x14ac:dyDescent="0.35">
      <c r="A39" s="9">
        <v>4</v>
      </c>
      <c r="B39" s="9">
        <v>8</v>
      </c>
      <c r="D39" s="15">
        <v>10</v>
      </c>
      <c r="E39" s="15">
        <v>15</v>
      </c>
      <c r="F39" s="15">
        <v>25</v>
      </c>
    </row>
    <row r="40" spans="1:6" x14ac:dyDescent="0.35">
      <c r="A40" s="9">
        <v>4</v>
      </c>
      <c r="B40" s="9">
        <v>9</v>
      </c>
      <c r="D40" s="15">
        <v>3.0000000000000001E-6</v>
      </c>
      <c r="E40" s="15">
        <v>1.0000000000000001E-5</v>
      </c>
      <c r="F40" s="15">
        <v>2.0000000000000002E-5</v>
      </c>
    </row>
    <row r="41" spans="1:6" x14ac:dyDescent="0.35">
      <c r="A41" s="9">
        <v>4</v>
      </c>
      <c r="B41" s="9">
        <v>10</v>
      </c>
      <c r="D41" s="15">
        <v>0.01</v>
      </c>
      <c r="E41" s="15">
        <v>0.05</v>
      </c>
      <c r="F41" s="15">
        <v>0.1</v>
      </c>
    </row>
    <row r="42" spans="1:6" x14ac:dyDescent="0.35">
      <c r="A42" s="9">
        <v>5</v>
      </c>
      <c r="B42" s="9">
        <v>1</v>
      </c>
      <c r="D42" s="15">
        <v>10</v>
      </c>
      <c r="E42" s="15">
        <v>40</v>
      </c>
      <c r="F42" s="15">
        <v>60</v>
      </c>
    </row>
    <row r="43" spans="1:6" x14ac:dyDescent="0.35">
      <c r="A43" s="9">
        <v>5</v>
      </c>
      <c r="B43" s="9">
        <v>2</v>
      </c>
      <c r="D43" s="15">
        <v>2E-3</v>
      </c>
      <c r="E43" s="15">
        <v>0.02</v>
      </c>
      <c r="F43" s="15">
        <v>0.05</v>
      </c>
    </row>
    <row r="44" spans="1:6" x14ac:dyDescent="0.35">
      <c r="A44" s="9">
        <v>5</v>
      </c>
      <c r="B44" s="9">
        <v>3</v>
      </c>
      <c r="D44" s="15">
        <v>5</v>
      </c>
      <c r="E44" s="15">
        <v>80</v>
      </c>
      <c r="F44" s="15">
        <v>150</v>
      </c>
    </row>
    <row r="45" spans="1:6" x14ac:dyDescent="0.35">
      <c r="A45" s="9">
        <v>5</v>
      </c>
      <c r="B45" s="9">
        <v>4</v>
      </c>
      <c r="D45" s="15">
        <v>30000</v>
      </c>
      <c r="E45" s="15">
        <v>60000</v>
      </c>
      <c r="F45" s="15">
        <v>200000</v>
      </c>
    </row>
    <row r="46" spans="1:6" x14ac:dyDescent="0.35">
      <c r="A46" s="9">
        <v>5</v>
      </c>
      <c r="B46" s="9">
        <v>5</v>
      </c>
      <c r="D46" s="15">
        <v>5</v>
      </c>
      <c r="E46" s="15">
        <v>13</v>
      </c>
      <c r="F46" s="15">
        <v>30</v>
      </c>
    </row>
    <row r="47" spans="1:6" x14ac:dyDescent="0.35">
      <c r="A47" s="9">
        <v>5</v>
      </c>
      <c r="B47" s="9">
        <v>6</v>
      </c>
      <c r="D47" s="15">
        <v>2</v>
      </c>
      <c r="E47" s="15">
        <v>15</v>
      </c>
      <c r="F47" s="15">
        <v>50</v>
      </c>
    </row>
    <row r="48" spans="1:6" x14ac:dyDescent="0.35">
      <c r="A48" s="9">
        <v>5</v>
      </c>
      <c r="B48" s="9">
        <v>7</v>
      </c>
      <c r="D48" s="15">
        <v>30</v>
      </c>
      <c r="E48" s="15">
        <v>45</v>
      </c>
      <c r="F48" s="15">
        <v>60</v>
      </c>
    </row>
    <row r="49" spans="1:6" x14ac:dyDescent="0.35">
      <c r="A49" s="9">
        <v>5</v>
      </c>
      <c r="B49" s="9">
        <v>8</v>
      </c>
      <c r="D49" s="15">
        <v>3</v>
      </c>
      <c r="E49" s="15">
        <v>8</v>
      </c>
      <c r="F49" s="15">
        <v>12</v>
      </c>
    </row>
    <row r="50" spans="1:6" x14ac:dyDescent="0.35">
      <c r="A50" s="9">
        <v>5</v>
      </c>
      <c r="B50" s="9">
        <v>9</v>
      </c>
      <c r="D50" s="15">
        <v>1E-4</v>
      </c>
      <c r="E50" s="15">
        <v>1E-3</v>
      </c>
      <c r="F50" s="15">
        <v>0.05</v>
      </c>
    </row>
    <row r="51" spans="1:6" x14ac:dyDescent="0.35">
      <c r="A51" s="9">
        <v>5</v>
      </c>
      <c r="B51" s="9">
        <v>10</v>
      </c>
      <c r="D51" s="15">
        <v>1.0000000000000001E-5</v>
      </c>
      <c r="E51" s="15">
        <v>1E-4</v>
      </c>
      <c r="F51" s="15">
        <v>5.0000000000000001E-3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0"/>
  <dimension ref="A1:H78"/>
  <sheetViews>
    <sheetView workbookViewId="0"/>
  </sheetViews>
  <sheetFormatPr defaultRowHeight="14.5" x14ac:dyDescent="0.35"/>
  <sheetData>
    <row r="1" spans="1:8" x14ac:dyDescent="0.35">
      <c r="A1" t="s">
        <v>252</v>
      </c>
      <c r="H1" t="s">
        <v>34</v>
      </c>
    </row>
    <row r="2" spans="1:8" x14ac:dyDescent="0.35">
      <c r="A2">
        <v>1</v>
      </c>
      <c r="B2">
        <v>1</v>
      </c>
      <c r="D2" s="4">
        <v>88</v>
      </c>
      <c r="E2" s="4">
        <v>94</v>
      </c>
      <c r="F2" s="4">
        <v>94.4</v>
      </c>
      <c r="H2" s="4">
        <v>94.29</v>
      </c>
    </row>
    <row r="3" spans="1:8" x14ac:dyDescent="0.35">
      <c r="A3">
        <v>1</v>
      </c>
      <c r="B3">
        <v>2</v>
      </c>
      <c r="D3" s="4">
        <v>90.66</v>
      </c>
      <c r="E3" s="4">
        <v>93</v>
      </c>
      <c r="F3" s="4">
        <v>94</v>
      </c>
      <c r="H3" s="4">
        <v>99.28</v>
      </c>
    </row>
    <row r="4" spans="1:8" x14ac:dyDescent="0.35">
      <c r="A4">
        <v>1</v>
      </c>
      <c r="B4">
        <v>3</v>
      </c>
      <c r="D4" s="4">
        <v>0.15</v>
      </c>
      <c r="E4" s="4">
        <v>0.35</v>
      </c>
      <c r="F4" s="4">
        <v>0.45</v>
      </c>
      <c r="H4" s="4">
        <v>0.55389999999999995</v>
      </c>
    </row>
    <row r="5" spans="1:8" x14ac:dyDescent="0.35">
      <c r="A5">
        <v>1</v>
      </c>
      <c r="B5">
        <v>4</v>
      </c>
      <c r="D5" s="4">
        <v>0.35</v>
      </c>
      <c r="E5" s="4">
        <v>0.4</v>
      </c>
      <c r="F5" s="4">
        <v>0.5</v>
      </c>
      <c r="H5" s="4">
        <v>0.50029999999999997</v>
      </c>
    </row>
    <row r="6" spans="1:8" x14ac:dyDescent="0.35">
      <c r="A6">
        <v>1</v>
      </c>
      <c r="B6">
        <v>5</v>
      </c>
      <c r="D6" s="4">
        <v>10</v>
      </c>
      <c r="E6" s="4">
        <v>20</v>
      </c>
      <c r="F6" s="4">
        <v>30</v>
      </c>
      <c r="H6" s="4">
        <v>24.09</v>
      </c>
    </row>
    <row r="7" spans="1:8" x14ac:dyDescent="0.35">
      <c r="A7">
        <v>1</v>
      </c>
      <c r="B7">
        <v>6</v>
      </c>
      <c r="D7" s="4">
        <v>15</v>
      </c>
      <c r="E7" s="4">
        <v>18</v>
      </c>
      <c r="F7" s="4">
        <v>25</v>
      </c>
      <c r="H7" s="4">
        <v>18.989999999999998</v>
      </c>
    </row>
    <row r="8" spans="1:8" x14ac:dyDescent="0.35">
      <c r="A8">
        <v>1</v>
      </c>
      <c r="B8">
        <v>7</v>
      </c>
      <c r="D8" s="4">
        <v>13</v>
      </c>
      <c r="E8" s="4">
        <v>14</v>
      </c>
      <c r="F8" s="4">
        <v>16</v>
      </c>
      <c r="H8" s="4">
        <v>12.98</v>
      </c>
    </row>
    <row r="9" spans="1:8" x14ac:dyDescent="0.35">
      <c r="A9">
        <v>1</v>
      </c>
      <c r="B9">
        <v>8</v>
      </c>
      <c r="D9" s="4">
        <v>5</v>
      </c>
      <c r="E9" s="4">
        <v>8</v>
      </c>
      <c r="F9" s="4">
        <v>15</v>
      </c>
      <c r="H9" s="4">
        <v>15</v>
      </c>
    </row>
    <row r="10" spans="1:8" x14ac:dyDescent="0.35">
      <c r="A10">
        <v>1</v>
      </c>
      <c r="B10">
        <v>9</v>
      </c>
      <c r="D10" s="4">
        <v>6</v>
      </c>
      <c r="E10" s="4">
        <v>12</v>
      </c>
      <c r="F10" s="4">
        <v>19</v>
      </c>
      <c r="H10" s="4">
        <v>24</v>
      </c>
    </row>
    <row r="11" spans="1:8" x14ac:dyDescent="0.35">
      <c r="A11">
        <v>1</v>
      </c>
      <c r="B11">
        <v>10</v>
      </c>
      <c r="D11" s="4">
        <v>0</v>
      </c>
      <c r="E11" s="4">
        <v>5</v>
      </c>
      <c r="F11" s="4">
        <v>7</v>
      </c>
      <c r="H11" s="4">
        <v>0.60700399999999999</v>
      </c>
    </row>
    <row r="12" spans="1:8" x14ac:dyDescent="0.35">
      <c r="A12">
        <v>1</v>
      </c>
      <c r="B12">
        <v>11</v>
      </c>
      <c r="D12" s="4">
        <v>35000</v>
      </c>
      <c r="E12" s="4">
        <v>36000</v>
      </c>
      <c r="F12" s="4">
        <v>37000</v>
      </c>
      <c r="H12" s="4">
        <v>44530</v>
      </c>
    </row>
    <row r="13" spans="1:8" x14ac:dyDescent="0.35">
      <c r="A13">
        <v>2</v>
      </c>
      <c r="B13">
        <v>1</v>
      </c>
      <c r="D13" s="4">
        <v>88</v>
      </c>
      <c r="E13" s="4">
        <v>95</v>
      </c>
      <c r="F13" s="4">
        <v>102</v>
      </c>
    </row>
    <row r="14" spans="1:8" x14ac:dyDescent="0.35">
      <c r="A14">
        <v>2</v>
      </c>
      <c r="B14">
        <v>2</v>
      </c>
      <c r="D14" s="4">
        <v>90</v>
      </c>
      <c r="E14" s="4">
        <v>97</v>
      </c>
      <c r="F14" s="4">
        <v>104</v>
      </c>
    </row>
    <row r="15" spans="1:8" x14ac:dyDescent="0.35">
      <c r="A15">
        <v>2</v>
      </c>
      <c r="B15">
        <v>3</v>
      </c>
      <c r="D15" s="4">
        <v>0.15</v>
      </c>
      <c r="E15" s="4">
        <v>0.4</v>
      </c>
      <c r="F15" s="4">
        <v>0.7</v>
      </c>
    </row>
    <row r="16" spans="1:8" x14ac:dyDescent="0.35">
      <c r="A16">
        <v>2</v>
      </c>
      <c r="B16">
        <v>4</v>
      </c>
      <c r="D16" s="4">
        <v>0.3</v>
      </c>
      <c r="E16" s="4">
        <v>0.6</v>
      </c>
      <c r="F16" s="4">
        <v>0.85</v>
      </c>
    </row>
    <row r="17" spans="1:6" x14ac:dyDescent="0.35">
      <c r="A17">
        <v>2</v>
      </c>
      <c r="B17">
        <v>5</v>
      </c>
      <c r="D17" s="4">
        <v>10</v>
      </c>
      <c r="E17" s="4">
        <v>30</v>
      </c>
      <c r="F17" s="4">
        <v>50</v>
      </c>
    </row>
    <row r="18" spans="1:6" x14ac:dyDescent="0.35">
      <c r="A18">
        <v>2</v>
      </c>
      <c r="B18">
        <v>6</v>
      </c>
      <c r="D18" s="4">
        <v>5</v>
      </c>
      <c r="E18" s="4">
        <v>8</v>
      </c>
      <c r="F18" s="4">
        <v>12</v>
      </c>
    </row>
    <row r="19" spans="1:6" x14ac:dyDescent="0.35">
      <c r="A19">
        <v>2</v>
      </c>
      <c r="B19">
        <v>7</v>
      </c>
      <c r="D19" s="4">
        <v>12</v>
      </c>
      <c r="E19" s="4">
        <v>14</v>
      </c>
      <c r="F19" s="4">
        <v>16.5</v>
      </c>
    </row>
    <row r="20" spans="1:6" x14ac:dyDescent="0.35">
      <c r="A20">
        <v>2</v>
      </c>
      <c r="B20">
        <v>8</v>
      </c>
      <c r="D20" s="4">
        <v>14</v>
      </c>
      <c r="E20" s="4">
        <v>18</v>
      </c>
      <c r="F20" s="4">
        <v>22</v>
      </c>
    </row>
    <row r="21" spans="1:6" x14ac:dyDescent="0.35">
      <c r="A21">
        <v>2</v>
      </c>
      <c r="B21">
        <v>9</v>
      </c>
      <c r="D21" s="4">
        <v>18</v>
      </c>
      <c r="E21" s="4">
        <v>24</v>
      </c>
      <c r="F21" s="4">
        <v>30</v>
      </c>
    </row>
    <row r="22" spans="1:6" x14ac:dyDescent="0.35">
      <c r="A22">
        <v>2</v>
      </c>
      <c r="B22">
        <v>10</v>
      </c>
      <c r="D22" s="4">
        <v>0</v>
      </c>
      <c r="E22" s="4">
        <v>5</v>
      </c>
      <c r="F22" s="4">
        <v>10</v>
      </c>
    </row>
    <row r="23" spans="1:6" x14ac:dyDescent="0.35">
      <c r="A23">
        <v>2</v>
      </c>
      <c r="B23">
        <v>11</v>
      </c>
      <c r="D23" s="4">
        <v>32000</v>
      </c>
      <c r="E23" s="4">
        <v>37000</v>
      </c>
      <c r="F23" s="4">
        <v>41000</v>
      </c>
    </row>
    <row r="24" spans="1:6" x14ac:dyDescent="0.35">
      <c r="A24">
        <v>3</v>
      </c>
      <c r="B24">
        <v>1</v>
      </c>
      <c r="D24" s="4">
        <v>89</v>
      </c>
      <c r="E24" s="4">
        <v>92</v>
      </c>
      <c r="F24" s="4">
        <v>98</v>
      </c>
    </row>
    <row r="25" spans="1:6" x14ac:dyDescent="0.35">
      <c r="A25">
        <v>3</v>
      </c>
      <c r="B25">
        <v>2</v>
      </c>
      <c r="D25" s="4">
        <v>90</v>
      </c>
      <c r="E25" s="4">
        <v>96</v>
      </c>
      <c r="F25" s="4">
        <v>99</v>
      </c>
    </row>
    <row r="26" spans="1:6" x14ac:dyDescent="0.35">
      <c r="A26">
        <v>3</v>
      </c>
      <c r="B26">
        <v>3</v>
      </c>
      <c r="D26" s="4">
        <v>0.4</v>
      </c>
      <c r="E26" s="4">
        <v>0.7</v>
      </c>
      <c r="F26" s="4">
        <v>0.9</v>
      </c>
    </row>
    <row r="27" spans="1:6" x14ac:dyDescent="0.35">
      <c r="A27">
        <v>3</v>
      </c>
      <c r="B27">
        <v>4</v>
      </c>
      <c r="D27" s="4">
        <v>0.55000000000000004</v>
      </c>
      <c r="E27" s="4">
        <v>0.75</v>
      </c>
      <c r="F27" s="4">
        <v>0.9</v>
      </c>
    </row>
    <row r="28" spans="1:6" x14ac:dyDescent="0.35">
      <c r="A28">
        <v>3</v>
      </c>
      <c r="B28">
        <v>5</v>
      </c>
      <c r="D28" s="4">
        <v>5</v>
      </c>
      <c r="E28" s="4">
        <v>15</v>
      </c>
      <c r="F28" s="4">
        <v>30</v>
      </c>
    </row>
    <row r="29" spans="1:6" x14ac:dyDescent="0.35">
      <c r="A29">
        <v>3</v>
      </c>
      <c r="B29">
        <v>6</v>
      </c>
      <c r="D29" s="4">
        <v>9</v>
      </c>
      <c r="E29" s="4">
        <v>11</v>
      </c>
      <c r="F29" s="4">
        <v>16</v>
      </c>
    </row>
    <row r="30" spans="1:6" x14ac:dyDescent="0.35">
      <c r="A30">
        <v>3</v>
      </c>
      <c r="B30">
        <v>7</v>
      </c>
      <c r="D30" s="4">
        <v>12</v>
      </c>
      <c r="E30" s="4">
        <v>13</v>
      </c>
      <c r="F30" s="4">
        <v>14</v>
      </c>
    </row>
    <row r="31" spans="1:6" x14ac:dyDescent="0.35">
      <c r="A31">
        <v>3</v>
      </c>
      <c r="B31">
        <v>8</v>
      </c>
      <c r="D31" s="4">
        <v>3</v>
      </c>
      <c r="E31" s="4">
        <v>6</v>
      </c>
      <c r="F31" s="4">
        <v>9</v>
      </c>
    </row>
    <row r="32" spans="1:6" x14ac:dyDescent="0.35">
      <c r="A32">
        <v>3</v>
      </c>
      <c r="B32">
        <v>9</v>
      </c>
      <c r="D32" s="4">
        <v>5</v>
      </c>
      <c r="E32" s="4">
        <v>7</v>
      </c>
      <c r="F32" s="4">
        <v>10</v>
      </c>
    </row>
    <row r="33" spans="1:6" x14ac:dyDescent="0.35">
      <c r="A33">
        <v>3</v>
      </c>
      <c r="B33">
        <v>10</v>
      </c>
      <c r="D33" s="4">
        <v>2</v>
      </c>
      <c r="E33" s="4">
        <v>10</v>
      </c>
      <c r="F33" s="4">
        <v>20</v>
      </c>
    </row>
    <row r="34" spans="1:6" x14ac:dyDescent="0.35">
      <c r="A34">
        <v>3</v>
      </c>
      <c r="B34">
        <v>11</v>
      </c>
      <c r="D34" s="4">
        <v>25000</v>
      </c>
      <c r="E34" s="4">
        <v>36000</v>
      </c>
      <c r="F34" s="4">
        <v>45000</v>
      </c>
    </row>
    <row r="35" spans="1:6" x14ac:dyDescent="0.35">
      <c r="A35">
        <v>4</v>
      </c>
      <c r="B35">
        <v>1</v>
      </c>
      <c r="D35" s="4">
        <v>90</v>
      </c>
      <c r="E35" s="4">
        <v>105</v>
      </c>
      <c r="F35" s="4">
        <v>120</v>
      </c>
    </row>
    <row r="36" spans="1:6" x14ac:dyDescent="0.35">
      <c r="A36">
        <v>4</v>
      </c>
      <c r="B36">
        <v>2</v>
      </c>
      <c r="D36" s="4">
        <v>100</v>
      </c>
      <c r="E36" s="4">
        <v>115</v>
      </c>
      <c r="F36" s="4">
        <v>130</v>
      </c>
    </row>
    <row r="37" spans="1:6" x14ac:dyDescent="0.35">
      <c r="A37">
        <v>4</v>
      </c>
      <c r="B37">
        <v>3</v>
      </c>
      <c r="D37" s="4">
        <v>0.4</v>
      </c>
      <c r="E37" s="4">
        <v>0.6</v>
      </c>
      <c r="F37" s="4">
        <v>0.8</v>
      </c>
    </row>
    <row r="38" spans="1:6" x14ac:dyDescent="0.35">
      <c r="A38">
        <v>4</v>
      </c>
      <c r="B38">
        <v>4</v>
      </c>
      <c r="D38" s="4">
        <v>0.6</v>
      </c>
      <c r="E38" s="4">
        <v>0.7</v>
      </c>
      <c r="F38" s="4">
        <v>0.8</v>
      </c>
    </row>
    <row r="39" spans="1:6" x14ac:dyDescent="0.35">
      <c r="A39">
        <v>4</v>
      </c>
      <c r="B39">
        <v>5</v>
      </c>
      <c r="D39" s="4">
        <v>10</v>
      </c>
      <c r="E39" s="4">
        <v>20</v>
      </c>
      <c r="F39" s="4">
        <v>30</v>
      </c>
    </row>
    <row r="40" spans="1:6" x14ac:dyDescent="0.35">
      <c r="A40">
        <v>4</v>
      </c>
      <c r="B40">
        <v>6</v>
      </c>
      <c r="D40" s="4">
        <v>10</v>
      </c>
      <c r="E40" s="4">
        <v>14</v>
      </c>
      <c r="F40" s="4">
        <v>18</v>
      </c>
    </row>
    <row r="41" spans="1:6" x14ac:dyDescent="0.35">
      <c r="A41">
        <v>4</v>
      </c>
      <c r="B41">
        <v>7</v>
      </c>
      <c r="D41" s="4">
        <v>13</v>
      </c>
      <c r="E41" s="4">
        <v>14</v>
      </c>
      <c r="F41" s="4">
        <v>15</v>
      </c>
    </row>
    <row r="42" spans="1:6" x14ac:dyDescent="0.35">
      <c r="A42">
        <v>4</v>
      </c>
      <c r="B42">
        <v>8</v>
      </c>
      <c r="D42" s="4">
        <v>2</v>
      </c>
      <c r="E42" s="4">
        <v>4</v>
      </c>
      <c r="F42" s="4">
        <v>6</v>
      </c>
    </row>
    <row r="43" spans="1:6" x14ac:dyDescent="0.35">
      <c r="A43">
        <v>4</v>
      </c>
      <c r="B43">
        <v>9</v>
      </c>
      <c r="D43" s="4">
        <v>3</v>
      </c>
      <c r="E43" s="4">
        <v>5</v>
      </c>
      <c r="F43" s="4">
        <v>10</v>
      </c>
    </row>
    <row r="44" spans="1:6" x14ac:dyDescent="0.35">
      <c r="A44">
        <v>4</v>
      </c>
      <c r="B44">
        <v>10</v>
      </c>
      <c r="D44" s="4">
        <v>10</v>
      </c>
      <c r="E44" s="4">
        <v>30</v>
      </c>
      <c r="F44" s="4">
        <v>50</v>
      </c>
    </row>
    <row r="45" spans="1:6" x14ac:dyDescent="0.35">
      <c r="A45">
        <v>4</v>
      </c>
      <c r="B45">
        <v>11</v>
      </c>
      <c r="D45" s="4">
        <v>35000</v>
      </c>
      <c r="E45" s="4">
        <v>40000</v>
      </c>
      <c r="F45" s="4">
        <v>45000</v>
      </c>
    </row>
    <row r="46" spans="1:6" x14ac:dyDescent="0.35">
      <c r="A46">
        <v>5</v>
      </c>
      <c r="B46">
        <v>1</v>
      </c>
      <c r="D46" s="4">
        <v>92</v>
      </c>
      <c r="E46" s="4">
        <v>100</v>
      </c>
      <c r="F46" s="4">
        <v>120</v>
      </c>
    </row>
    <row r="47" spans="1:6" x14ac:dyDescent="0.35">
      <c r="A47">
        <v>5</v>
      </c>
      <c r="B47">
        <v>2</v>
      </c>
      <c r="D47" s="4">
        <v>95</v>
      </c>
      <c r="E47" s="4">
        <v>103</v>
      </c>
      <c r="F47" s="4">
        <v>123</v>
      </c>
    </row>
    <row r="48" spans="1:6" x14ac:dyDescent="0.35">
      <c r="A48">
        <v>5</v>
      </c>
      <c r="B48">
        <v>3</v>
      </c>
      <c r="D48" s="4">
        <v>0.4</v>
      </c>
      <c r="E48" s="4">
        <v>0.7</v>
      </c>
      <c r="F48" s="4">
        <v>0.9</v>
      </c>
    </row>
    <row r="49" spans="1:6" x14ac:dyDescent="0.35">
      <c r="A49">
        <v>5</v>
      </c>
      <c r="B49">
        <v>4</v>
      </c>
      <c r="D49" s="4">
        <v>0.4</v>
      </c>
      <c r="E49" s="4">
        <v>0.7</v>
      </c>
      <c r="F49" s="4">
        <v>0.9</v>
      </c>
    </row>
    <row r="50" spans="1:6" x14ac:dyDescent="0.35">
      <c r="A50">
        <v>5</v>
      </c>
      <c r="B50">
        <v>5</v>
      </c>
      <c r="D50" s="4">
        <v>3</v>
      </c>
      <c r="E50" s="4">
        <v>10</v>
      </c>
      <c r="F50" s="4">
        <v>25</v>
      </c>
    </row>
    <row r="51" spans="1:6" x14ac:dyDescent="0.35">
      <c r="A51">
        <v>5</v>
      </c>
      <c r="B51">
        <v>6</v>
      </c>
      <c r="D51" s="4">
        <v>6</v>
      </c>
      <c r="E51" s="4">
        <v>12</v>
      </c>
      <c r="F51" s="4">
        <v>25</v>
      </c>
    </row>
    <row r="52" spans="1:6" x14ac:dyDescent="0.35">
      <c r="A52">
        <v>5</v>
      </c>
      <c r="B52">
        <v>7</v>
      </c>
      <c r="D52" s="4">
        <v>13</v>
      </c>
      <c r="E52" s="4">
        <v>16</v>
      </c>
      <c r="F52" s="4">
        <v>21</v>
      </c>
    </row>
    <row r="53" spans="1:6" x14ac:dyDescent="0.35">
      <c r="A53">
        <v>5</v>
      </c>
      <c r="B53">
        <v>8</v>
      </c>
      <c r="D53" s="4">
        <v>1</v>
      </c>
      <c r="E53" s="4">
        <v>3</v>
      </c>
      <c r="F53" s="4">
        <v>7</v>
      </c>
    </row>
    <row r="54" spans="1:6" x14ac:dyDescent="0.35">
      <c r="A54">
        <v>5</v>
      </c>
      <c r="B54">
        <v>9</v>
      </c>
      <c r="D54" s="4">
        <v>2</v>
      </c>
      <c r="E54" s="4">
        <v>5</v>
      </c>
      <c r="F54" s="4">
        <v>12</v>
      </c>
    </row>
    <row r="55" spans="1:6" x14ac:dyDescent="0.35">
      <c r="A55">
        <v>5</v>
      </c>
      <c r="B55">
        <v>10</v>
      </c>
      <c r="D55" s="4">
        <v>7</v>
      </c>
      <c r="E55" s="4">
        <v>52</v>
      </c>
      <c r="F55" s="4">
        <v>97</v>
      </c>
    </row>
    <row r="56" spans="1:6" x14ac:dyDescent="0.35">
      <c r="A56">
        <v>5</v>
      </c>
      <c r="B56">
        <v>11</v>
      </c>
      <c r="D56" s="4">
        <v>25000</v>
      </c>
      <c r="E56" s="4">
        <v>35100</v>
      </c>
      <c r="F56" s="4">
        <v>50000</v>
      </c>
    </row>
    <row r="57" spans="1:6" x14ac:dyDescent="0.35">
      <c r="A57">
        <v>6</v>
      </c>
      <c r="B57">
        <v>1</v>
      </c>
      <c r="D57" s="4">
        <v>90</v>
      </c>
      <c r="E57" s="4">
        <v>95</v>
      </c>
      <c r="F57" s="4">
        <v>100</v>
      </c>
    </row>
    <row r="58" spans="1:6" x14ac:dyDescent="0.35">
      <c r="A58">
        <v>6</v>
      </c>
      <c r="B58">
        <v>2</v>
      </c>
      <c r="D58" s="4">
        <v>91</v>
      </c>
      <c r="E58" s="4">
        <v>96</v>
      </c>
      <c r="F58" s="4">
        <v>101</v>
      </c>
    </row>
    <row r="59" spans="1:6" x14ac:dyDescent="0.35">
      <c r="A59">
        <v>6</v>
      </c>
      <c r="B59">
        <v>3</v>
      </c>
      <c r="D59" s="4">
        <v>0.1</v>
      </c>
      <c r="E59" s="4">
        <v>0.35</v>
      </c>
      <c r="F59" s="4">
        <v>0.7</v>
      </c>
    </row>
    <row r="60" spans="1:6" x14ac:dyDescent="0.35">
      <c r="A60">
        <v>6</v>
      </c>
      <c r="B60">
        <v>4</v>
      </c>
      <c r="D60" s="4">
        <v>0.3</v>
      </c>
      <c r="E60" s="4">
        <v>0.6</v>
      </c>
      <c r="F60" s="4">
        <v>0.8</v>
      </c>
    </row>
    <row r="61" spans="1:6" x14ac:dyDescent="0.35">
      <c r="A61">
        <v>6</v>
      </c>
      <c r="B61">
        <v>5</v>
      </c>
      <c r="D61" s="4">
        <v>3</v>
      </c>
      <c r="E61" s="4">
        <v>10</v>
      </c>
      <c r="F61" s="4">
        <v>30</v>
      </c>
    </row>
    <row r="62" spans="1:6" x14ac:dyDescent="0.35">
      <c r="A62">
        <v>6</v>
      </c>
      <c r="B62">
        <v>6</v>
      </c>
      <c r="D62" s="4">
        <v>7</v>
      </c>
      <c r="E62" s="4">
        <v>11</v>
      </c>
      <c r="F62" s="4">
        <v>15</v>
      </c>
    </row>
    <row r="63" spans="1:6" x14ac:dyDescent="0.35">
      <c r="A63">
        <v>6</v>
      </c>
      <c r="B63">
        <v>7</v>
      </c>
      <c r="D63" s="4">
        <v>12</v>
      </c>
      <c r="E63" s="4">
        <v>15</v>
      </c>
      <c r="F63" s="4">
        <v>16</v>
      </c>
    </row>
    <row r="64" spans="1:6" x14ac:dyDescent="0.35">
      <c r="A64">
        <v>6</v>
      </c>
      <c r="B64">
        <v>8</v>
      </c>
      <c r="D64" s="4">
        <v>6</v>
      </c>
      <c r="E64" s="4">
        <v>14</v>
      </c>
      <c r="F64" s="4">
        <v>20</v>
      </c>
    </row>
    <row r="65" spans="1:6" x14ac:dyDescent="0.35">
      <c r="A65">
        <v>6</v>
      </c>
      <c r="B65">
        <v>9</v>
      </c>
      <c r="D65" s="4">
        <v>9</v>
      </c>
      <c r="E65" s="4">
        <v>20</v>
      </c>
      <c r="F65" s="4">
        <v>26</v>
      </c>
    </row>
    <row r="66" spans="1:6" x14ac:dyDescent="0.35">
      <c r="A66">
        <v>6</v>
      </c>
      <c r="B66">
        <v>10</v>
      </c>
      <c r="D66" s="4">
        <v>3</v>
      </c>
      <c r="E66" s="4">
        <v>25</v>
      </c>
      <c r="F66" s="4">
        <v>60</v>
      </c>
    </row>
    <row r="67" spans="1:6" x14ac:dyDescent="0.35">
      <c r="A67">
        <v>6</v>
      </c>
      <c r="B67">
        <v>11</v>
      </c>
      <c r="D67" s="4">
        <v>30000</v>
      </c>
      <c r="E67" s="4">
        <v>36000</v>
      </c>
      <c r="F67" s="4">
        <v>45000</v>
      </c>
    </row>
    <row r="68" spans="1:6" x14ac:dyDescent="0.35">
      <c r="A68">
        <v>7</v>
      </c>
      <c r="B68">
        <v>1</v>
      </c>
      <c r="D68" s="4">
        <v>88</v>
      </c>
      <c r="E68" s="4">
        <v>92</v>
      </c>
      <c r="F68" s="4">
        <v>95</v>
      </c>
    </row>
    <row r="69" spans="1:6" x14ac:dyDescent="0.35">
      <c r="A69">
        <v>7</v>
      </c>
      <c r="B69">
        <v>2</v>
      </c>
      <c r="D69" s="4">
        <v>91</v>
      </c>
      <c r="E69" s="4">
        <v>95</v>
      </c>
      <c r="F69" s="4">
        <v>100</v>
      </c>
    </row>
    <row r="70" spans="1:6" x14ac:dyDescent="0.35">
      <c r="A70">
        <v>7</v>
      </c>
      <c r="B70">
        <v>3</v>
      </c>
      <c r="D70" s="4">
        <v>0.35</v>
      </c>
      <c r="E70" s="4">
        <v>0.45</v>
      </c>
      <c r="F70" s="4">
        <v>0.6</v>
      </c>
    </row>
    <row r="71" spans="1:6" x14ac:dyDescent="0.35">
      <c r="A71">
        <v>7</v>
      </c>
      <c r="B71">
        <v>4</v>
      </c>
      <c r="D71" s="4">
        <v>0.3</v>
      </c>
      <c r="E71" s="4">
        <v>0.4</v>
      </c>
      <c r="F71" s="4">
        <v>0.55000000000000004</v>
      </c>
    </row>
    <row r="72" spans="1:6" x14ac:dyDescent="0.35">
      <c r="A72">
        <v>7</v>
      </c>
      <c r="B72">
        <v>5</v>
      </c>
      <c r="D72" s="4">
        <v>5</v>
      </c>
      <c r="E72" s="4">
        <v>15</v>
      </c>
      <c r="F72" s="4">
        <v>25</v>
      </c>
    </row>
    <row r="73" spans="1:6" x14ac:dyDescent="0.35">
      <c r="A73">
        <v>7</v>
      </c>
      <c r="B73">
        <v>6</v>
      </c>
      <c r="D73" s="4">
        <v>8</v>
      </c>
      <c r="E73" s="4">
        <v>10</v>
      </c>
      <c r="F73" s="4">
        <v>12</v>
      </c>
    </row>
    <row r="74" spans="1:6" x14ac:dyDescent="0.35">
      <c r="A74">
        <v>7</v>
      </c>
      <c r="B74">
        <v>7</v>
      </c>
      <c r="D74" s="4">
        <v>11</v>
      </c>
      <c r="E74" s="4">
        <v>12</v>
      </c>
      <c r="F74" s="4">
        <v>14</v>
      </c>
    </row>
    <row r="75" spans="1:6" x14ac:dyDescent="0.35">
      <c r="A75">
        <v>7</v>
      </c>
      <c r="B75">
        <v>8</v>
      </c>
      <c r="D75" s="4">
        <v>0.5</v>
      </c>
      <c r="E75" s="4">
        <v>1</v>
      </c>
      <c r="F75" s="4">
        <v>1.5</v>
      </c>
    </row>
    <row r="76" spans="1:6" x14ac:dyDescent="0.35">
      <c r="A76">
        <v>7</v>
      </c>
      <c r="B76">
        <v>9</v>
      </c>
      <c r="D76" s="4">
        <v>1</v>
      </c>
      <c r="E76" s="4">
        <v>1.5</v>
      </c>
      <c r="F76" s="4">
        <v>2</v>
      </c>
    </row>
    <row r="77" spans="1:6" x14ac:dyDescent="0.35">
      <c r="A77">
        <v>7</v>
      </c>
      <c r="B77">
        <v>10</v>
      </c>
      <c r="D77" s="4">
        <v>5</v>
      </c>
      <c r="E77" s="4">
        <v>10</v>
      </c>
      <c r="F77" s="4">
        <v>15</v>
      </c>
    </row>
    <row r="78" spans="1:6" x14ac:dyDescent="0.35">
      <c r="A78">
        <v>7</v>
      </c>
      <c r="B78">
        <v>11</v>
      </c>
      <c r="D78" s="4">
        <v>30000</v>
      </c>
      <c r="E78" s="4">
        <v>34000</v>
      </c>
      <c r="F78" s="4">
        <v>37000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3"/>
  <dimension ref="A1:J1002"/>
  <sheetViews>
    <sheetView workbookViewId="0">
      <selection activeCell="N20" sqref="N20"/>
    </sheetView>
  </sheetViews>
  <sheetFormatPr defaultRowHeight="14.5" x14ac:dyDescent="0.35"/>
  <sheetData>
    <row r="1" spans="1:10" x14ac:dyDescent="0.35">
      <c r="A1" s="9" t="s">
        <v>269</v>
      </c>
      <c r="C1" s="21"/>
      <c r="H1" s="9" t="s">
        <v>58</v>
      </c>
      <c r="J1" s="7"/>
    </row>
    <row r="2" spans="1:10" x14ac:dyDescent="0.35">
      <c r="A2" s="9">
        <v>1</v>
      </c>
      <c r="B2" s="9">
        <v>1</v>
      </c>
      <c r="C2" s="15" t="s">
        <v>46</v>
      </c>
      <c r="D2" s="15">
        <v>0.01</v>
      </c>
      <c r="E2" s="15">
        <v>30</v>
      </c>
      <c r="F2" s="15">
        <v>80</v>
      </c>
      <c r="H2" s="15">
        <v>47</v>
      </c>
      <c r="J2" s="7"/>
    </row>
    <row r="3" spans="1:10" x14ac:dyDescent="0.35">
      <c r="A3" s="9">
        <v>1</v>
      </c>
      <c r="B3" s="9">
        <v>2</v>
      </c>
      <c r="C3" s="15" t="s">
        <v>47</v>
      </c>
      <c r="D3" s="15">
        <v>2</v>
      </c>
      <c r="E3" s="15">
        <v>10</v>
      </c>
      <c r="F3" s="15">
        <v>20</v>
      </c>
      <c r="H3" s="15">
        <v>8</v>
      </c>
      <c r="J3" s="7"/>
    </row>
    <row r="4" spans="1:10" x14ac:dyDescent="0.35">
      <c r="A4" s="9">
        <v>1</v>
      </c>
      <c r="B4" s="9">
        <v>3</v>
      </c>
      <c r="C4" s="15" t="s">
        <v>48</v>
      </c>
      <c r="D4" s="15">
        <v>20</v>
      </c>
      <c r="E4" s="15">
        <v>40</v>
      </c>
      <c r="F4" s="15">
        <v>100</v>
      </c>
      <c r="H4" s="15">
        <v>50</v>
      </c>
      <c r="J4" s="7"/>
    </row>
    <row r="5" spans="1:10" x14ac:dyDescent="0.35">
      <c r="A5" s="9">
        <v>1</v>
      </c>
      <c r="B5" s="9">
        <v>4</v>
      </c>
      <c r="C5" s="15" t="s">
        <v>49</v>
      </c>
      <c r="D5" s="15">
        <v>100</v>
      </c>
      <c r="E5" s="15">
        <v>400</v>
      </c>
      <c r="F5" s="15">
        <v>1000</v>
      </c>
      <c r="H5" s="15">
        <v>2000</v>
      </c>
      <c r="J5" s="7"/>
    </row>
    <row r="6" spans="1:10" x14ac:dyDescent="0.35">
      <c r="A6" s="9">
        <v>1</v>
      </c>
      <c r="B6" s="9">
        <v>5</v>
      </c>
      <c r="C6" s="15" t="s">
        <v>50</v>
      </c>
      <c r="D6" s="15">
        <v>10</v>
      </c>
      <c r="E6" s="15">
        <v>20</v>
      </c>
      <c r="F6" s="15">
        <v>50</v>
      </c>
      <c r="H6" s="15">
        <v>80</v>
      </c>
      <c r="J6" s="7"/>
    </row>
    <row r="7" spans="1:10" x14ac:dyDescent="0.35">
      <c r="A7" s="9">
        <v>1</v>
      </c>
      <c r="B7" s="9">
        <v>6</v>
      </c>
      <c r="C7" s="15" t="s">
        <v>51</v>
      </c>
      <c r="D7" s="15">
        <v>5</v>
      </c>
      <c r="E7" s="15">
        <v>10</v>
      </c>
      <c r="F7" s="15">
        <v>21</v>
      </c>
      <c r="H7" s="15">
        <v>61</v>
      </c>
      <c r="J7" s="7"/>
    </row>
    <row r="8" spans="1:10" x14ac:dyDescent="0.35">
      <c r="A8" s="9">
        <v>1</v>
      </c>
      <c r="B8" s="9">
        <v>7</v>
      </c>
      <c r="C8" s="15" t="s">
        <v>52</v>
      </c>
      <c r="D8" s="15">
        <v>177</v>
      </c>
      <c r="E8" s="15">
        <v>200</v>
      </c>
      <c r="F8" s="15">
        <v>1000</v>
      </c>
      <c r="H8" s="15">
        <v>482</v>
      </c>
      <c r="J8" s="7"/>
    </row>
    <row r="9" spans="1:10" x14ac:dyDescent="0.35">
      <c r="A9" s="9">
        <v>1</v>
      </c>
      <c r="B9" s="9">
        <v>8</v>
      </c>
      <c r="C9" s="15" t="s">
        <v>53</v>
      </c>
      <c r="D9" s="15">
        <v>8</v>
      </c>
      <c r="E9" s="15">
        <v>18</v>
      </c>
      <c r="F9" s="15">
        <v>36</v>
      </c>
      <c r="H9" s="15">
        <v>25</v>
      </c>
      <c r="J9" s="7"/>
    </row>
    <row r="10" spans="1:10" x14ac:dyDescent="0.35">
      <c r="A10" s="9">
        <v>1</v>
      </c>
      <c r="B10" s="9">
        <v>9</v>
      </c>
      <c r="C10" s="15" t="s">
        <v>54</v>
      </c>
      <c r="D10" s="15">
        <v>20</v>
      </c>
      <c r="E10" s="15">
        <v>50</v>
      </c>
      <c r="F10" s="15">
        <v>100</v>
      </c>
      <c r="H10" s="15">
        <v>262</v>
      </c>
      <c r="J10" s="7"/>
    </row>
    <row r="11" spans="1:10" x14ac:dyDescent="0.35">
      <c r="A11" s="9">
        <v>1</v>
      </c>
      <c r="B11" s="9">
        <v>10</v>
      </c>
      <c r="C11" s="15" t="s">
        <v>55</v>
      </c>
      <c r="D11" s="15">
        <v>500</v>
      </c>
      <c r="E11" s="15">
        <v>800</v>
      </c>
      <c r="F11" s="15">
        <v>10000</v>
      </c>
      <c r="H11" s="15">
        <v>413</v>
      </c>
      <c r="J11" s="7"/>
    </row>
    <row r="12" spans="1:10" x14ac:dyDescent="0.35">
      <c r="A12" s="9">
        <v>1</v>
      </c>
      <c r="B12" s="9">
        <v>11</v>
      </c>
      <c r="C12" s="15" t="s">
        <v>56</v>
      </c>
      <c r="D12" s="15">
        <v>5</v>
      </c>
      <c r="E12" s="15">
        <v>8</v>
      </c>
      <c r="F12" s="15">
        <v>20</v>
      </c>
      <c r="H12" s="15">
        <v>46.9</v>
      </c>
      <c r="J12" s="7"/>
    </row>
    <row r="13" spans="1:10" x14ac:dyDescent="0.35">
      <c r="A13" s="9">
        <v>1</v>
      </c>
      <c r="B13" s="9">
        <v>12</v>
      </c>
      <c r="C13" s="15" t="s">
        <v>57</v>
      </c>
      <c r="D13" s="15">
        <v>1</v>
      </c>
      <c r="E13" s="15">
        <v>5</v>
      </c>
      <c r="F13" s="15">
        <v>10</v>
      </c>
      <c r="H13" s="15">
        <v>100</v>
      </c>
      <c r="J13" s="7"/>
    </row>
    <row r="14" spans="1:10" x14ac:dyDescent="0.35">
      <c r="A14" s="9">
        <v>2</v>
      </c>
      <c r="B14" s="9">
        <v>1</v>
      </c>
      <c r="C14" s="15" t="s">
        <v>46</v>
      </c>
      <c r="D14" s="15">
        <v>5</v>
      </c>
      <c r="E14" s="15">
        <v>20</v>
      </c>
      <c r="F14" s="15">
        <v>60</v>
      </c>
      <c r="J14" s="7"/>
    </row>
    <row r="15" spans="1:10" x14ac:dyDescent="0.35">
      <c r="A15" s="9">
        <v>2</v>
      </c>
      <c r="B15" s="9">
        <v>2</v>
      </c>
      <c r="C15" s="15" t="s">
        <v>47</v>
      </c>
      <c r="D15" s="15">
        <v>2</v>
      </c>
      <c r="E15" s="15">
        <v>10</v>
      </c>
      <c r="F15" s="15">
        <v>30</v>
      </c>
      <c r="J15" s="7"/>
    </row>
    <row r="16" spans="1:10" x14ac:dyDescent="0.35">
      <c r="A16" s="9">
        <v>2</v>
      </c>
      <c r="B16" s="9">
        <v>3</v>
      </c>
      <c r="C16" s="15" t="s">
        <v>48</v>
      </c>
      <c r="D16" s="15">
        <v>30</v>
      </c>
      <c r="E16" s="15">
        <v>80</v>
      </c>
      <c r="F16" s="15">
        <v>95</v>
      </c>
      <c r="J16" s="7"/>
    </row>
    <row r="17" spans="1:10" x14ac:dyDescent="0.35">
      <c r="A17" s="9">
        <v>2</v>
      </c>
      <c r="B17" s="9">
        <v>4</v>
      </c>
      <c r="C17" s="15" t="s">
        <v>49</v>
      </c>
      <c r="D17" s="15">
        <v>100</v>
      </c>
      <c r="E17" s="15">
        <v>250</v>
      </c>
      <c r="F17" s="15">
        <v>1000</v>
      </c>
      <c r="J17" s="7"/>
    </row>
    <row r="18" spans="1:10" x14ac:dyDescent="0.35">
      <c r="A18" s="9">
        <v>2</v>
      </c>
      <c r="B18" s="9">
        <v>5</v>
      </c>
      <c r="C18" s="15" t="s">
        <v>50</v>
      </c>
      <c r="D18" s="15">
        <v>5</v>
      </c>
      <c r="E18" s="15">
        <v>20</v>
      </c>
      <c r="F18" s="15">
        <v>81</v>
      </c>
      <c r="J18" s="7"/>
    </row>
    <row r="19" spans="1:10" x14ac:dyDescent="0.35">
      <c r="A19" s="9">
        <v>2</v>
      </c>
      <c r="B19" s="9">
        <v>6</v>
      </c>
      <c r="C19" s="15" t="s">
        <v>51</v>
      </c>
      <c r="D19" s="15">
        <v>10</v>
      </c>
      <c r="E19" s="15">
        <v>30</v>
      </c>
      <c r="F19" s="15">
        <v>100</v>
      </c>
      <c r="J19" s="7"/>
    </row>
    <row r="20" spans="1:10" x14ac:dyDescent="0.35">
      <c r="A20" s="9">
        <v>2</v>
      </c>
      <c r="B20" s="9">
        <v>7</v>
      </c>
      <c r="C20" s="15" t="s">
        <v>52</v>
      </c>
      <c r="D20" s="15">
        <v>10</v>
      </c>
      <c r="E20" s="15">
        <v>20</v>
      </c>
      <c r="F20" s="15">
        <v>100</v>
      </c>
      <c r="J20" s="7"/>
    </row>
    <row r="21" spans="1:10" x14ac:dyDescent="0.35">
      <c r="A21" s="9">
        <v>2</v>
      </c>
      <c r="B21" s="9">
        <v>8</v>
      </c>
      <c r="C21" s="15" t="s">
        <v>53</v>
      </c>
      <c r="D21" s="15">
        <v>15</v>
      </c>
      <c r="E21" s="15">
        <v>36</v>
      </c>
      <c r="F21" s="15">
        <v>72</v>
      </c>
      <c r="J21" s="7"/>
    </row>
    <row r="22" spans="1:10" x14ac:dyDescent="0.35">
      <c r="A22" s="9">
        <v>2</v>
      </c>
      <c r="B22" s="9">
        <v>9</v>
      </c>
      <c r="C22" s="15" t="s">
        <v>54</v>
      </c>
      <c r="D22" s="15">
        <v>100</v>
      </c>
      <c r="E22" s="15">
        <v>500</v>
      </c>
      <c r="F22" s="15">
        <v>2000</v>
      </c>
      <c r="J22" s="7"/>
    </row>
    <row r="23" spans="1:10" x14ac:dyDescent="0.35">
      <c r="A23" s="9">
        <v>2</v>
      </c>
      <c r="B23" s="9">
        <v>10</v>
      </c>
      <c r="C23" s="15" t="s">
        <v>55</v>
      </c>
      <c r="D23" s="15">
        <v>100</v>
      </c>
      <c r="E23" s="15">
        <v>800</v>
      </c>
      <c r="F23" s="15">
        <v>2500</v>
      </c>
      <c r="J23" s="7"/>
    </row>
    <row r="24" spans="1:10" x14ac:dyDescent="0.35">
      <c r="A24" s="9">
        <v>2</v>
      </c>
      <c r="B24" s="9">
        <v>11</v>
      </c>
      <c r="C24" s="15" t="s">
        <v>56</v>
      </c>
      <c r="D24" s="15">
        <v>5</v>
      </c>
      <c r="E24" s="15">
        <v>10</v>
      </c>
      <c r="F24" s="15">
        <v>95</v>
      </c>
      <c r="J24" s="7"/>
    </row>
    <row r="25" spans="1:10" x14ac:dyDescent="0.35">
      <c r="A25" s="9">
        <v>2</v>
      </c>
      <c r="B25" s="9">
        <v>12</v>
      </c>
      <c r="C25" s="15" t="s">
        <v>57</v>
      </c>
      <c r="D25" s="15">
        <v>10</v>
      </c>
      <c r="E25" s="15">
        <v>100</v>
      </c>
      <c r="F25" s="15">
        <v>1000</v>
      </c>
      <c r="J25" s="7"/>
    </row>
    <row r="26" spans="1:10" x14ac:dyDescent="0.35">
      <c r="A26" s="9">
        <v>3</v>
      </c>
      <c r="B26" s="9">
        <v>1</v>
      </c>
      <c r="C26" s="15" t="s">
        <v>46</v>
      </c>
      <c r="D26" s="15">
        <v>40</v>
      </c>
      <c r="E26" s="15">
        <v>75</v>
      </c>
      <c r="F26" s="15">
        <v>1500</v>
      </c>
      <c r="J26" s="7"/>
    </row>
    <row r="27" spans="1:10" x14ac:dyDescent="0.35">
      <c r="A27" s="9">
        <v>3</v>
      </c>
      <c r="B27" s="9">
        <v>2</v>
      </c>
      <c r="C27" s="15" t="s">
        <v>47</v>
      </c>
      <c r="D27" s="15">
        <v>10</v>
      </c>
      <c r="E27" s="15">
        <v>50</v>
      </c>
      <c r="F27" s="15">
        <v>120</v>
      </c>
      <c r="J27" s="7"/>
    </row>
    <row r="28" spans="1:10" x14ac:dyDescent="0.35">
      <c r="A28" s="9">
        <v>3</v>
      </c>
      <c r="B28" s="9">
        <v>3</v>
      </c>
      <c r="C28" s="15" t="s">
        <v>48</v>
      </c>
      <c r="D28" s="15">
        <v>20</v>
      </c>
      <c r="E28" s="15">
        <v>40</v>
      </c>
      <c r="F28" s="15">
        <v>80</v>
      </c>
      <c r="J28" s="7"/>
    </row>
    <row r="29" spans="1:10" x14ac:dyDescent="0.35">
      <c r="A29" s="9">
        <v>3</v>
      </c>
      <c r="B29" s="9">
        <v>4</v>
      </c>
      <c r="C29" s="15" t="s">
        <v>49</v>
      </c>
      <c r="D29" s="15">
        <v>20</v>
      </c>
      <c r="E29" s="15">
        <v>40</v>
      </c>
      <c r="F29" s="15">
        <v>100</v>
      </c>
      <c r="J29" s="7"/>
    </row>
    <row r="30" spans="1:10" x14ac:dyDescent="0.35">
      <c r="A30" s="9">
        <v>3</v>
      </c>
      <c r="B30" s="9">
        <v>5</v>
      </c>
      <c r="C30" s="15" t="s">
        <v>50</v>
      </c>
      <c r="D30" s="15">
        <v>0.01</v>
      </c>
      <c r="E30" s="15">
        <v>20</v>
      </c>
      <c r="F30" s="15">
        <v>100</v>
      </c>
      <c r="J30" s="7"/>
    </row>
    <row r="31" spans="1:10" x14ac:dyDescent="0.35">
      <c r="A31" s="9">
        <v>3</v>
      </c>
      <c r="B31" s="9">
        <v>6</v>
      </c>
      <c r="C31" s="15" t="s">
        <v>51</v>
      </c>
      <c r="D31" s="15">
        <v>30</v>
      </c>
      <c r="E31" s="15">
        <v>140</v>
      </c>
      <c r="F31" s="15">
        <v>200</v>
      </c>
      <c r="J31" s="7"/>
    </row>
    <row r="32" spans="1:10" x14ac:dyDescent="0.35">
      <c r="A32" s="9">
        <v>3</v>
      </c>
      <c r="B32" s="9">
        <v>7</v>
      </c>
      <c r="C32" s="15" t="s">
        <v>52</v>
      </c>
      <c r="D32" s="15">
        <v>5</v>
      </c>
      <c r="E32" s="15">
        <v>18</v>
      </c>
      <c r="F32" s="15">
        <v>100</v>
      </c>
      <c r="J32" s="7"/>
    </row>
    <row r="33" spans="1:10" x14ac:dyDescent="0.35">
      <c r="A33" s="9">
        <v>3</v>
      </c>
      <c r="B33" s="9">
        <v>8</v>
      </c>
      <c r="C33" s="15" t="s">
        <v>53</v>
      </c>
      <c r="D33" s="15">
        <v>12</v>
      </c>
      <c r="E33" s="15">
        <v>24</v>
      </c>
      <c r="F33" s="15">
        <v>72</v>
      </c>
      <c r="J33" s="7"/>
    </row>
    <row r="34" spans="1:10" x14ac:dyDescent="0.35">
      <c r="A34" s="9">
        <v>3</v>
      </c>
      <c r="B34" s="9">
        <v>9</v>
      </c>
      <c r="C34" s="15" t="s">
        <v>54</v>
      </c>
      <c r="D34" s="15">
        <v>5</v>
      </c>
      <c r="E34" s="15">
        <v>1000</v>
      </c>
      <c r="F34" s="15">
        <v>10000</v>
      </c>
      <c r="J34" s="7"/>
    </row>
    <row r="35" spans="1:10" x14ac:dyDescent="0.35">
      <c r="A35" s="9">
        <v>3</v>
      </c>
      <c r="B35" s="9">
        <v>10</v>
      </c>
      <c r="C35" s="15" t="s">
        <v>55</v>
      </c>
      <c r="D35" s="15">
        <v>2000</v>
      </c>
      <c r="E35" s="15">
        <v>10000</v>
      </c>
      <c r="F35" s="15">
        <v>30000</v>
      </c>
      <c r="J35" s="7"/>
    </row>
    <row r="36" spans="1:10" x14ac:dyDescent="0.35">
      <c r="A36" s="9">
        <v>3</v>
      </c>
      <c r="B36" s="9">
        <v>11</v>
      </c>
      <c r="C36" s="15" t="s">
        <v>56</v>
      </c>
      <c r="D36" s="15">
        <v>0.01</v>
      </c>
      <c r="E36" s="15">
        <v>5</v>
      </c>
      <c r="F36" s="15">
        <v>20</v>
      </c>
      <c r="J36" s="7"/>
    </row>
    <row r="37" spans="1:10" x14ac:dyDescent="0.35">
      <c r="A37" s="9">
        <v>3</v>
      </c>
      <c r="B37" s="9">
        <v>12</v>
      </c>
      <c r="C37" s="15" t="s">
        <v>57</v>
      </c>
      <c r="D37" s="15">
        <v>50</v>
      </c>
      <c r="E37" s="15">
        <v>100</v>
      </c>
      <c r="F37" s="15">
        <v>1000</v>
      </c>
      <c r="J37" s="7"/>
    </row>
    <row r="38" spans="1:10" x14ac:dyDescent="0.35">
      <c r="A38" s="9">
        <v>4</v>
      </c>
      <c r="B38" s="9">
        <v>1</v>
      </c>
      <c r="C38" s="15" t="s">
        <v>46</v>
      </c>
      <c r="D38" s="15">
        <v>5</v>
      </c>
      <c r="E38" s="15">
        <v>120</v>
      </c>
      <c r="F38" s="15">
        <v>163</v>
      </c>
      <c r="J38" s="7"/>
    </row>
    <row r="39" spans="1:10" x14ac:dyDescent="0.35">
      <c r="A39" s="9">
        <v>4</v>
      </c>
      <c r="B39" s="9">
        <v>2</v>
      </c>
      <c r="C39" s="15" t="s">
        <v>47</v>
      </c>
      <c r="D39" s="15">
        <v>3</v>
      </c>
      <c r="E39" s="15">
        <v>15</v>
      </c>
      <c r="F39" s="15">
        <v>55</v>
      </c>
      <c r="J39" s="7"/>
    </row>
    <row r="40" spans="1:10" x14ac:dyDescent="0.35">
      <c r="A40" s="9">
        <v>4</v>
      </c>
      <c r="B40" s="9">
        <v>3</v>
      </c>
      <c r="C40" s="15" t="s">
        <v>48</v>
      </c>
      <c r="D40" s="15">
        <v>25</v>
      </c>
      <c r="E40" s="15">
        <v>90</v>
      </c>
      <c r="F40" s="15">
        <v>99</v>
      </c>
      <c r="J40" s="7"/>
    </row>
    <row r="41" spans="1:10" x14ac:dyDescent="0.35">
      <c r="A41" s="9">
        <v>4</v>
      </c>
      <c r="B41" s="9">
        <v>4</v>
      </c>
      <c r="C41" s="15" t="s">
        <v>49</v>
      </c>
      <c r="D41" s="15">
        <v>200</v>
      </c>
      <c r="E41" s="15">
        <v>1200</v>
      </c>
      <c r="F41" s="15">
        <v>2000</v>
      </c>
      <c r="J41" s="7"/>
    </row>
    <row r="42" spans="1:10" x14ac:dyDescent="0.35">
      <c r="A42" s="9">
        <v>4</v>
      </c>
      <c r="B42" s="9">
        <v>5</v>
      </c>
      <c r="C42" s="15" t="s">
        <v>50</v>
      </c>
      <c r="D42" s="15">
        <v>1E-3</v>
      </c>
      <c r="E42" s="15">
        <v>30</v>
      </c>
      <c r="F42" s="15">
        <v>95</v>
      </c>
      <c r="J42" s="7"/>
    </row>
    <row r="43" spans="1:10" x14ac:dyDescent="0.35">
      <c r="A43" s="9">
        <v>4</v>
      </c>
      <c r="B43" s="9">
        <v>6</v>
      </c>
      <c r="C43" s="15" t="s">
        <v>51</v>
      </c>
      <c r="D43" s="15">
        <v>1</v>
      </c>
      <c r="E43" s="15">
        <v>3</v>
      </c>
      <c r="F43" s="15">
        <v>10</v>
      </c>
      <c r="J43" s="7"/>
    </row>
    <row r="44" spans="1:10" x14ac:dyDescent="0.35">
      <c r="A44" s="9">
        <v>4</v>
      </c>
      <c r="B44" s="9">
        <v>7</v>
      </c>
      <c r="C44" s="15" t="s">
        <v>52</v>
      </c>
      <c r="D44" s="15">
        <v>1000</v>
      </c>
      <c r="E44" s="15">
        <v>4000</v>
      </c>
      <c r="F44" s="15">
        <v>20000</v>
      </c>
      <c r="J44" s="7"/>
    </row>
    <row r="45" spans="1:10" x14ac:dyDescent="0.35">
      <c r="A45" s="9">
        <v>4</v>
      </c>
      <c r="B45" s="9">
        <v>8</v>
      </c>
      <c r="C45" s="15" t="s">
        <v>53</v>
      </c>
      <c r="D45" s="15">
        <v>20</v>
      </c>
      <c r="E45" s="15">
        <v>48</v>
      </c>
      <c r="F45" s="15">
        <v>100</v>
      </c>
      <c r="J45" s="7"/>
    </row>
    <row r="46" spans="1:10" x14ac:dyDescent="0.35">
      <c r="A46" s="9">
        <v>4</v>
      </c>
      <c r="B46" s="9">
        <v>9</v>
      </c>
      <c r="C46" s="15" t="s">
        <v>54</v>
      </c>
      <c r="D46" s="15">
        <v>1</v>
      </c>
      <c r="E46" s="15">
        <v>100</v>
      </c>
      <c r="F46" s="15">
        <v>1000</v>
      </c>
      <c r="J46" s="7"/>
    </row>
    <row r="47" spans="1:10" x14ac:dyDescent="0.35">
      <c r="A47" s="9">
        <v>4</v>
      </c>
      <c r="B47" s="9">
        <v>10</v>
      </c>
      <c r="C47" s="15" t="s">
        <v>55</v>
      </c>
      <c r="D47" s="15">
        <v>100</v>
      </c>
      <c r="E47" s="15">
        <v>500</v>
      </c>
      <c r="F47" s="15">
        <v>2000</v>
      </c>
      <c r="J47" s="7"/>
    </row>
    <row r="48" spans="1:10" x14ac:dyDescent="0.35">
      <c r="A48" s="9">
        <v>4</v>
      </c>
      <c r="B48" s="9">
        <v>11</v>
      </c>
      <c r="C48" s="15" t="s">
        <v>56</v>
      </c>
      <c r="D48" s="15">
        <v>5</v>
      </c>
      <c r="E48" s="15">
        <v>25</v>
      </c>
      <c r="F48" s="15">
        <v>30</v>
      </c>
      <c r="J48" s="7"/>
    </row>
    <row r="49" spans="1:10" x14ac:dyDescent="0.35">
      <c r="A49" s="9">
        <v>4</v>
      </c>
      <c r="B49" s="9">
        <v>12</v>
      </c>
      <c r="C49" s="15" t="s">
        <v>57</v>
      </c>
      <c r="D49" s="15">
        <v>10</v>
      </c>
      <c r="E49" s="15">
        <v>100</v>
      </c>
      <c r="F49" s="15">
        <v>1000</v>
      </c>
      <c r="J49" s="7"/>
    </row>
    <row r="50" spans="1:10" x14ac:dyDescent="0.35">
      <c r="A50" s="9">
        <v>5</v>
      </c>
      <c r="B50" s="9">
        <v>1</v>
      </c>
      <c r="C50" s="15" t="s">
        <v>46</v>
      </c>
      <c r="D50" s="15">
        <v>2</v>
      </c>
      <c r="E50" s="15">
        <v>10</v>
      </c>
      <c r="F50" s="15">
        <v>20</v>
      </c>
      <c r="J50" s="7"/>
    </row>
    <row r="51" spans="1:10" x14ac:dyDescent="0.35">
      <c r="A51" s="9">
        <v>5</v>
      </c>
      <c r="B51" s="9">
        <v>2</v>
      </c>
      <c r="C51" s="15" t="s">
        <v>47</v>
      </c>
      <c r="D51" s="15">
        <v>10</v>
      </c>
      <c r="E51" s="15">
        <v>50</v>
      </c>
      <c r="F51" s="15">
        <v>500</v>
      </c>
      <c r="J51" s="7"/>
    </row>
    <row r="52" spans="1:10" x14ac:dyDescent="0.35">
      <c r="A52" s="9">
        <v>5</v>
      </c>
      <c r="B52" s="9">
        <v>3</v>
      </c>
      <c r="C52" s="15" t="s">
        <v>48</v>
      </c>
      <c r="D52" s="15">
        <v>2</v>
      </c>
      <c r="E52" s="15">
        <v>4</v>
      </c>
      <c r="F52" s="15">
        <v>10</v>
      </c>
      <c r="J52" s="7"/>
    </row>
    <row r="53" spans="1:10" x14ac:dyDescent="0.35">
      <c r="A53" s="9">
        <v>5</v>
      </c>
      <c r="B53" s="9">
        <v>4</v>
      </c>
      <c r="C53" s="15" t="s">
        <v>49</v>
      </c>
      <c r="D53" s="15">
        <v>2500</v>
      </c>
      <c r="E53" s="15">
        <v>5000</v>
      </c>
      <c r="F53" s="15">
        <v>10000</v>
      </c>
      <c r="J53" s="7"/>
    </row>
    <row r="54" spans="1:10" x14ac:dyDescent="0.35">
      <c r="A54" s="9">
        <v>5</v>
      </c>
      <c r="B54" s="9">
        <v>5</v>
      </c>
      <c r="C54" s="15" t="s">
        <v>50</v>
      </c>
      <c r="D54" s="15">
        <v>20</v>
      </c>
      <c r="E54" s="15">
        <v>50</v>
      </c>
      <c r="F54" s="15">
        <v>75</v>
      </c>
      <c r="J54" s="7"/>
    </row>
    <row r="55" spans="1:10" x14ac:dyDescent="0.35">
      <c r="A55" s="9">
        <v>5</v>
      </c>
      <c r="B55" s="9">
        <v>6</v>
      </c>
      <c r="C55" s="15" t="s">
        <v>51</v>
      </c>
      <c r="D55" s="15">
        <v>2</v>
      </c>
      <c r="E55" s="15">
        <v>6</v>
      </c>
      <c r="F55" s="15">
        <v>20</v>
      </c>
      <c r="J55" s="7"/>
    </row>
    <row r="56" spans="1:10" x14ac:dyDescent="0.35">
      <c r="A56" s="9">
        <v>5</v>
      </c>
      <c r="B56" s="9">
        <v>7</v>
      </c>
      <c r="C56" s="15" t="s">
        <v>52</v>
      </c>
      <c r="D56" s="15">
        <v>1000</v>
      </c>
      <c r="E56" s="15">
        <v>10000</v>
      </c>
      <c r="F56" s="15">
        <v>100000</v>
      </c>
      <c r="J56" s="7"/>
    </row>
    <row r="57" spans="1:10" x14ac:dyDescent="0.35">
      <c r="A57" s="9">
        <v>5</v>
      </c>
      <c r="B57" s="9">
        <v>8</v>
      </c>
      <c r="C57" s="15" t="s">
        <v>53</v>
      </c>
      <c r="D57" s="15">
        <v>12</v>
      </c>
      <c r="E57" s="15">
        <v>48</v>
      </c>
      <c r="F57" s="15">
        <v>96</v>
      </c>
      <c r="J57" s="7"/>
    </row>
    <row r="58" spans="1:10" x14ac:dyDescent="0.35">
      <c r="A58" s="9">
        <v>5</v>
      </c>
      <c r="B58" s="9">
        <v>9</v>
      </c>
      <c r="C58" s="15" t="s">
        <v>54</v>
      </c>
      <c r="D58" s="15">
        <v>2</v>
      </c>
      <c r="E58" s="15">
        <v>10</v>
      </c>
      <c r="F58" s="15">
        <v>100</v>
      </c>
      <c r="J58" s="7"/>
    </row>
    <row r="59" spans="1:10" x14ac:dyDescent="0.35">
      <c r="A59" s="9">
        <v>5</v>
      </c>
      <c r="B59" s="9">
        <v>10</v>
      </c>
      <c r="C59" s="15" t="s">
        <v>55</v>
      </c>
      <c r="D59" s="15">
        <v>100</v>
      </c>
      <c r="E59" s="15">
        <v>1000</v>
      </c>
      <c r="F59" s="15">
        <v>4000</v>
      </c>
      <c r="J59" s="7"/>
    </row>
    <row r="60" spans="1:10" x14ac:dyDescent="0.35">
      <c r="A60" s="9">
        <v>5</v>
      </c>
      <c r="B60" s="9">
        <v>11</v>
      </c>
      <c r="C60" s="15" t="s">
        <v>56</v>
      </c>
      <c r="D60" s="15">
        <v>10</v>
      </c>
      <c r="E60" s="15">
        <v>50</v>
      </c>
      <c r="F60" s="15">
        <v>80</v>
      </c>
      <c r="J60" s="7"/>
    </row>
    <row r="61" spans="1:10" x14ac:dyDescent="0.35">
      <c r="A61" s="9">
        <v>5</v>
      </c>
      <c r="B61" s="9">
        <v>12</v>
      </c>
      <c r="C61" s="15" t="s">
        <v>57</v>
      </c>
      <c r="D61" s="15">
        <v>99</v>
      </c>
      <c r="E61" s="15">
        <v>1000</v>
      </c>
      <c r="F61" s="15">
        <v>10000</v>
      </c>
      <c r="J61" s="7"/>
    </row>
    <row r="62" spans="1:10" x14ac:dyDescent="0.35">
      <c r="A62" s="9">
        <v>6</v>
      </c>
      <c r="B62" s="9">
        <v>1</v>
      </c>
      <c r="C62" s="15" t="s">
        <v>46</v>
      </c>
      <c r="D62" s="15">
        <v>2</v>
      </c>
      <c r="E62" s="15">
        <v>6</v>
      </c>
      <c r="F62" s="15">
        <v>20</v>
      </c>
      <c r="J62" s="7"/>
    </row>
    <row r="63" spans="1:10" x14ac:dyDescent="0.35">
      <c r="A63" s="9">
        <v>6</v>
      </c>
      <c r="B63" s="9">
        <v>2</v>
      </c>
      <c r="C63" s="15" t="s">
        <v>47</v>
      </c>
      <c r="D63" s="15">
        <v>10</v>
      </c>
      <c r="E63" s="15">
        <v>100</v>
      </c>
      <c r="F63" s="15">
        <v>200</v>
      </c>
      <c r="J63" s="7"/>
    </row>
    <row r="64" spans="1:10" x14ac:dyDescent="0.35">
      <c r="A64" s="9">
        <v>6</v>
      </c>
      <c r="B64" s="9">
        <v>3</v>
      </c>
      <c r="C64" s="15" t="s">
        <v>48</v>
      </c>
      <c r="D64" s="15">
        <v>70</v>
      </c>
      <c r="E64" s="15">
        <v>95</v>
      </c>
      <c r="F64" s="15">
        <v>100</v>
      </c>
      <c r="J64" s="7"/>
    </row>
    <row r="65" spans="1:10" x14ac:dyDescent="0.35">
      <c r="A65" s="9">
        <v>6</v>
      </c>
      <c r="B65" s="9">
        <v>4</v>
      </c>
      <c r="C65" s="15" t="s">
        <v>49</v>
      </c>
      <c r="D65" s="15">
        <v>100</v>
      </c>
      <c r="E65" s="15">
        <v>400</v>
      </c>
      <c r="F65" s="15">
        <v>1000</v>
      </c>
      <c r="J65" s="7"/>
    </row>
    <row r="66" spans="1:10" x14ac:dyDescent="0.35">
      <c r="A66" s="9">
        <v>6</v>
      </c>
      <c r="B66" s="9">
        <v>5</v>
      </c>
      <c r="C66" s="15" t="s">
        <v>50</v>
      </c>
      <c r="D66" s="15">
        <v>2</v>
      </c>
      <c r="E66" s="15">
        <v>7</v>
      </c>
      <c r="F66" s="15">
        <v>20</v>
      </c>
      <c r="J66" s="7"/>
    </row>
    <row r="67" spans="1:10" x14ac:dyDescent="0.35">
      <c r="A67" s="9">
        <v>6</v>
      </c>
      <c r="B67" s="9">
        <v>6</v>
      </c>
      <c r="C67" s="15" t="s">
        <v>51</v>
      </c>
      <c r="D67" s="15">
        <v>7</v>
      </c>
      <c r="E67" s="15">
        <v>21</v>
      </c>
      <c r="F67" s="15">
        <v>30</v>
      </c>
      <c r="J67" s="7"/>
    </row>
    <row r="68" spans="1:10" x14ac:dyDescent="0.35">
      <c r="A68" s="9">
        <v>6</v>
      </c>
      <c r="B68" s="9">
        <v>7</v>
      </c>
      <c r="C68" s="15" t="s">
        <v>52</v>
      </c>
      <c r="D68" s="15">
        <v>177</v>
      </c>
      <c r="E68" s="15">
        <v>1770</v>
      </c>
      <c r="F68" s="15">
        <v>17700</v>
      </c>
      <c r="J68" s="7"/>
    </row>
    <row r="69" spans="1:10" x14ac:dyDescent="0.35">
      <c r="A69" s="9">
        <v>6</v>
      </c>
      <c r="B69" s="9">
        <v>8</v>
      </c>
      <c r="C69" s="15" t="s">
        <v>53</v>
      </c>
      <c r="D69" s="15">
        <v>10</v>
      </c>
      <c r="E69" s="15">
        <v>18</v>
      </c>
      <c r="F69" s="15">
        <v>36</v>
      </c>
      <c r="J69" s="7"/>
    </row>
    <row r="70" spans="1:10" x14ac:dyDescent="0.35">
      <c r="A70" s="9">
        <v>6</v>
      </c>
      <c r="B70" s="9">
        <v>9</v>
      </c>
      <c r="C70" s="15" t="s">
        <v>54</v>
      </c>
      <c r="D70" s="15">
        <v>5</v>
      </c>
      <c r="E70" s="15">
        <v>10</v>
      </c>
      <c r="F70" s="15">
        <v>100</v>
      </c>
      <c r="J70" s="7"/>
    </row>
    <row r="71" spans="1:10" x14ac:dyDescent="0.35">
      <c r="A71" s="9">
        <v>6</v>
      </c>
      <c r="B71" s="9">
        <v>10</v>
      </c>
      <c r="C71" s="15" t="s">
        <v>55</v>
      </c>
      <c r="D71" s="15">
        <v>1000</v>
      </c>
      <c r="E71" s="15">
        <v>8250</v>
      </c>
      <c r="F71" s="15">
        <v>20000</v>
      </c>
      <c r="J71" s="7"/>
    </row>
    <row r="72" spans="1:10" x14ac:dyDescent="0.35">
      <c r="A72" s="9">
        <v>6</v>
      </c>
      <c r="B72" s="9">
        <v>11</v>
      </c>
      <c r="C72" s="15" t="s">
        <v>56</v>
      </c>
      <c r="D72" s="15">
        <v>10</v>
      </c>
      <c r="E72" s="15">
        <v>25</v>
      </c>
      <c r="F72" s="15">
        <v>40</v>
      </c>
      <c r="J72" s="7"/>
    </row>
    <row r="73" spans="1:10" x14ac:dyDescent="0.35">
      <c r="A73" s="9">
        <v>6</v>
      </c>
      <c r="B73" s="9">
        <v>12</v>
      </c>
      <c r="C73" s="15" t="s">
        <v>57</v>
      </c>
      <c r="D73" s="15">
        <v>99</v>
      </c>
      <c r="E73" s="15">
        <v>1000</v>
      </c>
      <c r="F73" s="15">
        <v>5000</v>
      </c>
      <c r="J73" s="7"/>
    </row>
    <row r="74" spans="1:10" x14ac:dyDescent="0.35">
      <c r="A74" s="9">
        <v>7</v>
      </c>
      <c r="B74" s="9">
        <v>1</v>
      </c>
      <c r="C74" s="15" t="s">
        <v>46</v>
      </c>
      <c r="D74" s="15">
        <v>30</v>
      </c>
      <c r="E74" s="15">
        <v>80</v>
      </c>
      <c r="F74" s="15">
        <v>120</v>
      </c>
      <c r="J74" s="7"/>
    </row>
    <row r="75" spans="1:10" x14ac:dyDescent="0.35">
      <c r="A75" s="9">
        <v>7</v>
      </c>
      <c r="B75" s="9">
        <v>2</v>
      </c>
      <c r="C75" s="15" t="s">
        <v>47</v>
      </c>
      <c r="D75" s="15">
        <v>2</v>
      </c>
      <c r="E75" s="15">
        <v>10</v>
      </c>
      <c r="F75" s="15">
        <v>50</v>
      </c>
      <c r="J75" s="7"/>
    </row>
    <row r="76" spans="1:10" x14ac:dyDescent="0.35">
      <c r="A76" s="9">
        <v>7</v>
      </c>
      <c r="B76" s="9">
        <v>3</v>
      </c>
      <c r="C76" s="15" t="s">
        <v>48</v>
      </c>
      <c r="D76" s="15">
        <v>60</v>
      </c>
      <c r="E76" s="15">
        <v>80</v>
      </c>
      <c r="F76" s="15">
        <v>95</v>
      </c>
      <c r="J76" s="7"/>
    </row>
    <row r="77" spans="1:10" x14ac:dyDescent="0.35">
      <c r="A77" s="9">
        <v>7</v>
      </c>
      <c r="B77" s="9">
        <v>4</v>
      </c>
      <c r="C77" s="15" t="s">
        <v>49</v>
      </c>
      <c r="D77" s="15">
        <v>50</v>
      </c>
      <c r="E77" s="15">
        <v>90</v>
      </c>
      <c r="F77" s="15">
        <v>250</v>
      </c>
      <c r="J77" s="7"/>
    </row>
    <row r="78" spans="1:10" x14ac:dyDescent="0.35">
      <c r="A78" s="9">
        <v>7</v>
      </c>
      <c r="B78" s="9">
        <v>5</v>
      </c>
      <c r="C78" s="15" t="s">
        <v>50</v>
      </c>
      <c r="D78" s="15">
        <v>10</v>
      </c>
      <c r="E78" s="15">
        <v>25</v>
      </c>
      <c r="F78" s="15">
        <v>50</v>
      </c>
      <c r="J78" s="7"/>
    </row>
    <row r="79" spans="1:10" x14ac:dyDescent="0.35">
      <c r="A79" s="9">
        <v>7</v>
      </c>
      <c r="B79" s="9">
        <v>6</v>
      </c>
      <c r="C79" s="15" t="s">
        <v>51</v>
      </c>
      <c r="D79" s="15">
        <v>2</v>
      </c>
      <c r="E79" s="15">
        <v>7</v>
      </c>
      <c r="F79" s="15">
        <v>16</v>
      </c>
      <c r="J79" s="7"/>
    </row>
    <row r="80" spans="1:10" x14ac:dyDescent="0.35">
      <c r="A80" s="9">
        <v>7</v>
      </c>
      <c r="B80" s="9">
        <v>7</v>
      </c>
      <c r="C80" s="15" t="s">
        <v>52</v>
      </c>
      <c r="D80" s="15">
        <v>10000</v>
      </c>
      <c r="E80" s="15">
        <v>177000</v>
      </c>
      <c r="F80" s="15">
        <v>1770000</v>
      </c>
      <c r="J80" s="7"/>
    </row>
    <row r="81" spans="1:10" x14ac:dyDescent="0.35">
      <c r="A81" s="9">
        <v>7</v>
      </c>
      <c r="B81" s="9">
        <v>8</v>
      </c>
      <c r="C81" s="15" t="s">
        <v>53</v>
      </c>
      <c r="D81" s="15">
        <v>16</v>
      </c>
      <c r="E81" s="15">
        <v>36</v>
      </c>
      <c r="F81" s="15">
        <v>50</v>
      </c>
      <c r="J81" s="7"/>
    </row>
    <row r="82" spans="1:10" x14ac:dyDescent="0.35">
      <c r="A82" s="9">
        <v>7</v>
      </c>
      <c r="B82" s="9">
        <v>9</v>
      </c>
      <c r="C82" s="15" t="s">
        <v>54</v>
      </c>
      <c r="D82" s="15">
        <v>0.05</v>
      </c>
      <c r="E82" s="15">
        <v>0.1</v>
      </c>
      <c r="F82" s="15">
        <v>1</v>
      </c>
      <c r="J82" s="7"/>
    </row>
    <row r="83" spans="1:10" x14ac:dyDescent="0.35">
      <c r="A83" s="9">
        <v>7</v>
      </c>
      <c r="B83" s="9">
        <v>10</v>
      </c>
      <c r="C83" s="15" t="s">
        <v>55</v>
      </c>
      <c r="D83" s="15">
        <v>250</v>
      </c>
      <c r="E83" s="15">
        <v>825</v>
      </c>
      <c r="F83" s="15">
        <v>8250</v>
      </c>
      <c r="J83" s="7"/>
    </row>
    <row r="84" spans="1:10" x14ac:dyDescent="0.35">
      <c r="A84" s="9">
        <v>7</v>
      </c>
      <c r="B84" s="9">
        <v>11</v>
      </c>
      <c r="C84" s="15" t="s">
        <v>56</v>
      </c>
      <c r="D84" s="15">
        <v>10</v>
      </c>
      <c r="E84" s="15">
        <v>70</v>
      </c>
      <c r="F84" s="15">
        <v>90</v>
      </c>
      <c r="J84" s="7"/>
    </row>
    <row r="85" spans="1:10" x14ac:dyDescent="0.35">
      <c r="A85" s="9">
        <v>7</v>
      </c>
      <c r="B85" s="9">
        <v>12</v>
      </c>
      <c r="C85" s="15" t="s">
        <v>57</v>
      </c>
      <c r="D85" s="15">
        <v>10</v>
      </c>
      <c r="E85" s="15">
        <v>100</v>
      </c>
      <c r="F85" s="15">
        <v>10000</v>
      </c>
      <c r="J85" s="7"/>
    </row>
    <row r="86" spans="1:10" x14ac:dyDescent="0.35">
      <c r="A86" s="9">
        <v>8</v>
      </c>
      <c r="B86" s="9">
        <v>1</v>
      </c>
      <c r="C86" s="15" t="s">
        <v>46</v>
      </c>
      <c r="D86" s="15">
        <v>0.01</v>
      </c>
      <c r="E86" s="15">
        <v>5</v>
      </c>
      <c r="F86" s="15">
        <v>30</v>
      </c>
      <c r="J86" s="7"/>
    </row>
    <row r="87" spans="1:10" x14ac:dyDescent="0.35">
      <c r="A87" s="9">
        <v>8</v>
      </c>
      <c r="B87" s="9">
        <v>2</v>
      </c>
      <c r="C87" s="15" t="s">
        <v>47</v>
      </c>
      <c r="D87" s="15">
        <v>0.01</v>
      </c>
      <c r="E87" s="15">
        <v>5</v>
      </c>
      <c r="F87" s="15">
        <v>13</v>
      </c>
      <c r="J87" s="7"/>
    </row>
    <row r="88" spans="1:10" x14ac:dyDescent="0.35">
      <c r="A88" s="9">
        <v>8</v>
      </c>
      <c r="B88" s="9">
        <v>3</v>
      </c>
      <c r="C88" s="15" t="s">
        <v>48</v>
      </c>
      <c r="D88" s="15">
        <v>49</v>
      </c>
      <c r="E88" s="15">
        <v>90</v>
      </c>
      <c r="F88" s="15">
        <v>100</v>
      </c>
      <c r="J88" s="7"/>
    </row>
    <row r="89" spans="1:10" x14ac:dyDescent="0.35">
      <c r="A89" s="9">
        <v>8</v>
      </c>
      <c r="B89" s="9">
        <v>4</v>
      </c>
      <c r="C89" s="15" t="s">
        <v>49</v>
      </c>
      <c r="D89" s="15">
        <v>250</v>
      </c>
      <c r="E89" s="15">
        <v>500</v>
      </c>
      <c r="F89" s="15">
        <v>1000</v>
      </c>
      <c r="J89" s="7"/>
    </row>
    <row r="90" spans="1:10" x14ac:dyDescent="0.35">
      <c r="A90" s="9">
        <v>8</v>
      </c>
      <c r="B90" s="9">
        <v>5</v>
      </c>
      <c r="C90" s="15" t="s">
        <v>50</v>
      </c>
      <c r="D90" s="15">
        <v>0</v>
      </c>
      <c r="E90" s="15">
        <v>20</v>
      </c>
      <c r="F90" s="15">
        <v>100</v>
      </c>
      <c r="J90" s="7"/>
    </row>
    <row r="91" spans="1:10" x14ac:dyDescent="0.35">
      <c r="A91" s="9">
        <v>8</v>
      </c>
      <c r="B91" s="9">
        <v>6</v>
      </c>
      <c r="C91" s="15" t="s">
        <v>51</v>
      </c>
      <c r="D91" s="15">
        <v>2</v>
      </c>
      <c r="E91" s="15">
        <v>10</v>
      </c>
      <c r="F91" s="15">
        <v>20</v>
      </c>
      <c r="J91" s="7"/>
    </row>
    <row r="92" spans="1:10" x14ac:dyDescent="0.35">
      <c r="A92" s="9">
        <v>8</v>
      </c>
      <c r="B92" s="9">
        <v>7</v>
      </c>
      <c r="C92" s="15" t="s">
        <v>52</v>
      </c>
      <c r="D92" s="15">
        <v>177</v>
      </c>
      <c r="E92" s="15">
        <v>1770</v>
      </c>
      <c r="F92" s="15">
        <v>17700</v>
      </c>
      <c r="J92" s="7"/>
    </row>
    <row r="93" spans="1:10" x14ac:dyDescent="0.35">
      <c r="A93" s="9">
        <v>8</v>
      </c>
      <c r="B93" s="9">
        <v>8</v>
      </c>
      <c r="C93" s="15" t="s">
        <v>53</v>
      </c>
      <c r="D93" s="15">
        <v>12</v>
      </c>
      <c r="E93" s="15">
        <v>48</v>
      </c>
      <c r="F93" s="15">
        <v>72</v>
      </c>
      <c r="J93" s="7"/>
    </row>
    <row r="94" spans="1:10" x14ac:dyDescent="0.35">
      <c r="A94" s="9">
        <v>8</v>
      </c>
      <c r="B94" s="9">
        <v>9</v>
      </c>
      <c r="C94" s="15" t="s">
        <v>54</v>
      </c>
      <c r="D94" s="15">
        <v>0.5</v>
      </c>
      <c r="E94" s="15">
        <v>1</v>
      </c>
      <c r="F94" s="15">
        <v>10</v>
      </c>
      <c r="J94" s="7"/>
    </row>
    <row r="95" spans="1:10" x14ac:dyDescent="0.35">
      <c r="A95" s="9">
        <v>8</v>
      </c>
      <c r="B95" s="9">
        <v>10</v>
      </c>
      <c r="C95" s="15" t="s">
        <v>55</v>
      </c>
      <c r="D95" s="15">
        <v>0.01</v>
      </c>
      <c r="E95" s="15">
        <v>82</v>
      </c>
      <c r="F95" s="15">
        <v>820</v>
      </c>
      <c r="J95" s="7"/>
    </row>
    <row r="96" spans="1:10" x14ac:dyDescent="0.35">
      <c r="A96" s="9">
        <v>8</v>
      </c>
      <c r="B96" s="9">
        <v>11</v>
      </c>
      <c r="C96" s="15" t="s">
        <v>56</v>
      </c>
      <c r="D96" s="15">
        <v>8</v>
      </c>
      <c r="E96" s="15">
        <v>30</v>
      </c>
      <c r="F96" s="15">
        <v>100</v>
      </c>
      <c r="J96" s="7"/>
    </row>
    <row r="97" spans="1:10" x14ac:dyDescent="0.35">
      <c r="A97" s="9">
        <v>8</v>
      </c>
      <c r="B97" s="9">
        <v>12</v>
      </c>
      <c r="C97" s="15" t="s">
        <v>57</v>
      </c>
      <c r="D97" s="15">
        <v>2</v>
      </c>
      <c r="E97" s="15">
        <v>5</v>
      </c>
      <c r="F97" s="15">
        <v>101</v>
      </c>
      <c r="J97" s="7"/>
    </row>
    <row r="98" spans="1:10" x14ac:dyDescent="0.35">
      <c r="A98" s="9">
        <v>9</v>
      </c>
      <c r="B98" s="9">
        <v>1</v>
      </c>
      <c r="C98" s="15" t="s">
        <v>46</v>
      </c>
      <c r="D98" s="15">
        <v>10</v>
      </c>
      <c r="E98" s="15">
        <v>40</v>
      </c>
      <c r="F98" s="15">
        <v>100</v>
      </c>
      <c r="J98" s="7"/>
    </row>
    <row r="99" spans="1:10" x14ac:dyDescent="0.35">
      <c r="A99" s="9">
        <v>9</v>
      </c>
      <c r="B99" s="9">
        <v>2</v>
      </c>
      <c r="C99" s="15" t="s">
        <v>47</v>
      </c>
      <c r="D99" s="15">
        <v>250</v>
      </c>
      <c r="E99" s="15">
        <v>400</v>
      </c>
      <c r="F99" s="15">
        <v>650</v>
      </c>
      <c r="J99" s="7"/>
    </row>
    <row r="100" spans="1:10" x14ac:dyDescent="0.35">
      <c r="A100" s="9">
        <v>9</v>
      </c>
      <c r="B100" s="9">
        <v>3</v>
      </c>
      <c r="C100" s="15" t="s">
        <v>48</v>
      </c>
      <c r="D100" s="15">
        <v>49</v>
      </c>
      <c r="E100" s="15">
        <v>75</v>
      </c>
      <c r="F100" s="15">
        <v>95</v>
      </c>
      <c r="J100" s="7"/>
    </row>
    <row r="101" spans="1:10" x14ac:dyDescent="0.35">
      <c r="A101" s="9">
        <v>9</v>
      </c>
      <c r="B101" s="9">
        <v>4</v>
      </c>
      <c r="C101" s="15" t="s">
        <v>49</v>
      </c>
      <c r="D101" s="15">
        <v>150</v>
      </c>
      <c r="E101" s="15">
        <v>200</v>
      </c>
      <c r="F101" s="15">
        <v>500</v>
      </c>
      <c r="J101" s="7"/>
    </row>
    <row r="102" spans="1:10" x14ac:dyDescent="0.35">
      <c r="A102" s="9">
        <v>9</v>
      </c>
      <c r="B102" s="9">
        <v>5</v>
      </c>
      <c r="C102" s="15" t="s">
        <v>50</v>
      </c>
      <c r="D102" s="15">
        <v>15</v>
      </c>
      <c r="E102" s="15">
        <v>30</v>
      </c>
      <c r="F102" s="15">
        <v>50</v>
      </c>
      <c r="J102" s="7"/>
    </row>
    <row r="103" spans="1:10" x14ac:dyDescent="0.35">
      <c r="A103" s="9">
        <v>9</v>
      </c>
      <c r="B103" s="9">
        <v>6</v>
      </c>
      <c r="C103" s="15" t="s">
        <v>51</v>
      </c>
      <c r="D103" s="15">
        <v>3</v>
      </c>
      <c r="E103" s="15">
        <v>7</v>
      </c>
      <c r="F103" s="15">
        <v>15</v>
      </c>
      <c r="J103" s="7"/>
    </row>
    <row r="104" spans="1:10" x14ac:dyDescent="0.35">
      <c r="A104" s="9">
        <v>9</v>
      </c>
      <c r="B104" s="9">
        <v>7</v>
      </c>
      <c r="C104" s="15" t="s">
        <v>52</v>
      </c>
      <c r="D104" s="15">
        <v>177</v>
      </c>
      <c r="E104" s="15">
        <v>1770</v>
      </c>
      <c r="F104" s="15">
        <v>177000</v>
      </c>
      <c r="J104" s="7"/>
    </row>
    <row r="105" spans="1:10" x14ac:dyDescent="0.35">
      <c r="A105" s="9">
        <v>9</v>
      </c>
      <c r="B105" s="9">
        <v>8</v>
      </c>
      <c r="C105" s="15" t="s">
        <v>53</v>
      </c>
      <c r="D105" s="15">
        <v>18</v>
      </c>
      <c r="E105" s="15">
        <v>30</v>
      </c>
      <c r="F105" s="15">
        <v>48</v>
      </c>
      <c r="J105" s="7"/>
    </row>
    <row r="106" spans="1:10" x14ac:dyDescent="0.35">
      <c r="A106" s="9">
        <v>9</v>
      </c>
      <c r="B106" s="9">
        <v>9</v>
      </c>
      <c r="C106" s="15" t="s">
        <v>54</v>
      </c>
      <c r="D106" s="15">
        <v>0.5</v>
      </c>
      <c r="E106" s="15">
        <v>1</v>
      </c>
      <c r="F106" s="15">
        <v>3</v>
      </c>
      <c r="J106" s="7"/>
    </row>
    <row r="107" spans="1:10" x14ac:dyDescent="0.35">
      <c r="A107" s="9">
        <v>9</v>
      </c>
      <c r="B107" s="9">
        <v>10</v>
      </c>
      <c r="C107" s="15" t="s">
        <v>55</v>
      </c>
      <c r="D107" s="15">
        <v>200</v>
      </c>
      <c r="E107" s="15">
        <v>825</v>
      </c>
      <c r="F107" s="15">
        <v>1650</v>
      </c>
      <c r="J107" s="7"/>
    </row>
    <row r="108" spans="1:10" x14ac:dyDescent="0.35">
      <c r="A108" s="9">
        <v>9</v>
      </c>
      <c r="B108" s="9">
        <v>11</v>
      </c>
      <c r="C108" s="15" t="s">
        <v>56</v>
      </c>
      <c r="D108" s="15">
        <v>5</v>
      </c>
      <c r="E108" s="15">
        <v>50</v>
      </c>
      <c r="F108" s="15">
        <v>95</v>
      </c>
      <c r="J108" s="7"/>
    </row>
    <row r="109" spans="1:10" x14ac:dyDescent="0.35">
      <c r="A109" s="9">
        <v>9</v>
      </c>
      <c r="B109" s="9">
        <v>12</v>
      </c>
      <c r="C109" s="15" t="s">
        <v>57</v>
      </c>
      <c r="D109" s="15">
        <v>50</v>
      </c>
      <c r="E109" s="15">
        <v>100</v>
      </c>
      <c r="F109" s="15">
        <v>500</v>
      </c>
      <c r="J109" s="7"/>
    </row>
    <row r="110" spans="1:10" x14ac:dyDescent="0.35">
      <c r="A110" s="9">
        <v>10</v>
      </c>
      <c r="B110" s="9">
        <v>1</v>
      </c>
      <c r="C110" s="15" t="s">
        <v>46</v>
      </c>
      <c r="D110" s="15">
        <v>0.01</v>
      </c>
      <c r="E110" s="15">
        <v>80</v>
      </c>
      <c r="F110" s="15">
        <v>163</v>
      </c>
      <c r="J110" s="7"/>
    </row>
    <row r="111" spans="1:10" x14ac:dyDescent="0.35">
      <c r="A111" s="9">
        <v>10</v>
      </c>
      <c r="B111" s="9">
        <v>2</v>
      </c>
      <c r="C111" s="15" t="s">
        <v>47</v>
      </c>
      <c r="D111" s="15">
        <v>10</v>
      </c>
      <c r="E111" s="15">
        <v>50</v>
      </c>
      <c r="F111" s="15">
        <v>100</v>
      </c>
      <c r="J111" s="7"/>
    </row>
    <row r="112" spans="1:10" x14ac:dyDescent="0.35">
      <c r="A112" s="9">
        <v>10</v>
      </c>
      <c r="B112" s="9">
        <v>3</v>
      </c>
      <c r="C112" s="15" t="s">
        <v>48</v>
      </c>
      <c r="D112" s="15">
        <v>49</v>
      </c>
      <c r="E112" s="15">
        <v>100</v>
      </c>
      <c r="F112" s="15">
        <v>101</v>
      </c>
      <c r="J112" s="7"/>
    </row>
    <row r="113" spans="1:10" x14ac:dyDescent="0.35">
      <c r="A113" s="9">
        <v>10</v>
      </c>
      <c r="B113" s="9">
        <v>4</v>
      </c>
      <c r="C113" s="15" t="s">
        <v>49</v>
      </c>
      <c r="D113" s="15">
        <v>100</v>
      </c>
      <c r="E113" s="15">
        <v>500</v>
      </c>
      <c r="F113" s="15">
        <v>1000</v>
      </c>
      <c r="J113" s="7"/>
    </row>
    <row r="114" spans="1:10" x14ac:dyDescent="0.35">
      <c r="A114" s="9">
        <v>10</v>
      </c>
      <c r="B114" s="9">
        <v>5</v>
      </c>
      <c r="C114" s="15" t="s">
        <v>50</v>
      </c>
      <c r="D114" s="15">
        <v>10</v>
      </c>
      <c r="E114" s="15">
        <v>30</v>
      </c>
      <c r="F114" s="15">
        <v>40</v>
      </c>
      <c r="J114" s="7"/>
    </row>
    <row r="115" spans="1:10" x14ac:dyDescent="0.35">
      <c r="A115" s="9">
        <v>10</v>
      </c>
      <c r="B115" s="9">
        <v>6</v>
      </c>
      <c r="C115" s="15" t="s">
        <v>51</v>
      </c>
      <c r="D115" s="15">
        <v>2</v>
      </c>
      <c r="E115" s="15">
        <v>6</v>
      </c>
      <c r="F115" s="15">
        <v>10</v>
      </c>
      <c r="J115" s="7"/>
    </row>
    <row r="116" spans="1:10" x14ac:dyDescent="0.35">
      <c r="A116" s="9">
        <v>10</v>
      </c>
      <c r="B116" s="9">
        <v>7</v>
      </c>
      <c r="C116" s="15" t="s">
        <v>52</v>
      </c>
      <c r="D116" s="15">
        <v>1770</v>
      </c>
      <c r="E116" s="15">
        <v>17700</v>
      </c>
      <c r="F116" s="15">
        <v>177000</v>
      </c>
      <c r="J116" s="7"/>
    </row>
    <row r="117" spans="1:10" x14ac:dyDescent="0.35">
      <c r="A117" s="9">
        <v>10</v>
      </c>
      <c r="B117" s="9">
        <v>8</v>
      </c>
      <c r="C117" s="15" t="s">
        <v>53</v>
      </c>
      <c r="D117" s="15">
        <v>48</v>
      </c>
      <c r="E117" s="15">
        <v>72</v>
      </c>
      <c r="F117" s="15">
        <v>96</v>
      </c>
      <c r="J117" s="7"/>
    </row>
    <row r="118" spans="1:10" x14ac:dyDescent="0.35">
      <c r="A118" s="9">
        <v>10</v>
      </c>
      <c r="B118" s="9">
        <v>9</v>
      </c>
      <c r="C118" s="15" t="s">
        <v>54</v>
      </c>
      <c r="D118" s="15">
        <v>0.1</v>
      </c>
      <c r="E118" s="15">
        <v>1</v>
      </c>
      <c r="F118" s="15">
        <v>1000</v>
      </c>
      <c r="J118" s="7"/>
    </row>
    <row r="119" spans="1:10" x14ac:dyDescent="0.35">
      <c r="A119" s="9">
        <v>10</v>
      </c>
      <c r="B119" s="9">
        <v>10</v>
      </c>
      <c r="C119" s="15" t="s">
        <v>55</v>
      </c>
      <c r="D119" s="15">
        <v>5000</v>
      </c>
      <c r="E119" s="15">
        <v>25000</v>
      </c>
      <c r="F119" s="15">
        <v>40000</v>
      </c>
      <c r="J119" s="7"/>
    </row>
    <row r="120" spans="1:10" x14ac:dyDescent="0.35">
      <c r="A120" s="9">
        <v>10</v>
      </c>
      <c r="B120" s="9">
        <v>11</v>
      </c>
      <c r="C120" s="15" t="s">
        <v>56</v>
      </c>
      <c r="D120" s="15">
        <v>1</v>
      </c>
      <c r="E120" s="15">
        <v>10</v>
      </c>
      <c r="F120" s="15">
        <v>60</v>
      </c>
      <c r="J120" s="7"/>
    </row>
    <row r="121" spans="1:10" x14ac:dyDescent="0.35">
      <c r="A121" s="9">
        <v>10</v>
      </c>
      <c r="B121" s="9">
        <v>12</v>
      </c>
      <c r="C121" s="15" t="s">
        <v>57</v>
      </c>
      <c r="D121" s="15">
        <v>1</v>
      </c>
      <c r="E121" s="15">
        <v>10</v>
      </c>
      <c r="F121" s="15">
        <v>101</v>
      </c>
      <c r="J121" s="7"/>
    </row>
    <row r="122" spans="1:10" x14ac:dyDescent="0.35">
      <c r="A122" s="9">
        <v>11</v>
      </c>
      <c r="B122" s="9">
        <v>1</v>
      </c>
      <c r="C122" s="15" t="s">
        <v>46</v>
      </c>
      <c r="D122" s="15">
        <v>0.01</v>
      </c>
      <c r="E122" s="15">
        <v>81</v>
      </c>
      <c r="F122" s="15">
        <v>163</v>
      </c>
      <c r="J122" s="7"/>
    </row>
    <row r="123" spans="1:10" x14ac:dyDescent="0.35">
      <c r="A123" s="9">
        <v>11</v>
      </c>
      <c r="B123" s="9">
        <v>2</v>
      </c>
      <c r="C123" s="15" t="s">
        <v>47</v>
      </c>
      <c r="D123" s="15">
        <v>1</v>
      </c>
      <c r="E123" s="15">
        <v>5</v>
      </c>
      <c r="F123" s="15">
        <v>10</v>
      </c>
      <c r="J123" s="7"/>
    </row>
    <row r="124" spans="1:10" x14ac:dyDescent="0.35">
      <c r="A124" s="9">
        <v>11</v>
      </c>
      <c r="B124" s="9">
        <v>3</v>
      </c>
      <c r="C124" s="15" t="s">
        <v>48</v>
      </c>
      <c r="D124" s="15">
        <v>25</v>
      </c>
      <c r="E124" s="15">
        <v>66</v>
      </c>
      <c r="F124" s="15">
        <v>100</v>
      </c>
      <c r="J124" s="7"/>
    </row>
    <row r="125" spans="1:10" x14ac:dyDescent="0.35">
      <c r="A125" s="9">
        <v>11</v>
      </c>
      <c r="B125" s="9">
        <v>4</v>
      </c>
      <c r="C125" s="15" t="s">
        <v>49</v>
      </c>
      <c r="D125" s="15">
        <v>1000</v>
      </c>
      <c r="E125" s="15">
        <v>5000</v>
      </c>
      <c r="F125" s="15">
        <v>10000</v>
      </c>
      <c r="J125" s="7"/>
    </row>
    <row r="126" spans="1:10" x14ac:dyDescent="0.35">
      <c r="A126" s="9">
        <v>11</v>
      </c>
      <c r="B126" s="9">
        <v>5</v>
      </c>
      <c r="C126" s="15" t="s">
        <v>50</v>
      </c>
      <c r="D126" s="15">
        <v>5</v>
      </c>
      <c r="E126" s="15">
        <v>15</v>
      </c>
      <c r="F126" s="15">
        <v>30</v>
      </c>
      <c r="J126" s="7"/>
    </row>
    <row r="127" spans="1:10" x14ac:dyDescent="0.35">
      <c r="A127" s="9">
        <v>11</v>
      </c>
      <c r="B127" s="9">
        <v>6</v>
      </c>
      <c r="C127" s="15" t="s">
        <v>51</v>
      </c>
      <c r="D127" s="15">
        <v>2</v>
      </c>
      <c r="E127" s="15">
        <v>7</v>
      </c>
      <c r="F127" s="15">
        <v>14</v>
      </c>
      <c r="J127" s="7"/>
    </row>
    <row r="128" spans="1:10" x14ac:dyDescent="0.35">
      <c r="A128" s="9">
        <v>11</v>
      </c>
      <c r="B128" s="9">
        <v>7</v>
      </c>
      <c r="C128" s="15" t="s">
        <v>52</v>
      </c>
      <c r="D128" s="15">
        <v>177</v>
      </c>
      <c r="E128" s="15">
        <v>500</v>
      </c>
      <c r="F128" s="15">
        <v>1000</v>
      </c>
      <c r="J128" s="7"/>
    </row>
    <row r="129" spans="1:10" x14ac:dyDescent="0.35">
      <c r="A129" s="9">
        <v>11</v>
      </c>
      <c r="B129" s="9">
        <v>8</v>
      </c>
      <c r="C129" s="15" t="s">
        <v>53</v>
      </c>
      <c r="D129" s="15">
        <v>18</v>
      </c>
      <c r="E129" s="15">
        <v>36</v>
      </c>
      <c r="F129" s="15">
        <v>48</v>
      </c>
      <c r="J129" s="7"/>
    </row>
    <row r="130" spans="1:10" x14ac:dyDescent="0.35">
      <c r="A130" s="9">
        <v>11</v>
      </c>
      <c r="B130" s="9">
        <v>9</v>
      </c>
      <c r="C130" s="15" t="s">
        <v>54</v>
      </c>
      <c r="D130" s="15">
        <v>25</v>
      </c>
      <c r="E130" s="15">
        <v>50</v>
      </c>
      <c r="F130" s="15">
        <v>250</v>
      </c>
      <c r="J130" s="7"/>
    </row>
    <row r="131" spans="1:10" x14ac:dyDescent="0.35">
      <c r="A131" s="9">
        <v>11</v>
      </c>
      <c r="B131" s="9">
        <v>10</v>
      </c>
      <c r="C131" s="15" t="s">
        <v>55</v>
      </c>
      <c r="D131" s="15">
        <v>825</v>
      </c>
      <c r="E131" s="15">
        <v>1000</v>
      </c>
      <c r="F131" s="15">
        <v>10000</v>
      </c>
      <c r="J131" s="7"/>
    </row>
    <row r="132" spans="1:10" x14ac:dyDescent="0.35">
      <c r="A132" s="9">
        <v>11</v>
      </c>
      <c r="B132" s="9">
        <v>11</v>
      </c>
      <c r="C132" s="15" t="s">
        <v>56</v>
      </c>
      <c r="D132" s="15">
        <v>50</v>
      </c>
      <c r="E132" s="15">
        <v>80</v>
      </c>
      <c r="F132" s="15">
        <v>95</v>
      </c>
      <c r="J132" s="7"/>
    </row>
    <row r="133" spans="1:10" x14ac:dyDescent="0.35">
      <c r="A133" s="9">
        <v>11</v>
      </c>
      <c r="B133" s="9">
        <v>12</v>
      </c>
      <c r="C133" s="15" t="s">
        <v>57</v>
      </c>
      <c r="D133" s="15">
        <v>1</v>
      </c>
      <c r="E133" s="15">
        <v>10</v>
      </c>
      <c r="F133" s="15">
        <v>101</v>
      </c>
      <c r="J133" s="7"/>
    </row>
    <row r="134" spans="1:10" x14ac:dyDescent="0.35">
      <c r="A134" s="9">
        <v>12</v>
      </c>
      <c r="B134" s="9">
        <v>1</v>
      </c>
      <c r="C134" s="15" t="s">
        <v>46</v>
      </c>
      <c r="D134" s="15">
        <v>10</v>
      </c>
      <c r="E134" s="15">
        <v>50</v>
      </c>
      <c r="F134" s="15">
        <v>100</v>
      </c>
      <c r="J134" s="7"/>
    </row>
    <row r="135" spans="1:10" x14ac:dyDescent="0.35">
      <c r="A135" s="9">
        <v>12</v>
      </c>
      <c r="B135" s="9">
        <v>2</v>
      </c>
      <c r="C135" s="15" t="s">
        <v>47</v>
      </c>
      <c r="D135" s="15">
        <v>150</v>
      </c>
      <c r="E135" s="15">
        <v>300</v>
      </c>
      <c r="F135" s="15">
        <v>600</v>
      </c>
      <c r="J135" s="7"/>
    </row>
    <row r="136" spans="1:10" x14ac:dyDescent="0.35">
      <c r="A136" s="9">
        <v>12</v>
      </c>
      <c r="B136" s="9">
        <v>3</v>
      </c>
      <c r="C136" s="15" t="s">
        <v>48</v>
      </c>
      <c r="D136" s="15">
        <v>30</v>
      </c>
      <c r="E136" s="15">
        <v>70</v>
      </c>
      <c r="F136" s="15">
        <v>90</v>
      </c>
      <c r="J136" s="7"/>
    </row>
    <row r="137" spans="1:10" x14ac:dyDescent="0.35">
      <c r="A137" s="9">
        <v>12</v>
      </c>
      <c r="B137" s="9">
        <v>4</v>
      </c>
      <c r="C137" s="15" t="s">
        <v>49</v>
      </c>
      <c r="D137" s="15">
        <v>100</v>
      </c>
      <c r="E137" s="15">
        <v>250</v>
      </c>
      <c r="F137" s="15">
        <v>3000</v>
      </c>
      <c r="J137" s="7"/>
    </row>
    <row r="138" spans="1:10" x14ac:dyDescent="0.35">
      <c r="A138" s="9">
        <v>12</v>
      </c>
      <c r="B138" s="9">
        <v>5</v>
      </c>
      <c r="C138" s="15" t="s">
        <v>50</v>
      </c>
      <c r="D138" s="15">
        <v>0.01</v>
      </c>
      <c r="E138" s="15">
        <v>10</v>
      </c>
      <c r="F138" s="15">
        <v>50</v>
      </c>
      <c r="J138" s="7"/>
    </row>
    <row r="139" spans="1:10" x14ac:dyDescent="0.35">
      <c r="A139" s="9">
        <v>12</v>
      </c>
      <c r="B139" s="9">
        <v>6</v>
      </c>
      <c r="C139" s="15" t="s">
        <v>51</v>
      </c>
      <c r="D139" s="15">
        <v>6</v>
      </c>
      <c r="E139" s="15">
        <v>8</v>
      </c>
      <c r="F139" s="15">
        <v>15</v>
      </c>
      <c r="J139" s="7"/>
    </row>
    <row r="140" spans="1:10" x14ac:dyDescent="0.35">
      <c r="A140" s="9">
        <v>12</v>
      </c>
      <c r="B140" s="9">
        <v>7</v>
      </c>
      <c r="C140" s="15" t="s">
        <v>52</v>
      </c>
      <c r="D140" s="15">
        <v>5</v>
      </c>
      <c r="E140" s="15">
        <v>20</v>
      </c>
      <c r="F140" s="15">
        <v>200</v>
      </c>
      <c r="J140" s="7"/>
    </row>
    <row r="141" spans="1:10" x14ac:dyDescent="0.35">
      <c r="A141" s="9">
        <v>12</v>
      </c>
      <c r="B141" s="9">
        <v>8</v>
      </c>
      <c r="C141" s="15" t="s">
        <v>53</v>
      </c>
      <c r="D141" s="15">
        <v>36</v>
      </c>
      <c r="E141" s="15">
        <v>48</v>
      </c>
      <c r="F141" s="15">
        <v>72</v>
      </c>
      <c r="J141" s="7"/>
    </row>
    <row r="142" spans="1:10" x14ac:dyDescent="0.35">
      <c r="A142" s="9">
        <v>12</v>
      </c>
      <c r="B142" s="9">
        <v>9</v>
      </c>
      <c r="C142" s="15" t="s">
        <v>54</v>
      </c>
      <c r="D142" s="15">
        <v>1</v>
      </c>
      <c r="E142" s="15">
        <v>5</v>
      </c>
      <c r="F142" s="15">
        <v>20</v>
      </c>
      <c r="J142" s="7"/>
    </row>
    <row r="143" spans="1:10" x14ac:dyDescent="0.35">
      <c r="A143" s="9">
        <v>12</v>
      </c>
      <c r="B143" s="9">
        <v>10</v>
      </c>
      <c r="C143" s="15" t="s">
        <v>55</v>
      </c>
      <c r="D143" s="15">
        <v>100</v>
      </c>
      <c r="E143" s="15">
        <v>1000</v>
      </c>
      <c r="F143" s="15">
        <v>3000</v>
      </c>
      <c r="J143" s="7"/>
    </row>
    <row r="144" spans="1:10" x14ac:dyDescent="0.35">
      <c r="A144" s="9">
        <v>12</v>
      </c>
      <c r="B144" s="9">
        <v>11</v>
      </c>
      <c r="C144" s="15" t="s">
        <v>56</v>
      </c>
      <c r="D144" s="15">
        <v>40</v>
      </c>
      <c r="E144" s="15">
        <v>70</v>
      </c>
      <c r="F144" s="15">
        <v>90</v>
      </c>
      <c r="J144" s="7"/>
    </row>
    <row r="145" spans="1:10" x14ac:dyDescent="0.35">
      <c r="A145" s="9">
        <v>12</v>
      </c>
      <c r="B145" s="9">
        <v>12</v>
      </c>
      <c r="C145" s="15" t="s">
        <v>57</v>
      </c>
      <c r="D145" s="15">
        <v>10</v>
      </c>
      <c r="E145" s="15">
        <v>1000</v>
      </c>
      <c r="F145" s="15">
        <v>10000</v>
      </c>
      <c r="J145" s="7"/>
    </row>
    <row r="146" spans="1:10" x14ac:dyDescent="0.35">
      <c r="C146" s="15"/>
      <c r="J146" s="7"/>
    </row>
    <row r="147" spans="1:10" x14ac:dyDescent="0.35">
      <c r="C147" s="15"/>
      <c r="J147" s="7"/>
    </row>
    <row r="148" spans="1:10" x14ac:dyDescent="0.35">
      <c r="C148" s="15"/>
      <c r="J148" s="7"/>
    </row>
    <row r="149" spans="1:10" x14ac:dyDescent="0.35">
      <c r="C149" s="15"/>
      <c r="J149" s="7"/>
    </row>
    <row r="150" spans="1:10" x14ac:dyDescent="0.35">
      <c r="C150" s="15"/>
      <c r="J150" s="7"/>
    </row>
    <row r="151" spans="1:10" x14ac:dyDescent="0.35">
      <c r="C151" s="15"/>
      <c r="J151" s="7"/>
    </row>
    <row r="152" spans="1:10" x14ac:dyDescent="0.35">
      <c r="C152" s="15"/>
      <c r="J152" s="7"/>
    </row>
    <row r="153" spans="1:10" x14ac:dyDescent="0.35">
      <c r="C153" s="15"/>
      <c r="J153" s="7"/>
    </row>
    <row r="154" spans="1:10" x14ac:dyDescent="0.35">
      <c r="C154" s="15"/>
      <c r="J154" s="7"/>
    </row>
    <row r="155" spans="1:10" x14ac:dyDescent="0.35">
      <c r="C155" s="15"/>
      <c r="J155" s="7"/>
    </row>
    <row r="156" spans="1:10" x14ac:dyDescent="0.35">
      <c r="C156" s="15"/>
      <c r="J156" s="7"/>
    </row>
    <row r="157" spans="1:10" x14ac:dyDescent="0.35">
      <c r="C157" s="15"/>
      <c r="J157" s="7"/>
    </row>
    <row r="158" spans="1:10" x14ac:dyDescent="0.35">
      <c r="C158" s="15"/>
      <c r="J158" s="7"/>
    </row>
    <row r="159" spans="1:10" x14ac:dyDescent="0.35">
      <c r="C159" s="15"/>
      <c r="J159" s="7"/>
    </row>
    <row r="160" spans="1:10" x14ac:dyDescent="0.35">
      <c r="C160" s="15"/>
      <c r="J160" s="7"/>
    </row>
    <row r="161" spans="3:10" x14ac:dyDescent="0.35">
      <c r="C161" s="15"/>
      <c r="J161" s="7"/>
    </row>
    <row r="162" spans="3:10" x14ac:dyDescent="0.35">
      <c r="C162" s="15"/>
      <c r="J162" s="7"/>
    </row>
    <row r="163" spans="3:10" x14ac:dyDescent="0.35">
      <c r="C163" s="15"/>
      <c r="J163" s="7"/>
    </row>
    <row r="164" spans="3:10" x14ac:dyDescent="0.35">
      <c r="C164" s="15"/>
      <c r="J164" s="7"/>
    </row>
    <row r="165" spans="3:10" x14ac:dyDescent="0.35">
      <c r="C165" s="15"/>
      <c r="J165" s="7"/>
    </row>
    <row r="166" spans="3:10" x14ac:dyDescent="0.35">
      <c r="C166" s="15"/>
      <c r="J166" s="7"/>
    </row>
    <row r="167" spans="3:10" x14ac:dyDescent="0.35">
      <c r="C167" s="15"/>
      <c r="J167" s="7"/>
    </row>
    <row r="168" spans="3:10" x14ac:dyDescent="0.35">
      <c r="C168" s="15"/>
      <c r="J168" s="7"/>
    </row>
    <row r="169" spans="3:10" x14ac:dyDescent="0.35">
      <c r="C169" s="15"/>
      <c r="J169" s="7"/>
    </row>
    <row r="170" spans="3:10" x14ac:dyDescent="0.35">
      <c r="C170" s="15"/>
      <c r="J170" s="7"/>
    </row>
    <row r="171" spans="3:10" x14ac:dyDescent="0.35">
      <c r="C171" s="15"/>
      <c r="J171" s="7"/>
    </row>
    <row r="172" spans="3:10" x14ac:dyDescent="0.35">
      <c r="C172" s="15"/>
      <c r="J172" s="7"/>
    </row>
    <row r="173" spans="3:10" x14ac:dyDescent="0.35">
      <c r="C173" s="15"/>
      <c r="J173" s="7"/>
    </row>
    <row r="174" spans="3:10" x14ac:dyDescent="0.35">
      <c r="C174" s="15"/>
      <c r="J174" s="7"/>
    </row>
    <row r="175" spans="3:10" x14ac:dyDescent="0.35">
      <c r="C175" s="15"/>
      <c r="J175" s="7"/>
    </row>
    <row r="176" spans="3:10" x14ac:dyDescent="0.35">
      <c r="C176" s="15"/>
      <c r="J176" s="7"/>
    </row>
    <row r="177" spans="3:10" x14ac:dyDescent="0.35">
      <c r="C177" s="15"/>
      <c r="J177" s="7"/>
    </row>
    <row r="178" spans="3:10" x14ac:dyDescent="0.35">
      <c r="C178" s="15"/>
      <c r="J178" s="7"/>
    </row>
    <row r="179" spans="3:10" x14ac:dyDescent="0.35">
      <c r="C179" s="15"/>
      <c r="J179" s="7"/>
    </row>
    <row r="180" spans="3:10" x14ac:dyDescent="0.35">
      <c r="C180" s="15"/>
      <c r="J180" s="7"/>
    </row>
    <row r="181" spans="3:10" x14ac:dyDescent="0.35">
      <c r="C181" s="15"/>
      <c r="J181" s="7"/>
    </row>
    <row r="182" spans="3:10" x14ac:dyDescent="0.35">
      <c r="C182" s="15"/>
      <c r="J182" s="7"/>
    </row>
    <row r="183" spans="3:10" x14ac:dyDescent="0.35">
      <c r="C183" s="15"/>
      <c r="J183" s="7"/>
    </row>
    <row r="184" spans="3:10" x14ac:dyDescent="0.35">
      <c r="C184" s="15"/>
      <c r="J184" s="7"/>
    </row>
    <row r="185" spans="3:10" x14ac:dyDescent="0.35">
      <c r="C185" s="15"/>
      <c r="J185" s="7"/>
    </row>
    <row r="186" spans="3:10" x14ac:dyDescent="0.35">
      <c r="C186" s="15"/>
      <c r="J186" s="7"/>
    </row>
    <row r="187" spans="3:10" x14ac:dyDescent="0.35">
      <c r="C187" s="15"/>
      <c r="J187" s="7"/>
    </row>
    <row r="188" spans="3:10" x14ac:dyDescent="0.35">
      <c r="C188" s="15"/>
      <c r="J188" s="7"/>
    </row>
    <row r="189" spans="3:10" x14ac:dyDescent="0.35">
      <c r="C189" s="15"/>
      <c r="J189" s="7"/>
    </row>
    <row r="190" spans="3:10" x14ac:dyDescent="0.35">
      <c r="C190" s="15"/>
      <c r="J190" s="7"/>
    </row>
    <row r="191" spans="3:10" x14ac:dyDescent="0.35">
      <c r="C191" s="15"/>
      <c r="J191" s="7"/>
    </row>
    <row r="192" spans="3:10" x14ac:dyDescent="0.35">
      <c r="C192" s="15"/>
      <c r="J192" s="7"/>
    </row>
    <row r="193" spans="3:10" x14ac:dyDescent="0.35">
      <c r="C193" s="15"/>
      <c r="J193" s="7"/>
    </row>
    <row r="194" spans="3:10" x14ac:dyDescent="0.35">
      <c r="C194" s="15"/>
      <c r="J194" s="7"/>
    </row>
    <row r="195" spans="3:10" x14ac:dyDescent="0.35">
      <c r="C195" s="15"/>
      <c r="J195" s="7"/>
    </row>
    <row r="196" spans="3:10" x14ac:dyDescent="0.35">
      <c r="C196" s="15"/>
      <c r="J196" s="7"/>
    </row>
    <row r="197" spans="3:10" x14ac:dyDescent="0.35">
      <c r="C197" s="15"/>
      <c r="J197" s="7"/>
    </row>
    <row r="198" spans="3:10" x14ac:dyDescent="0.35">
      <c r="C198" s="15"/>
      <c r="J198" s="7"/>
    </row>
    <row r="199" spans="3:10" x14ac:dyDescent="0.35">
      <c r="C199" s="15"/>
      <c r="J199" s="7"/>
    </row>
    <row r="200" spans="3:10" x14ac:dyDescent="0.35">
      <c r="C200" s="15"/>
      <c r="J200" s="7"/>
    </row>
    <row r="201" spans="3:10" x14ac:dyDescent="0.35">
      <c r="C201" s="15"/>
      <c r="J201" s="7"/>
    </row>
    <row r="202" spans="3:10" x14ac:dyDescent="0.35">
      <c r="C202" s="15"/>
      <c r="J202" s="7"/>
    </row>
    <row r="203" spans="3:10" x14ac:dyDescent="0.35">
      <c r="C203" s="15"/>
      <c r="J203" s="7"/>
    </row>
    <row r="204" spans="3:10" x14ac:dyDescent="0.35">
      <c r="C204" s="15"/>
      <c r="J204" s="7"/>
    </row>
    <row r="205" spans="3:10" x14ac:dyDescent="0.35">
      <c r="C205" s="15"/>
      <c r="J205" s="7"/>
    </row>
    <row r="206" spans="3:10" x14ac:dyDescent="0.35">
      <c r="C206" s="15"/>
      <c r="J206" s="7"/>
    </row>
    <row r="207" spans="3:10" x14ac:dyDescent="0.35">
      <c r="C207" s="15"/>
      <c r="J207" s="7"/>
    </row>
    <row r="208" spans="3:10" x14ac:dyDescent="0.35">
      <c r="C208" s="15"/>
      <c r="J208" s="7"/>
    </row>
    <row r="209" spans="3:10" x14ac:dyDescent="0.35">
      <c r="C209" s="15"/>
      <c r="J209" s="7"/>
    </row>
    <row r="210" spans="3:10" x14ac:dyDescent="0.35">
      <c r="C210" s="15"/>
      <c r="J210" s="7"/>
    </row>
    <row r="211" spans="3:10" x14ac:dyDescent="0.35">
      <c r="C211" s="15"/>
      <c r="J211" s="7"/>
    </row>
    <row r="212" spans="3:10" x14ac:dyDescent="0.35">
      <c r="C212" s="15"/>
      <c r="J212" s="7"/>
    </row>
    <row r="213" spans="3:10" x14ac:dyDescent="0.35">
      <c r="C213" s="15"/>
      <c r="J213" s="7"/>
    </row>
    <row r="214" spans="3:10" x14ac:dyDescent="0.35">
      <c r="C214" s="15"/>
      <c r="J214" s="7"/>
    </row>
    <row r="215" spans="3:10" x14ac:dyDescent="0.35">
      <c r="C215" s="15"/>
      <c r="J215" s="7"/>
    </row>
    <row r="216" spans="3:10" x14ac:dyDescent="0.35">
      <c r="C216" s="15"/>
      <c r="J216" s="7"/>
    </row>
    <row r="217" spans="3:10" x14ac:dyDescent="0.35">
      <c r="C217" s="15"/>
      <c r="J217" s="7"/>
    </row>
    <row r="218" spans="3:10" x14ac:dyDescent="0.35">
      <c r="C218" s="15"/>
      <c r="J218" s="7"/>
    </row>
    <row r="219" spans="3:10" x14ac:dyDescent="0.35">
      <c r="C219" s="15"/>
      <c r="J219" s="7"/>
    </row>
    <row r="220" spans="3:10" x14ac:dyDescent="0.35">
      <c r="C220" s="15"/>
      <c r="J220" s="7"/>
    </row>
    <row r="221" spans="3:10" x14ac:dyDescent="0.35">
      <c r="C221" s="15"/>
      <c r="J221" s="7"/>
    </row>
    <row r="222" spans="3:10" x14ac:dyDescent="0.35">
      <c r="C222" s="15"/>
      <c r="J222" s="7"/>
    </row>
    <row r="223" spans="3:10" x14ac:dyDescent="0.35">
      <c r="C223" s="15"/>
      <c r="J223" s="7"/>
    </row>
    <row r="224" spans="3:10" x14ac:dyDescent="0.35">
      <c r="C224" s="15"/>
      <c r="J224" s="7"/>
    </row>
    <row r="225" spans="3:10" x14ac:dyDescent="0.35">
      <c r="C225" s="15"/>
      <c r="J225" s="7"/>
    </row>
    <row r="226" spans="3:10" x14ac:dyDescent="0.35">
      <c r="C226" s="15"/>
      <c r="J226" s="7"/>
    </row>
    <row r="227" spans="3:10" x14ac:dyDescent="0.35">
      <c r="C227" s="15"/>
      <c r="J227" s="7"/>
    </row>
    <row r="228" spans="3:10" x14ac:dyDescent="0.35">
      <c r="C228" s="15"/>
      <c r="J228" s="7"/>
    </row>
    <row r="229" spans="3:10" x14ac:dyDescent="0.35">
      <c r="C229" s="15"/>
      <c r="J229" s="7"/>
    </row>
    <row r="230" spans="3:10" x14ac:dyDescent="0.35">
      <c r="C230" s="15"/>
      <c r="J230" s="7"/>
    </row>
    <row r="231" spans="3:10" x14ac:dyDescent="0.35">
      <c r="C231" s="15"/>
      <c r="J231" s="7"/>
    </row>
    <row r="232" spans="3:10" x14ac:dyDescent="0.35">
      <c r="C232" s="15"/>
      <c r="J232" s="7"/>
    </row>
    <row r="233" spans="3:10" x14ac:dyDescent="0.35">
      <c r="C233" s="15"/>
      <c r="J233" s="7"/>
    </row>
    <row r="234" spans="3:10" x14ac:dyDescent="0.35">
      <c r="C234" s="15"/>
      <c r="J234" s="7"/>
    </row>
    <row r="235" spans="3:10" x14ac:dyDescent="0.35">
      <c r="C235" s="15"/>
      <c r="J235" s="7"/>
    </row>
    <row r="236" spans="3:10" x14ac:dyDescent="0.35">
      <c r="C236" s="15"/>
      <c r="J236" s="7"/>
    </row>
    <row r="237" spans="3:10" x14ac:dyDescent="0.35">
      <c r="C237" s="15"/>
      <c r="J237" s="7"/>
    </row>
    <row r="238" spans="3:10" x14ac:dyDescent="0.35">
      <c r="C238" s="15"/>
      <c r="J238" s="7"/>
    </row>
    <row r="239" spans="3:10" x14ac:dyDescent="0.35">
      <c r="C239" s="15"/>
      <c r="J239" s="7"/>
    </row>
    <row r="240" spans="3:10" x14ac:dyDescent="0.35">
      <c r="C240" s="15"/>
      <c r="J240" s="7"/>
    </row>
    <row r="241" spans="3:10" x14ac:dyDescent="0.35">
      <c r="C241" s="15"/>
      <c r="J241" s="7"/>
    </row>
    <row r="242" spans="3:10" x14ac:dyDescent="0.35">
      <c r="C242" s="15"/>
      <c r="J242" s="7"/>
    </row>
    <row r="243" spans="3:10" x14ac:dyDescent="0.35">
      <c r="C243" s="15"/>
      <c r="J243" s="7"/>
    </row>
    <row r="244" spans="3:10" x14ac:dyDescent="0.35">
      <c r="C244" s="15"/>
      <c r="J244" s="7"/>
    </row>
    <row r="245" spans="3:10" x14ac:dyDescent="0.35">
      <c r="C245" s="15"/>
      <c r="J245" s="7"/>
    </row>
    <row r="246" spans="3:10" x14ac:dyDescent="0.35">
      <c r="C246" s="15"/>
      <c r="J246" s="7"/>
    </row>
    <row r="247" spans="3:10" x14ac:dyDescent="0.35">
      <c r="C247" s="15"/>
      <c r="J247" s="7"/>
    </row>
    <row r="248" spans="3:10" x14ac:dyDescent="0.35">
      <c r="C248" s="15"/>
      <c r="J248" s="7"/>
    </row>
    <row r="249" spans="3:10" x14ac:dyDescent="0.35">
      <c r="C249" s="15"/>
      <c r="J249" s="7"/>
    </row>
    <row r="250" spans="3:10" x14ac:dyDescent="0.35">
      <c r="C250" s="15"/>
      <c r="J250" s="7"/>
    </row>
    <row r="251" spans="3:10" x14ac:dyDescent="0.35">
      <c r="C251" s="15"/>
      <c r="J251" s="7"/>
    </row>
    <row r="252" spans="3:10" x14ac:dyDescent="0.35">
      <c r="C252" s="15"/>
      <c r="J252" s="7"/>
    </row>
    <row r="253" spans="3:10" x14ac:dyDescent="0.35">
      <c r="C253" s="15"/>
      <c r="J253" s="7"/>
    </row>
    <row r="254" spans="3:10" x14ac:dyDescent="0.35">
      <c r="C254" s="15"/>
      <c r="J254" s="7"/>
    </row>
    <row r="255" spans="3:10" x14ac:dyDescent="0.35">
      <c r="C255" s="15"/>
      <c r="J255" s="7"/>
    </row>
    <row r="256" spans="3:10" x14ac:dyDescent="0.35">
      <c r="C256" s="15"/>
      <c r="J256" s="7"/>
    </row>
    <row r="257" spans="3:10" x14ac:dyDescent="0.35">
      <c r="C257" s="15"/>
      <c r="J257" s="7"/>
    </row>
    <row r="258" spans="3:10" x14ac:dyDescent="0.35">
      <c r="C258" s="15"/>
      <c r="J258" s="7"/>
    </row>
    <row r="259" spans="3:10" x14ac:dyDescent="0.35">
      <c r="C259" s="15"/>
      <c r="J259" s="7"/>
    </row>
    <row r="260" spans="3:10" x14ac:dyDescent="0.35">
      <c r="C260" s="15"/>
      <c r="J260" s="7"/>
    </row>
    <row r="261" spans="3:10" x14ac:dyDescent="0.35">
      <c r="C261" s="15"/>
      <c r="J261" s="7"/>
    </row>
    <row r="262" spans="3:10" x14ac:dyDescent="0.35">
      <c r="C262" s="15"/>
      <c r="J262" s="7"/>
    </row>
    <row r="263" spans="3:10" x14ac:dyDescent="0.35">
      <c r="C263" s="15"/>
      <c r="J263" s="7"/>
    </row>
    <row r="264" spans="3:10" x14ac:dyDescent="0.35">
      <c r="C264" s="15"/>
      <c r="J264" s="7"/>
    </row>
    <row r="265" spans="3:10" x14ac:dyDescent="0.35">
      <c r="C265" s="15"/>
      <c r="J265" s="7"/>
    </row>
    <row r="266" spans="3:10" x14ac:dyDescent="0.35">
      <c r="C266" s="15"/>
      <c r="J266" s="7"/>
    </row>
    <row r="267" spans="3:10" x14ac:dyDescent="0.35">
      <c r="C267" s="15"/>
      <c r="J267" s="7"/>
    </row>
    <row r="268" spans="3:10" x14ac:dyDescent="0.35">
      <c r="C268" s="15"/>
      <c r="J268" s="7"/>
    </row>
    <row r="269" spans="3:10" x14ac:dyDescent="0.35">
      <c r="C269" s="15"/>
      <c r="J269" s="7"/>
    </row>
    <row r="270" spans="3:10" x14ac:dyDescent="0.35">
      <c r="C270" s="15"/>
      <c r="J270" s="7"/>
    </row>
    <row r="271" spans="3:10" x14ac:dyDescent="0.35">
      <c r="C271" s="15"/>
      <c r="J271" s="7"/>
    </row>
    <row r="272" spans="3:10" x14ac:dyDescent="0.35">
      <c r="C272" s="15"/>
      <c r="J272" s="7"/>
    </row>
    <row r="273" spans="3:10" x14ac:dyDescent="0.35">
      <c r="C273" s="15"/>
      <c r="J273" s="7"/>
    </row>
    <row r="274" spans="3:10" x14ac:dyDescent="0.35">
      <c r="C274" s="15"/>
      <c r="J274" s="7"/>
    </row>
    <row r="275" spans="3:10" x14ac:dyDescent="0.35">
      <c r="C275" s="15"/>
      <c r="J275" s="7"/>
    </row>
    <row r="276" spans="3:10" x14ac:dyDescent="0.35">
      <c r="C276" s="15"/>
      <c r="J276" s="7"/>
    </row>
    <row r="277" spans="3:10" x14ac:dyDescent="0.35">
      <c r="C277" s="15"/>
      <c r="J277" s="7"/>
    </row>
    <row r="278" spans="3:10" x14ac:dyDescent="0.35">
      <c r="C278" s="15"/>
      <c r="J278" s="7"/>
    </row>
    <row r="279" spans="3:10" x14ac:dyDescent="0.35">
      <c r="C279" s="15"/>
      <c r="J279" s="7"/>
    </row>
    <row r="280" spans="3:10" x14ac:dyDescent="0.35">
      <c r="C280" s="15"/>
      <c r="J280" s="7"/>
    </row>
    <row r="281" spans="3:10" x14ac:dyDescent="0.35">
      <c r="C281" s="15"/>
      <c r="J281" s="7"/>
    </row>
    <row r="282" spans="3:10" x14ac:dyDescent="0.35">
      <c r="C282" s="15"/>
      <c r="J282" s="7"/>
    </row>
    <row r="283" spans="3:10" x14ac:dyDescent="0.35">
      <c r="C283" s="15"/>
      <c r="J283" s="7"/>
    </row>
    <row r="284" spans="3:10" x14ac:dyDescent="0.35">
      <c r="C284" s="15"/>
      <c r="J284" s="7"/>
    </row>
    <row r="285" spans="3:10" x14ac:dyDescent="0.35">
      <c r="C285" s="15"/>
      <c r="J285" s="7"/>
    </row>
    <row r="286" spans="3:10" x14ac:dyDescent="0.35">
      <c r="C286" s="15"/>
      <c r="J286" s="7"/>
    </row>
    <row r="287" spans="3:10" x14ac:dyDescent="0.35">
      <c r="C287" s="15"/>
      <c r="J287" s="7"/>
    </row>
    <row r="288" spans="3:10" x14ac:dyDescent="0.35">
      <c r="C288" s="15"/>
      <c r="J288" s="7"/>
    </row>
    <row r="289" spans="3:10" x14ac:dyDescent="0.35">
      <c r="C289" s="15"/>
      <c r="J289" s="7"/>
    </row>
    <row r="290" spans="3:10" x14ac:dyDescent="0.35">
      <c r="C290" s="15"/>
      <c r="J290" s="7"/>
    </row>
    <row r="291" spans="3:10" x14ac:dyDescent="0.35">
      <c r="C291" s="15"/>
      <c r="J291" s="7"/>
    </row>
    <row r="292" spans="3:10" x14ac:dyDescent="0.35">
      <c r="C292" s="15"/>
      <c r="J292" s="7"/>
    </row>
    <row r="293" spans="3:10" x14ac:dyDescent="0.35">
      <c r="C293" s="15"/>
      <c r="J293" s="7"/>
    </row>
    <row r="294" spans="3:10" x14ac:dyDescent="0.35">
      <c r="C294" s="15"/>
      <c r="J294" s="7"/>
    </row>
    <row r="295" spans="3:10" x14ac:dyDescent="0.35">
      <c r="C295" s="15"/>
      <c r="J295" s="7"/>
    </row>
    <row r="296" spans="3:10" x14ac:dyDescent="0.35">
      <c r="C296" s="15"/>
      <c r="J296" s="7"/>
    </row>
    <row r="297" spans="3:10" x14ac:dyDescent="0.35">
      <c r="C297" s="15"/>
      <c r="J297" s="7"/>
    </row>
    <row r="298" spans="3:10" x14ac:dyDescent="0.35">
      <c r="C298" s="15"/>
      <c r="J298" s="7"/>
    </row>
    <row r="299" spans="3:10" x14ac:dyDescent="0.35">
      <c r="C299" s="15"/>
      <c r="J299" s="7"/>
    </row>
    <row r="300" spans="3:10" x14ac:dyDescent="0.35">
      <c r="C300" s="15"/>
      <c r="J300" s="7"/>
    </row>
    <row r="301" spans="3:10" x14ac:dyDescent="0.35">
      <c r="C301" s="15"/>
      <c r="J301" s="7"/>
    </row>
    <row r="302" spans="3:10" x14ac:dyDescent="0.35">
      <c r="C302" s="15"/>
      <c r="J302" s="7"/>
    </row>
    <row r="303" spans="3:10" x14ac:dyDescent="0.35">
      <c r="C303" s="15"/>
      <c r="J303" s="7"/>
    </row>
    <row r="304" spans="3:10" x14ac:dyDescent="0.35">
      <c r="C304" s="15"/>
      <c r="J304" s="7"/>
    </row>
    <row r="305" spans="3:10" x14ac:dyDescent="0.35">
      <c r="C305" s="15"/>
      <c r="J305" s="7"/>
    </row>
    <row r="306" spans="3:10" x14ac:dyDescent="0.35">
      <c r="C306" s="15"/>
      <c r="J306" s="7"/>
    </row>
    <row r="307" spans="3:10" x14ac:dyDescent="0.35">
      <c r="C307" s="15"/>
      <c r="J307" s="7"/>
    </row>
    <row r="308" spans="3:10" x14ac:dyDescent="0.35">
      <c r="C308" s="15"/>
      <c r="J308" s="7"/>
    </row>
    <row r="309" spans="3:10" x14ac:dyDescent="0.35">
      <c r="C309" s="15"/>
      <c r="J309" s="7"/>
    </row>
    <row r="310" spans="3:10" x14ac:dyDescent="0.35">
      <c r="C310" s="15"/>
      <c r="J310" s="7"/>
    </row>
    <row r="311" spans="3:10" x14ac:dyDescent="0.35">
      <c r="C311" s="15"/>
      <c r="J311" s="7"/>
    </row>
    <row r="312" spans="3:10" x14ac:dyDescent="0.35">
      <c r="C312" s="15"/>
      <c r="J312" s="7"/>
    </row>
    <row r="313" spans="3:10" x14ac:dyDescent="0.35">
      <c r="C313" s="15"/>
      <c r="J313" s="7"/>
    </row>
    <row r="314" spans="3:10" x14ac:dyDescent="0.35">
      <c r="C314" s="15"/>
      <c r="J314" s="7"/>
    </row>
    <row r="315" spans="3:10" x14ac:dyDescent="0.35">
      <c r="C315" s="15"/>
      <c r="J315" s="7"/>
    </row>
    <row r="316" spans="3:10" x14ac:dyDescent="0.35">
      <c r="C316" s="15"/>
      <c r="J316" s="7"/>
    </row>
    <row r="317" spans="3:10" x14ac:dyDescent="0.35">
      <c r="C317" s="15"/>
      <c r="J317" s="7"/>
    </row>
    <row r="318" spans="3:10" x14ac:dyDescent="0.35">
      <c r="C318" s="15"/>
      <c r="J318" s="7"/>
    </row>
    <row r="319" spans="3:10" x14ac:dyDescent="0.35">
      <c r="C319" s="15"/>
      <c r="J319" s="7"/>
    </row>
    <row r="320" spans="3:10" x14ac:dyDescent="0.35">
      <c r="C320" s="15"/>
      <c r="J320" s="7"/>
    </row>
    <row r="321" spans="3:10" x14ac:dyDescent="0.35">
      <c r="C321" s="15"/>
      <c r="J321" s="7"/>
    </row>
    <row r="322" spans="3:10" x14ac:dyDescent="0.35">
      <c r="C322" s="15"/>
      <c r="J322" s="7"/>
    </row>
    <row r="323" spans="3:10" x14ac:dyDescent="0.35">
      <c r="C323" s="15"/>
      <c r="J323" s="7"/>
    </row>
    <row r="324" spans="3:10" x14ac:dyDescent="0.35">
      <c r="C324" s="15"/>
      <c r="J324" s="7"/>
    </row>
    <row r="325" spans="3:10" x14ac:dyDescent="0.35">
      <c r="C325" s="15"/>
      <c r="J325" s="7"/>
    </row>
    <row r="326" spans="3:10" x14ac:dyDescent="0.35">
      <c r="C326" s="15"/>
      <c r="J326" s="7"/>
    </row>
    <row r="327" spans="3:10" x14ac:dyDescent="0.35">
      <c r="C327" s="15"/>
      <c r="J327" s="7"/>
    </row>
    <row r="328" spans="3:10" x14ac:dyDescent="0.35">
      <c r="C328" s="15"/>
      <c r="J328" s="7"/>
    </row>
    <row r="329" spans="3:10" x14ac:dyDescent="0.35">
      <c r="C329" s="15"/>
      <c r="J329" s="7"/>
    </row>
    <row r="330" spans="3:10" x14ac:dyDescent="0.35">
      <c r="C330" s="15"/>
      <c r="J330" s="7"/>
    </row>
    <row r="331" spans="3:10" x14ac:dyDescent="0.35">
      <c r="C331" s="15"/>
      <c r="J331" s="7"/>
    </row>
    <row r="332" spans="3:10" x14ac:dyDescent="0.35">
      <c r="C332" s="15"/>
      <c r="J332" s="7"/>
    </row>
    <row r="333" spans="3:10" x14ac:dyDescent="0.35">
      <c r="C333" s="15"/>
      <c r="J333" s="7"/>
    </row>
    <row r="334" spans="3:10" x14ac:dyDescent="0.35">
      <c r="C334" s="15"/>
      <c r="J334" s="7"/>
    </row>
    <row r="335" spans="3:10" x14ac:dyDescent="0.35">
      <c r="C335" s="15"/>
      <c r="J335" s="7"/>
    </row>
    <row r="336" spans="3:10" x14ac:dyDescent="0.35">
      <c r="C336" s="15"/>
      <c r="J336" s="7"/>
    </row>
    <row r="337" spans="3:10" x14ac:dyDescent="0.35">
      <c r="C337" s="15"/>
      <c r="J337" s="7"/>
    </row>
    <row r="338" spans="3:10" x14ac:dyDescent="0.35">
      <c r="C338" s="15"/>
      <c r="J338" s="7"/>
    </row>
    <row r="339" spans="3:10" x14ac:dyDescent="0.35">
      <c r="C339" s="15"/>
      <c r="J339" s="7"/>
    </row>
    <row r="340" spans="3:10" x14ac:dyDescent="0.35">
      <c r="C340" s="15"/>
      <c r="J340" s="7"/>
    </row>
    <row r="341" spans="3:10" x14ac:dyDescent="0.35">
      <c r="C341" s="15"/>
      <c r="J341" s="7"/>
    </row>
    <row r="342" spans="3:10" x14ac:dyDescent="0.35">
      <c r="C342" s="15"/>
      <c r="J342" s="7"/>
    </row>
    <row r="343" spans="3:10" x14ac:dyDescent="0.35">
      <c r="C343" s="15"/>
      <c r="J343" s="7"/>
    </row>
    <row r="344" spans="3:10" x14ac:dyDescent="0.35">
      <c r="C344" s="15"/>
      <c r="J344" s="7"/>
    </row>
    <row r="345" spans="3:10" x14ac:dyDescent="0.35">
      <c r="C345" s="15"/>
      <c r="J345" s="7"/>
    </row>
    <row r="346" spans="3:10" x14ac:dyDescent="0.35">
      <c r="C346" s="15"/>
      <c r="J346" s="7"/>
    </row>
    <row r="347" spans="3:10" x14ac:dyDescent="0.35">
      <c r="C347" s="15"/>
      <c r="J347" s="7"/>
    </row>
    <row r="348" spans="3:10" x14ac:dyDescent="0.35">
      <c r="C348" s="15"/>
      <c r="J348" s="7"/>
    </row>
    <row r="349" spans="3:10" x14ac:dyDescent="0.35">
      <c r="C349" s="15"/>
      <c r="J349" s="7"/>
    </row>
    <row r="350" spans="3:10" x14ac:dyDescent="0.35">
      <c r="C350" s="15"/>
      <c r="J350" s="7"/>
    </row>
    <row r="351" spans="3:10" x14ac:dyDescent="0.35">
      <c r="C351" s="15"/>
      <c r="J351" s="7"/>
    </row>
    <row r="352" spans="3:10" x14ac:dyDescent="0.35">
      <c r="C352" s="15"/>
      <c r="J352" s="7"/>
    </row>
    <row r="353" spans="3:10" x14ac:dyDescent="0.35">
      <c r="C353" s="15"/>
      <c r="J353" s="7"/>
    </row>
    <row r="354" spans="3:10" x14ac:dyDescent="0.35">
      <c r="C354" s="15"/>
      <c r="J354" s="7"/>
    </row>
    <row r="355" spans="3:10" x14ac:dyDescent="0.35">
      <c r="C355" s="15"/>
      <c r="J355" s="7"/>
    </row>
    <row r="356" spans="3:10" x14ac:dyDescent="0.35">
      <c r="C356" s="15"/>
      <c r="J356" s="7"/>
    </row>
    <row r="357" spans="3:10" x14ac:dyDescent="0.35">
      <c r="C357" s="15"/>
      <c r="J357" s="7"/>
    </row>
    <row r="358" spans="3:10" x14ac:dyDescent="0.35">
      <c r="C358" s="15"/>
      <c r="J358" s="7"/>
    </row>
    <row r="359" spans="3:10" x14ac:dyDescent="0.35">
      <c r="C359" s="15"/>
      <c r="J359" s="7"/>
    </row>
    <row r="360" spans="3:10" x14ac:dyDescent="0.35">
      <c r="C360" s="15"/>
      <c r="J360" s="7"/>
    </row>
    <row r="361" spans="3:10" x14ac:dyDescent="0.35">
      <c r="C361" s="15"/>
      <c r="J361" s="7"/>
    </row>
    <row r="362" spans="3:10" x14ac:dyDescent="0.35">
      <c r="C362" s="15"/>
      <c r="J362" s="7"/>
    </row>
    <row r="363" spans="3:10" x14ac:dyDescent="0.35">
      <c r="C363" s="15"/>
      <c r="J363" s="7"/>
    </row>
    <row r="364" spans="3:10" x14ac:dyDescent="0.35">
      <c r="C364" s="15"/>
      <c r="J364" s="7"/>
    </row>
    <row r="365" spans="3:10" x14ac:dyDescent="0.35">
      <c r="C365" s="15"/>
      <c r="J365" s="7"/>
    </row>
    <row r="366" spans="3:10" x14ac:dyDescent="0.35">
      <c r="C366" s="15"/>
      <c r="J366" s="7"/>
    </row>
    <row r="367" spans="3:10" x14ac:dyDescent="0.35">
      <c r="C367" s="15"/>
      <c r="J367" s="7"/>
    </row>
    <row r="368" spans="3:10" x14ac:dyDescent="0.35">
      <c r="C368" s="15"/>
      <c r="J368" s="7"/>
    </row>
    <row r="369" spans="3:10" x14ac:dyDescent="0.35">
      <c r="C369" s="15"/>
      <c r="J369" s="7"/>
    </row>
    <row r="370" spans="3:10" x14ac:dyDescent="0.35">
      <c r="C370" s="15"/>
      <c r="J370" s="7"/>
    </row>
    <row r="371" spans="3:10" x14ac:dyDescent="0.35">
      <c r="C371" s="15"/>
      <c r="J371" s="7"/>
    </row>
    <row r="372" spans="3:10" x14ac:dyDescent="0.35">
      <c r="C372" s="15"/>
      <c r="J372" s="7"/>
    </row>
    <row r="373" spans="3:10" x14ac:dyDescent="0.35">
      <c r="C373" s="15"/>
      <c r="J373" s="7"/>
    </row>
    <row r="374" spans="3:10" x14ac:dyDescent="0.35">
      <c r="C374" s="15"/>
      <c r="J374" s="7"/>
    </row>
    <row r="375" spans="3:10" x14ac:dyDescent="0.35">
      <c r="C375" s="15"/>
      <c r="J375" s="7"/>
    </row>
    <row r="376" spans="3:10" x14ac:dyDescent="0.35">
      <c r="C376" s="15"/>
      <c r="J376" s="7"/>
    </row>
    <row r="377" spans="3:10" x14ac:dyDescent="0.35">
      <c r="C377" s="15"/>
      <c r="J377" s="7"/>
    </row>
    <row r="378" spans="3:10" x14ac:dyDescent="0.35">
      <c r="C378" s="15"/>
      <c r="J378" s="7"/>
    </row>
    <row r="379" spans="3:10" x14ac:dyDescent="0.35">
      <c r="C379" s="15"/>
      <c r="J379" s="7"/>
    </row>
    <row r="380" spans="3:10" x14ac:dyDescent="0.35">
      <c r="C380" s="15"/>
      <c r="J380" s="7"/>
    </row>
    <row r="381" spans="3:10" x14ac:dyDescent="0.35">
      <c r="C381" s="15"/>
      <c r="J381" s="7"/>
    </row>
    <row r="382" spans="3:10" x14ac:dyDescent="0.35">
      <c r="C382" s="15"/>
      <c r="J382" s="7"/>
    </row>
    <row r="383" spans="3:10" x14ac:dyDescent="0.35">
      <c r="C383" s="15"/>
      <c r="J383" s="7"/>
    </row>
    <row r="384" spans="3:10" x14ac:dyDescent="0.35">
      <c r="C384" s="15"/>
      <c r="J384" s="7"/>
    </row>
    <row r="385" spans="3:10" x14ac:dyDescent="0.35">
      <c r="C385" s="15"/>
      <c r="J385" s="7"/>
    </row>
    <row r="386" spans="3:10" x14ac:dyDescent="0.35">
      <c r="C386" s="15"/>
      <c r="J386" s="7"/>
    </row>
    <row r="387" spans="3:10" x14ac:dyDescent="0.35">
      <c r="C387" s="15"/>
      <c r="J387" s="7"/>
    </row>
    <row r="388" spans="3:10" x14ac:dyDescent="0.35">
      <c r="C388" s="15"/>
      <c r="J388" s="7"/>
    </row>
    <row r="389" spans="3:10" x14ac:dyDescent="0.35">
      <c r="C389" s="15"/>
      <c r="J389" s="7"/>
    </row>
    <row r="390" spans="3:10" x14ac:dyDescent="0.35">
      <c r="C390" s="15"/>
      <c r="J390" s="7"/>
    </row>
    <row r="391" spans="3:10" x14ac:dyDescent="0.35">
      <c r="C391" s="15"/>
      <c r="J391" s="7"/>
    </row>
    <row r="392" spans="3:10" x14ac:dyDescent="0.35">
      <c r="C392" s="15"/>
      <c r="J392" s="7"/>
    </row>
    <row r="393" spans="3:10" x14ac:dyDescent="0.35">
      <c r="C393" s="15"/>
      <c r="J393" s="7"/>
    </row>
    <row r="394" spans="3:10" x14ac:dyDescent="0.35">
      <c r="C394" s="15"/>
      <c r="J394" s="7"/>
    </row>
    <row r="395" spans="3:10" x14ac:dyDescent="0.35">
      <c r="C395" s="15"/>
      <c r="J395" s="7"/>
    </row>
    <row r="396" spans="3:10" x14ac:dyDescent="0.35">
      <c r="C396" s="15"/>
      <c r="J396" s="7"/>
    </row>
    <row r="397" spans="3:10" x14ac:dyDescent="0.35">
      <c r="C397" s="15"/>
      <c r="J397" s="7"/>
    </row>
    <row r="398" spans="3:10" x14ac:dyDescent="0.35">
      <c r="C398" s="15"/>
      <c r="J398" s="7"/>
    </row>
    <row r="399" spans="3:10" x14ac:dyDescent="0.35">
      <c r="C399" s="15"/>
      <c r="J399" s="7"/>
    </row>
    <row r="400" spans="3:10" x14ac:dyDescent="0.35">
      <c r="C400" s="15"/>
      <c r="J400" s="7"/>
    </row>
    <row r="401" spans="3:10" x14ac:dyDescent="0.35">
      <c r="C401" s="15"/>
      <c r="J401" s="7"/>
    </row>
    <row r="402" spans="3:10" x14ac:dyDescent="0.35">
      <c r="C402" s="15"/>
      <c r="J402" s="7"/>
    </row>
    <row r="403" spans="3:10" x14ac:dyDescent="0.35">
      <c r="C403" s="15"/>
      <c r="J403" s="7"/>
    </row>
    <row r="404" spans="3:10" x14ac:dyDescent="0.35">
      <c r="C404" s="15"/>
      <c r="J404" s="7"/>
    </row>
    <row r="405" spans="3:10" x14ac:dyDescent="0.35">
      <c r="C405" s="15"/>
      <c r="J405" s="7"/>
    </row>
    <row r="406" spans="3:10" x14ac:dyDescent="0.35">
      <c r="C406" s="15"/>
      <c r="J406" s="7"/>
    </row>
    <row r="407" spans="3:10" x14ac:dyDescent="0.35">
      <c r="C407" s="15"/>
      <c r="J407" s="7"/>
    </row>
    <row r="408" spans="3:10" x14ac:dyDescent="0.35">
      <c r="C408" s="15"/>
      <c r="J408" s="7"/>
    </row>
    <row r="409" spans="3:10" x14ac:dyDescent="0.35">
      <c r="C409" s="15"/>
      <c r="J409" s="7"/>
    </row>
    <row r="410" spans="3:10" x14ac:dyDescent="0.35">
      <c r="C410" s="15"/>
      <c r="J410" s="7"/>
    </row>
    <row r="411" spans="3:10" x14ac:dyDescent="0.35">
      <c r="C411" s="15"/>
      <c r="J411" s="7"/>
    </row>
    <row r="412" spans="3:10" x14ac:dyDescent="0.35">
      <c r="C412" s="15"/>
      <c r="J412" s="7"/>
    </row>
    <row r="413" spans="3:10" x14ac:dyDescent="0.35">
      <c r="C413" s="15"/>
      <c r="J413" s="7"/>
    </row>
    <row r="414" spans="3:10" x14ac:dyDescent="0.35">
      <c r="C414" s="15"/>
      <c r="J414" s="7"/>
    </row>
    <row r="415" spans="3:10" x14ac:dyDescent="0.35">
      <c r="C415" s="15"/>
      <c r="J415" s="7"/>
    </row>
    <row r="416" spans="3:10" x14ac:dyDescent="0.35">
      <c r="C416" s="15"/>
      <c r="J416" s="7"/>
    </row>
    <row r="417" spans="3:10" x14ac:dyDescent="0.35">
      <c r="C417" s="15"/>
      <c r="J417" s="7"/>
    </row>
    <row r="418" spans="3:10" x14ac:dyDescent="0.35">
      <c r="C418" s="15"/>
      <c r="J418" s="7"/>
    </row>
    <row r="419" spans="3:10" x14ac:dyDescent="0.35">
      <c r="C419" s="15"/>
      <c r="J419" s="7"/>
    </row>
    <row r="420" spans="3:10" x14ac:dyDescent="0.35">
      <c r="C420" s="15"/>
      <c r="J420" s="7"/>
    </row>
    <row r="421" spans="3:10" x14ac:dyDescent="0.35">
      <c r="C421" s="15"/>
      <c r="J421" s="7"/>
    </row>
    <row r="422" spans="3:10" x14ac:dyDescent="0.35">
      <c r="C422" s="15"/>
      <c r="J422" s="7"/>
    </row>
    <row r="423" spans="3:10" x14ac:dyDescent="0.35">
      <c r="C423" s="15"/>
      <c r="J423" s="7"/>
    </row>
    <row r="424" spans="3:10" x14ac:dyDescent="0.35">
      <c r="C424" s="15"/>
      <c r="J424" s="7"/>
    </row>
    <row r="425" spans="3:10" x14ac:dyDescent="0.35">
      <c r="C425" s="15"/>
      <c r="J425" s="7"/>
    </row>
    <row r="426" spans="3:10" x14ac:dyDescent="0.35">
      <c r="C426" s="15"/>
      <c r="J426" s="7"/>
    </row>
    <row r="427" spans="3:10" x14ac:dyDescent="0.35">
      <c r="C427" s="15"/>
      <c r="J427" s="7"/>
    </row>
    <row r="428" spans="3:10" x14ac:dyDescent="0.35">
      <c r="C428" s="15"/>
      <c r="J428" s="7"/>
    </row>
    <row r="429" spans="3:10" x14ac:dyDescent="0.35">
      <c r="C429" s="15"/>
      <c r="J429" s="7"/>
    </row>
    <row r="430" spans="3:10" x14ac:dyDescent="0.35">
      <c r="C430" s="15"/>
      <c r="J430" s="7"/>
    </row>
    <row r="431" spans="3:10" x14ac:dyDescent="0.35">
      <c r="C431" s="15"/>
      <c r="J431" s="7"/>
    </row>
    <row r="432" spans="3:10" x14ac:dyDescent="0.35">
      <c r="C432" s="15"/>
      <c r="J432" s="7"/>
    </row>
    <row r="433" spans="3:10" x14ac:dyDescent="0.35">
      <c r="C433" s="15"/>
      <c r="J433" s="7"/>
    </row>
    <row r="434" spans="3:10" x14ac:dyDescent="0.35">
      <c r="C434" s="15"/>
      <c r="J434" s="7"/>
    </row>
    <row r="435" spans="3:10" x14ac:dyDescent="0.35">
      <c r="C435" s="15"/>
      <c r="J435" s="7"/>
    </row>
    <row r="436" spans="3:10" x14ac:dyDescent="0.35">
      <c r="C436" s="15"/>
      <c r="J436" s="7"/>
    </row>
    <row r="437" spans="3:10" x14ac:dyDescent="0.35">
      <c r="C437" s="15"/>
      <c r="J437" s="7"/>
    </row>
    <row r="438" spans="3:10" x14ac:dyDescent="0.35">
      <c r="C438" s="15"/>
      <c r="J438" s="7"/>
    </row>
    <row r="439" spans="3:10" x14ac:dyDescent="0.35">
      <c r="C439" s="15"/>
      <c r="J439" s="7"/>
    </row>
    <row r="440" spans="3:10" x14ac:dyDescent="0.35">
      <c r="C440" s="15"/>
      <c r="J440" s="7"/>
    </row>
    <row r="441" spans="3:10" x14ac:dyDescent="0.35">
      <c r="C441" s="15"/>
      <c r="J441" s="7"/>
    </row>
    <row r="442" spans="3:10" x14ac:dyDescent="0.35">
      <c r="C442" s="15"/>
      <c r="J442" s="7"/>
    </row>
    <row r="443" spans="3:10" x14ac:dyDescent="0.35">
      <c r="C443" s="15"/>
      <c r="J443" s="7"/>
    </row>
    <row r="444" spans="3:10" x14ac:dyDescent="0.35">
      <c r="C444" s="15"/>
      <c r="J444" s="7"/>
    </row>
    <row r="445" spans="3:10" x14ac:dyDescent="0.35">
      <c r="C445" s="15"/>
      <c r="J445" s="7"/>
    </row>
    <row r="446" spans="3:10" x14ac:dyDescent="0.35">
      <c r="J446" s="7"/>
    </row>
    <row r="447" spans="3:10" x14ac:dyDescent="0.35">
      <c r="J447" s="7"/>
    </row>
    <row r="448" spans="3:10" x14ac:dyDescent="0.35">
      <c r="J448" s="7"/>
    </row>
    <row r="449" spans="10:10" x14ac:dyDescent="0.35">
      <c r="J449" s="7"/>
    </row>
    <row r="450" spans="10:10" x14ac:dyDescent="0.35">
      <c r="J450" s="7"/>
    </row>
    <row r="451" spans="10:10" x14ac:dyDescent="0.35">
      <c r="J451" s="7"/>
    </row>
    <row r="452" spans="10:10" x14ac:dyDescent="0.35">
      <c r="J452" s="7"/>
    </row>
    <row r="453" spans="10:10" x14ac:dyDescent="0.35">
      <c r="J453" s="7"/>
    </row>
    <row r="454" spans="10:10" x14ac:dyDescent="0.35">
      <c r="J454" s="7"/>
    </row>
    <row r="455" spans="10:10" x14ac:dyDescent="0.35">
      <c r="J455" s="7"/>
    </row>
    <row r="456" spans="10:10" x14ac:dyDescent="0.35">
      <c r="J456" s="7"/>
    </row>
    <row r="457" spans="10:10" x14ac:dyDescent="0.35">
      <c r="J457" s="7"/>
    </row>
    <row r="458" spans="10:10" x14ac:dyDescent="0.35">
      <c r="J458" s="7"/>
    </row>
    <row r="459" spans="10:10" x14ac:dyDescent="0.35">
      <c r="J459" s="7"/>
    </row>
    <row r="460" spans="10:10" x14ac:dyDescent="0.35">
      <c r="J460" s="7"/>
    </row>
    <row r="461" spans="10:10" x14ac:dyDescent="0.35">
      <c r="J461" s="7"/>
    </row>
    <row r="462" spans="10:10" x14ac:dyDescent="0.35">
      <c r="J462" s="7"/>
    </row>
    <row r="463" spans="10:10" x14ac:dyDescent="0.35">
      <c r="J463" s="7"/>
    </row>
    <row r="464" spans="10:10" x14ac:dyDescent="0.35">
      <c r="J464" s="7"/>
    </row>
    <row r="465" spans="10:10" x14ac:dyDescent="0.35">
      <c r="J465" s="7"/>
    </row>
    <row r="466" spans="10:10" x14ac:dyDescent="0.35">
      <c r="J466" s="7"/>
    </row>
    <row r="467" spans="10:10" x14ac:dyDescent="0.35">
      <c r="J467" s="7"/>
    </row>
    <row r="468" spans="10:10" x14ac:dyDescent="0.35">
      <c r="J468" s="7"/>
    </row>
    <row r="469" spans="10:10" x14ac:dyDescent="0.35">
      <c r="J469" s="7"/>
    </row>
    <row r="470" spans="10:10" x14ac:dyDescent="0.35">
      <c r="J470" s="7"/>
    </row>
    <row r="471" spans="10:10" x14ac:dyDescent="0.35">
      <c r="J471" s="7"/>
    </row>
    <row r="472" spans="10:10" x14ac:dyDescent="0.35">
      <c r="J472" s="7"/>
    </row>
    <row r="473" spans="10:10" x14ac:dyDescent="0.35">
      <c r="J473" s="7"/>
    </row>
    <row r="474" spans="10:10" x14ac:dyDescent="0.35">
      <c r="J474" s="7"/>
    </row>
    <row r="475" spans="10:10" x14ac:dyDescent="0.35">
      <c r="J475" s="7"/>
    </row>
    <row r="476" spans="10:10" x14ac:dyDescent="0.35">
      <c r="J476" s="7"/>
    </row>
    <row r="477" spans="10:10" x14ac:dyDescent="0.35">
      <c r="J477" s="7"/>
    </row>
    <row r="478" spans="10:10" x14ac:dyDescent="0.35">
      <c r="J478" s="7"/>
    </row>
    <row r="479" spans="10:10" x14ac:dyDescent="0.35">
      <c r="J479" s="7"/>
    </row>
    <row r="480" spans="10:10" x14ac:dyDescent="0.35">
      <c r="J480" s="7"/>
    </row>
    <row r="481" spans="10:10" x14ac:dyDescent="0.35">
      <c r="J481" s="7"/>
    </row>
    <row r="482" spans="10:10" x14ac:dyDescent="0.35">
      <c r="J482" s="7"/>
    </row>
    <row r="483" spans="10:10" x14ac:dyDescent="0.35">
      <c r="J483" s="7"/>
    </row>
    <row r="484" spans="10:10" x14ac:dyDescent="0.35">
      <c r="J484" s="7"/>
    </row>
    <row r="485" spans="10:10" x14ac:dyDescent="0.35">
      <c r="J485" s="7"/>
    </row>
    <row r="486" spans="10:10" x14ac:dyDescent="0.35">
      <c r="J486" s="7"/>
    </row>
    <row r="487" spans="10:10" x14ac:dyDescent="0.35">
      <c r="J487" s="7"/>
    </row>
    <row r="488" spans="10:10" x14ac:dyDescent="0.35">
      <c r="J488" s="7"/>
    </row>
    <row r="489" spans="10:10" x14ac:dyDescent="0.35">
      <c r="J489" s="7"/>
    </row>
    <row r="490" spans="10:10" x14ac:dyDescent="0.35">
      <c r="J490" s="7"/>
    </row>
    <row r="491" spans="10:10" x14ac:dyDescent="0.35">
      <c r="J491" s="7"/>
    </row>
    <row r="492" spans="10:10" x14ac:dyDescent="0.35">
      <c r="J492" s="7"/>
    </row>
    <row r="493" spans="10:10" x14ac:dyDescent="0.35">
      <c r="J493" s="7"/>
    </row>
    <row r="494" spans="10:10" x14ac:dyDescent="0.35">
      <c r="J494" s="7"/>
    </row>
    <row r="495" spans="10:10" x14ac:dyDescent="0.35">
      <c r="J495" s="7"/>
    </row>
    <row r="496" spans="10:10" x14ac:dyDescent="0.35">
      <c r="J496" s="7"/>
    </row>
    <row r="497" spans="10:10" x14ac:dyDescent="0.35">
      <c r="J497" s="7"/>
    </row>
    <row r="498" spans="10:10" x14ac:dyDescent="0.35">
      <c r="J498" s="7"/>
    </row>
    <row r="499" spans="10:10" x14ac:dyDescent="0.35">
      <c r="J499" s="7"/>
    </row>
    <row r="500" spans="10:10" x14ac:dyDescent="0.35">
      <c r="J500" s="7"/>
    </row>
    <row r="501" spans="10:10" x14ac:dyDescent="0.35">
      <c r="J501" s="7"/>
    </row>
    <row r="502" spans="10:10" x14ac:dyDescent="0.35">
      <c r="J502" s="7"/>
    </row>
    <row r="503" spans="10:10" x14ac:dyDescent="0.35">
      <c r="J503" s="7"/>
    </row>
    <row r="504" spans="10:10" x14ac:dyDescent="0.35">
      <c r="J504" s="7"/>
    </row>
    <row r="505" spans="10:10" x14ac:dyDescent="0.35">
      <c r="J505" s="7"/>
    </row>
    <row r="506" spans="10:10" x14ac:dyDescent="0.35">
      <c r="J506" s="7"/>
    </row>
    <row r="507" spans="10:10" x14ac:dyDescent="0.35">
      <c r="J507" s="7"/>
    </row>
    <row r="508" spans="10:10" x14ac:dyDescent="0.35">
      <c r="J508" s="7"/>
    </row>
    <row r="509" spans="10:10" x14ac:dyDescent="0.35">
      <c r="J509" s="7"/>
    </row>
    <row r="510" spans="10:10" x14ac:dyDescent="0.35">
      <c r="J510" s="7"/>
    </row>
    <row r="511" spans="10:10" x14ac:dyDescent="0.35">
      <c r="J511" s="7"/>
    </row>
    <row r="512" spans="10:10" x14ac:dyDescent="0.35">
      <c r="J512" s="7"/>
    </row>
    <row r="513" spans="10:10" x14ac:dyDescent="0.35">
      <c r="J513" s="7"/>
    </row>
    <row r="514" spans="10:10" x14ac:dyDescent="0.35">
      <c r="J514" s="7"/>
    </row>
    <row r="515" spans="10:10" x14ac:dyDescent="0.35">
      <c r="J515" s="7"/>
    </row>
    <row r="516" spans="10:10" x14ac:dyDescent="0.35">
      <c r="J516" s="7"/>
    </row>
    <row r="517" spans="10:10" x14ac:dyDescent="0.35">
      <c r="J517" s="7"/>
    </row>
    <row r="518" spans="10:10" x14ac:dyDescent="0.35">
      <c r="J518" s="7"/>
    </row>
    <row r="519" spans="10:10" x14ac:dyDescent="0.35">
      <c r="J519" s="7"/>
    </row>
    <row r="520" spans="10:10" x14ac:dyDescent="0.35">
      <c r="J520" s="7"/>
    </row>
    <row r="521" spans="10:10" x14ac:dyDescent="0.35">
      <c r="J521" s="7"/>
    </row>
    <row r="522" spans="10:10" x14ac:dyDescent="0.35">
      <c r="J522" s="7"/>
    </row>
    <row r="523" spans="10:10" x14ac:dyDescent="0.35">
      <c r="J523" s="7"/>
    </row>
    <row r="524" spans="10:10" x14ac:dyDescent="0.35">
      <c r="J524" s="7"/>
    </row>
    <row r="525" spans="10:10" x14ac:dyDescent="0.35">
      <c r="J525" s="7"/>
    </row>
    <row r="526" spans="10:10" x14ac:dyDescent="0.35">
      <c r="J526" s="7"/>
    </row>
    <row r="527" spans="10:10" x14ac:dyDescent="0.35">
      <c r="J527" s="7"/>
    </row>
    <row r="528" spans="10:10" x14ac:dyDescent="0.35">
      <c r="J528" s="7"/>
    </row>
    <row r="529" spans="10:10" x14ac:dyDescent="0.35">
      <c r="J529" s="7"/>
    </row>
    <row r="530" spans="10:10" x14ac:dyDescent="0.35">
      <c r="J530" s="7"/>
    </row>
    <row r="531" spans="10:10" x14ac:dyDescent="0.35">
      <c r="J531" s="7"/>
    </row>
    <row r="532" spans="10:10" x14ac:dyDescent="0.35">
      <c r="J532" s="7"/>
    </row>
    <row r="533" spans="10:10" x14ac:dyDescent="0.35">
      <c r="J533" s="7"/>
    </row>
    <row r="534" spans="10:10" x14ac:dyDescent="0.35">
      <c r="J534" s="7"/>
    </row>
    <row r="535" spans="10:10" x14ac:dyDescent="0.35">
      <c r="J535" s="7"/>
    </row>
    <row r="536" spans="10:10" x14ac:dyDescent="0.35">
      <c r="J536" s="7"/>
    </row>
    <row r="537" spans="10:10" x14ac:dyDescent="0.35">
      <c r="J537" s="7"/>
    </row>
    <row r="538" spans="10:10" x14ac:dyDescent="0.35">
      <c r="J538" s="7"/>
    </row>
    <row r="539" spans="10:10" x14ac:dyDescent="0.35">
      <c r="J539" s="7"/>
    </row>
    <row r="540" spans="10:10" x14ac:dyDescent="0.35">
      <c r="J540" s="7"/>
    </row>
    <row r="541" spans="10:10" x14ac:dyDescent="0.35">
      <c r="J541" s="7"/>
    </row>
    <row r="542" spans="10:10" x14ac:dyDescent="0.35">
      <c r="J542" s="7"/>
    </row>
    <row r="543" spans="10:10" x14ac:dyDescent="0.35">
      <c r="J543" s="7"/>
    </row>
    <row r="544" spans="10:10" x14ac:dyDescent="0.35">
      <c r="J544" s="7"/>
    </row>
    <row r="545" spans="10:10" x14ac:dyDescent="0.35">
      <c r="J545" s="7"/>
    </row>
    <row r="546" spans="10:10" x14ac:dyDescent="0.35">
      <c r="J546" s="7"/>
    </row>
    <row r="547" spans="10:10" x14ac:dyDescent="0.35">
      <c r="J547" s="7"/>
    </row>
    <row r="548" spans="10:10" x14ac:dyDescent="0.35">
      <c r="J548" s="7"/>
    </row>
    <row r="549" spans="10:10" x14ac:dyDescent="0.35">
      <c r="J549" s="7"/>
    </row>
    <row r="550" spans="10:10" x14ac:dyDescent="0.35">
      <c r="J550" s="7"/>
    </row>
    <row r="551" spans="10:10" x14ac:dyDescent="0.35">
      <c r="J551" s="7"/>
    </row>
    <row r="552" spans="10:10" x14ac:dyDescent="0.35">
      <c r="J552" s="7"/>
    </row>
    <row r="553" spans="10:10" x14ac:dyDescent="0.35">
      <c r="J553" s="7"/>
    </row>
    <row r="554" spans="10:10" x14ac:dyDescent="0.35">
      <c r="J554" s="7"/>
    </row>
    <row r="555" spans="10:10" x14ac:dyDescent="0.35">
      <c r="J555" s="7"/>
    </row>
    <row r="556" spans="10:10" x14ac:dyDescent="0.35">
      <c r="J556" s="7"/>
    </row>
    <row r="557" spans="10:10" x14ac:dyDescent="0.35">
      <c r="J557" s="7"/>
    </row>
    <row r="558" spans="10:10" x14ac:dyDescent="0.35">
      <c r="J558" s="7"/>
    </row>
    <row r="559" spans="10:10" x14ac:dyDescent="0.35">
      <c r="J559" s="7"/>
    </row>
    <row r="560" spans="10:10" x14ac:dyDescent="0.35">
      <c r="J560" s="7"/>
    </row>
    <row r="561" spans="10:10" x14ac:dyDescent="0.35">
      <c r="J561" s="7"/>
    </row>
    <row r="562" spans="10:10" x14ac:dyDescent="0.35">
      <c r="J562" s="7"/>
    </row>
    <row r="563" spans="10:10" x14ac:dyDescent="0.35">
      <c r="J563" s="7"/>
    </row>
    <row r="564" spans="10:10" x14ac:dyDescent="0.35">
      <c r="J564" s="7"/>
    </row>
    <row r="565" spans="10:10" x14ac:dyDescent="0.35">
      <c r="J565" s="7"/>
    </row>
    <row r="566" spans="10:10" x14ac:dyDescent="0.35">
      <c r="J566" s="7"/>
    </row>
    <row r="567" spans="10:10" x14ac:dyDescent="0.35">
      <c r="J567" s="7"/>
    </row>
    <row r="568" spans="10:10" x14ac:dyDescent="0.35">
      <c r="J568" s="7"/>
    </row>
    <row r="569" spans="10:10" x14ac:dyDescent="0.35">
      <c r="J569" s="7"/>
    </row>
    <row r="570" spans="10:10" x14ac:dyDescent="0.35">
      <c r="J570" s="7"/>
    </row>
    <row r="571" spans="10:10" x14ac:dyDescent="0.35">
      <c r="J571" s="7"/>
    </row>
    <row r="572" spans="10:10" x14ac:dyDescent="0.35">
      <c r="J572" s="7"/>
    </row>
    <row r="573" spans="10:10" x14ac:dyDescent="0.35">
      <c r="J573" s="7"/>
    </row>
    <row r="574" spans="10:10" x14ac:dyDescent="0.35">
      <c r="J574" s="7"/>
    </row>
    <row r="575" spans="10:10" x14ac:dyDescent="0.35">
      <c r="J575" s="7"/>
    </row>
    <row r="576" spans="10:10" x14ac:dyDescent="0.35">
      <c r="J576" s="7"/>
    </row>
    <row r="577" spans="10:10" x14ac:dyDescent="0.35">
      <c r="J577" s="7"/>
    </row>
    <row r="578" spans="10:10" x14ac:dyDescent="0.35">
      <c r="J578" s="7"/>
    </row>
    <row r="579" spans="10:10" x14ac:dyDescent="0.35">
      <c r="J579" s="7"/>
    </row>
    <row r="580" spans="10:10" x14ac:dyDescent="0.35">
      <c r="J580" s="7"/>
    </row>
    <row r="581" spans="10:10" x14ac:dyDescent="0.35">
      <c r="J581" s="7"/>
    </row>
    <row r="582" spans="10:10" x14ac:dyDescent="0.35">
      <c r="J582" s="7"/>
    </row>
    <row r="583" spans="10:10" x14ac:dyDescent="0.35">
      <c r="J583" s="7"/>
    </row>
    <row r="584" spans="10:10" x14ac:dyDescent="0.35">
      <c r="J584" s="7"/>
    </row>
    <row r="585" spans="10:10" x14ac:dyDescent="0.35">
      <c r="J585" s="7"/>
    </row>
    <row r="586" spans="10:10" x14ac:dyDescent="0.35">
      <c r="J586" s="7"/>
    </row>
    <row r="587" spans="10:10" x14ac:dyDescent="0.35">
      <c r="J587" s="7"/>
    </row>
    <row r="588" spans="10:10" x14ac:dyDescent="0.35">
      <c r="J588" s="7"/>
    </row>
    <row r="589" spans="10:10" x14ac:dyDescent="0.35">
      <c r="J589" s="7"/>
    </row>
    <row r="590" spans="10:10" x14ac:dyDescent="0.35">
      <c r="J590" s="7"/>
    </row>
    <row r="591" spans="10:10" x14ac:dyDescent="0.35">
      <c r="J591" s="7"/>
    </row>
    <row r="592" spans="10:10" x14ac:dyDescent="0.35">
      <c r="J592" s="7"/>
    </row>
    <row r="593" spans="10:10" x14ac:dyDescent="0.35">
      <c r="J593" s="7"/>
    </row>
    <row r="594" spans="10:10" x14ac:dyDescent="0.35">
      <c r="J594" s="7"/>
    </row>
    <row r="595" spans="10:10" x14ac:dyDescent="0.35">
      <c r="J595" s="7"/>
    </row>
    <row r="596" spans="10:10" x14ac:dyDescent="0.35">
      <c r="J596" s="7"/>
    </row>
    <row r="597" spans="10:10" x14ac:dyDescent="0.35">
      <c r="J597" s="7"/>
    </row>
    <row r="598" spans="10:10" x14ac:dyDescent="0.35">
      <c r="J598" s="7"/>
    </row>
    <row r="599" spans="10:10" x14ac:dyDescent="0.35">
      <c r="J599" s="7"/>
    </row>
    <row r="600" spans="10:10" x14ac:dyDescent="0.35">
      <c r="J600" s="7"/>
    </row>
    <row r="601" spans="10:10" x14ac:dyDescent="0.35">
      <c r="J601" s="7"/>
    </row>
    <row r="602" spans="10:10" x14ac:dyDescent="0.35">
      <c r="J602" s="7"/>
    </row>
    <row r="603" spans="10:10" x14ac:dyDescent="0.35">
      <c r="J603" s="7"/>
    </row>
    <row r="604" spans="10:10" x14ac:dyDescent="0.35">
      <c r="J604" s="7"/>
    </row>
    <row r="605" spans="10:10" x14ac:dyDescent="0.35">
      <c r="J605" s="7"/>
    </row>
    <row r="606" spans="10:10" x14ac:dyDescent="0.35">
      <c r="J606" s="7"/>
    </row>
    <row r="607" spans="10:10" x14ac:dyDescent="0.35">
      <c r="J607" s="7"/>
    </row>
    <row r="608" spans="10:10" x14ac:dyDescent="0.35">
      <c r="J608" s="7"/>
    </row>
    <row r="609" spans="10:10" x14ac:dyDescent="0.35">
      <c r="J609" s="7"/>
    </row>
    <row r="610" spans="10:10" x14ac:dyDescent="0.35">
      <c r="J610" s="7"/>
    </row>
    <row r="611" spans="10:10" x14ac:dyDescent="0.35">
      <c r="J611" s="7"/>
    </row>
    <row r="612" spans="10:10" x14ac:dyDescent="0.35">
      <c r="J612" s="7"/>
    </row>
    <row r="613" spans="10:10" x14ac:dyDescent="0.35">
      <c r="J613" s="7"/>
    </row>
    <row r="614" spans="10:10" x14ac:dyDescent="0.35">
      <c r="J614" s="7"/>
    </row>
    <row r="615" spans="10:10" x14ac:dyDescent="0.35">
      <c r="J615" s="7"/>
    </row>
    <row r="616" spans="10:10" x14ac:dyDescent="0.35">
      <c r="J616" s="7"/>
    </row>
    <row r="617" spans="10:10" x14ac:dyDescent="0.35">
      <c r="J617" s="7"/>
    </row>
    <row r="618" spans="10:10" x14ac:dyDescent="0.35">
      <c r="J618" s="7"/>
    </row>
    <row r="619" spans="10:10" x14ac:dyDescent="0.35">
      <c r="J619" s="7"/>
    </row>
    <row r="620" spans="10:10" x14ac:dyDescent="0.35">
      <c r="J620" s="7"/>
    </row>
    <row r="621" spans="10:10" x14ac:dyDescent="0.35">
      <c r="J621" s="7"/>
    </row>
    <row r="622" spans="10:10" x14ac:dyDescent="0.35">
      <c r="J622" s="7"/>
    </row>
    <row r="623" spans="10:10" x14ac:dyDescent="0.35">
      <c r="J623" s="7"/>
    </row>
    <row r="624" spans="10:10" x14ac:dyDescent="0.35">
      <c r="J624" s="7"/>
    </row>
    <row r="625" spans="10:10" x14ac:dyDescent="0.35">
      <c r="J625" s="7"/>
    </row>
    <row r="626" spans="10:10" x14ac:dyDescent="0.35">
      <c r="J626" s="7"/>
    </row>
    <row r="627" spans="10:10" x14ac:dyDescent="0.35">
      <c r="J627" s="7"/>
    </row>
    <row r="628" spans="10:10" x14ac:dyDescent="0.35">
      <c r="J628" s="7"/>
    </row>
    <row r="629" spans="10:10" x14ac:dyDescent="0.35">
      <c r="J629" s="7"/>
    </row>
    <row r="630" spans="10:10" x14ac:dyDescent="0.35">
      <c r="J630" s="7"/>
    </row>
    <row r="631" spans="10:10" x14ac:dyDescent="0.35">
      <c r="J631" s="7"/>
    </row>
    <row r="632" spans="10:10" x14ac:dyDescent="0.35">
      <c r="J632" s="7"/>
    </row>
    <row r="633" spans="10:10" x14ac:dyDescent="0.35">
      <c r="J633" s="7"/>
    </row>
    <row r="634" spans="10:10" x14ac:dyDescent="0.35">
      <c r="J634" s="7"/>
    </row>
    <row r="635" spans="10:10" x14ac:dyDescent="0.35">
      <c r="J635" s="7"/>
    </row>
    <row r="636" spans="10:10" x14ac:dyDescent="0.35">
      <c r="J636" s="7"/>
    </row>
    <row r="637" spans="10:10" x14ac:dyDescent="0.35">
      <c r="J637" s="7"/>
    </row>
    <row r="638" spans="10:10" x14ac:dyDescent="0.35">
      <c r="J638" s="7"/>
    </row>
    <row r="639" spans="10:10" x14ac:dyDescent="0.35">
      <c r="J639" s="7"/>
    </row>
    <row r="640" spans="10:10" x14ac:dyDescent="0.35">
      <c r="J640" s="7"/>
    </row>
    <row r="641" spans="10:10" x14ac:dyDescent="0.35">
      <c r="J641" s="7"/>
    </row>
    <row r="642" spans="10:10" x14ac:dyDescent="0.35">
      <c r="J642" s="7"/>
    </row>
    <row r="643" spans="10:10" x14ac:dyDescent="0.35">
      <c r="J643" s="7"/>
    </row>
    <row r="644" spans="10:10" x14ac:dyDescent="0.35">
      <c r="J644" s="7"/>
    </row>
    <row r="645" spans="10:10" x14ac:dyDescent="0.35">
      <c r="J645" s="7"/>
    </row>
    <row r="646" spans="10:10" x14ac:dyDescent="0.35">
      <c r="J646" s="7"/>
    </row>
    <row r="647" spans="10:10" x14ac:dyDescent="0.35">
      <c r="J647" s="7"/>
    </row>
    <row r="648" spans="10:10" x14ac:dyDescent="0.35">
      <c r="J648" s="7"/>
    </row>
    <row r="649" spans="10:10" x14ac:dyDescent="0.35">
      <c r="J649" s="7"/>
    </row>
    <row r="650" spans="10:10" x14ac:dyDescent="0.35">
      <c r="J650" s="7"/>
    </row>
    <row r="651" spans="10:10" x14ac:dyDescent="0.35">
      <c r="J651" s="7"/>
    </row>
    <row r="652" spans="10:10" x14ac:dyDescent="0.35">
      <c r="J652" s="7"/>
    </row>
    <row r="653" spans="10:10" x14ac:dyDescent="0.35">
      <c r="J653" s="7"/>
    </row>
    <row r="654" spans="10:10" x14ac:dyDescent="0.35">
      <c r="J654" s="7"/>
    </row>
    <row r="655" spans="10:10" x14ac:dyDescent="0.35">
      <c r="J655" s="7"/>
    </row>
    <row r="656" spans="10:10" x14ac:dyDescent="0.35">
      <c r="J656" s="7"/>
    </row>
    <row r="657" spans="10:10" x14ac:dyDescent="0.35">
      <c r="J657" s="7"/>
    </row>
    <row r="658" spans="10:10" x14ac:dyDescent="0.35">
      <c r="J658" s="7"/>
    </row>
    <row r="659" spans="10:10" x14ac:dyDescent="0.35">
      <c r="J659" s="7"/>
    </row>
    <row r="660" spans="10:10" x14ac:dyDescent="0.35">
      <c r="J660" s="7"/>
    </row>
    <row r="661" spans="10:10" x14ac:dyDescent="0.35">
      <c r="J661" s="7"/>
    </row>
    <row r="662" spans="10:10" x14ac:dyDescent="0.35">
      <c r="J662" s="7"/>
    </row>
    <row r="663" spans="10:10" x14ac:dyDescent="0.35">
      <c r="J663" s="7"/>
    </row>
    <row r="664" spans="10:10" x14ac:dyDescent="0.35">
      <c r="J664" s="7"/>
    </row>
    <row r="665" spans="10:10" x14ac:dyDescent="0.35">
      <c r="J665" s="7"/>
    </row>
    <row r="666" spans="10:10" x14ac:dyDescent="0.35">
      <c r="J666" s="7"/>
    </row>
    <row r="667" spans="10:10" x14ac:dyDescent="0.35">
      <c r="J667" s="7"/>
    </row>
    <row r="668" spans="10:10" x14ac:dyDescent="0.35">
      <c r="J668" s="7"/>
    </row>
    <row r="669" spans="10:10" x14ac:dyDescent="0.35">
      <c r="J669" s="7"/>
    </row>
    <row r="670" spans="10:10" x14ac:dyDescent="0.35">
      <c r="J670" s="7"/>
    </row>
    <row r="671" spans="10:10" x14ac:dyDescent="0.35">
      <c r="J671" s="7"/>
    </row>
    <row r="672" spans="10:10" x14ac:dyDescent="0.35">
      <c r="J672" s="7"/>
    </row>
    <row r="673" spans="10:10" x14ac:dyDescent="0.35">
      <c r="J673" s="7"/>
    </row>
    <row r="674" spans="10:10" x14ac:dyDescent="0.35">
      <c r="J674" s="7"/>
    </row>
    <row r="675" spans="10:10" x14ac:dyDescent="0.35">
      <c r="J675" s="7"/>
    </row>
    <row r="676" spans="10:10" x14ac:dyDescent="0.35">
      <c r="J676" s="7"/>
    </row>
    <row r="677" spans="10:10" x14ac:dyDescent="0.35">
      <c r="J677" s="7"/>
    </row>
    <row r="678" spans="10:10" x14ac:dyDescent="0.35">
      <c r="J678" s="7"/>
    </row>
    <row r="679" spans="10:10" x14ac:dyDescent="0.35">
      <c r="J679" s="7"/>
    </row>
    <row r="680" spans="10:10" x14ac:dyDescent="0.35">
      <c r="J680" s="7"/>
    </row>
    <row r="681" spans="10:10" x14ac:dyDescent="0.35">
      <c r="J681" s="7"/>
    </row>
    <row r="682" spans="10:10" x14ac:dyDescent="0.35">
      <c r="J682" s="7"/>
    </row>
    <row r="683" spans="10:10" x14ac:dyDescent="0.35">
      <c r="J683" s="7"/>
    </row>
    <row r="684" spans="10:10" x14ac:dyDescent="0.35">
      <c r="J684" s="7"/>
    </row>
    <row r="685" spans="10:10" x14ac:dyDescent="0.35">
      <c r="J685" s="7"/>
    </row>
    <row r="686" spans="10:10" x14ac:dyDescent="0.35">
      <c r="J686" s="7"/>
    </row>
    <row r="687" spans="10:10" x14ac:dyDescent="0.35">
      <c r="J687" s="7"/>
    </row>
    <row r="688" spans="10:10" x14ac:dyDescent="0.35">
      <c r="J688" s="7"/>
    </row>
    <row r="689" spans="10:10" x14ac:dyDescent="0.35">
      <c r="J689" s="7"/>
    </row>
    <row r="690" spans="10:10" x14ac:dyDescent="0.35">
      <c r="J690" s="7"/>
    </row>
    <row r="691" spans="10:10" x14ac:dyDescent="0.35">
      <c r="J691" s="7"/>
    </row>
    <row r="692" spans="10:10" x14ac:dyDescent="0.35">
      <c r="J692" s="7"/>
    </row>
    <row r="693" spans="10:10" x14ac:dyDescent="0.35">
      <c r="J693" s="7"/>
    </row>
    <row r="694" spans="10:10" x14ac:dyDescent="0.35">
      <c r="J694" s="7"/>
    </row>
    <row r="695" spans="10:10" x14ac:dyDescent="0.35">
      <c r="J695" s="7"/>
    </row>
    <row r="696" spans="10:10" x14ac:dyDescent="0.35">
      <c r="J696" s="7"/>
    </row>
    <row r="697" spans="10:10" x14ac:dyDescent="0.35">
      <c r="J697" s="7"/>
    </row>
    <row r="698" spans="10:10" x14ac:dyDescent="0.35">
      <c r="J698" s="7"/>
    </row>
    <row r="699" spans="10:10" x14ac:dyDescent="0.35">
      <c r="J699" s="7"/>
    </row>
    <row r="700" spans="10:10" x14ac:dyDescent="0.35">
      <c r="J700" s="7"/>
    </row>
    <row r="701" spans="10:10" x14ac:dyDescent="0.35">
      <c r="J701" s="7"/>
    </row>
    <row r="702" spans="10:10" x14ac:dyDescent="0.35">
      <c r="J702" s="7"/>
    </row>
    <row r="703" spans="10:10" x14ac:dyDescent="0.35">
      <c r="J703" s="7"/>
    </row>
    <row r="704" spans="10:10" x14ac:dyDescent="0.35">
      <c r="J704" s="7"/>
    </row>
    <row r="705" spans="10:10" x14ac:dyDescent="0.35">
      <c r="J705" s="7"/>
    </row>
    <row r="706" spans="10:10" x14ac:dyDescent="0.35">
      <c r="J706" s="7"/>
    </row>
    <row r="707" spans="10:10" x14ac:dyDescent="0.35">
      <c r="J707" s="7"/>
    </row>
    <row r="708" spans="10:10" x14ac:dyDescent="0.35">
      <c r="J708" s="7"/>
    </row>
    <row r="709" spans="10:10" x14ac:dyDescent="0.35">
      <c r="J709" s="7"/>
    </row>
    <row r="710" spans="10:10" x14ac:dyDescent="0.35">
      <c r="J710" s="7"/>
    </row>
    <row r="711" spans="10:10" x14ac:dyDescent="0.35">
      <c r="J711" s="7"/>
    </row>
    <row r="712" spans="10:10" x14ac:dyDescent="0.35">
      <c r="J712" s="7"/>
    </row>
    <row r="713" spans="10:10" x14ac:dyDescent="0.35">
      <c r="J713" s="7"/>
    </row>
    <row r="714" spans="10:10" x14ac:dyDescent="0.35">
      <c r="J714" s="7"/>
    </row>
    <row r="715" spans="10:10" x14ac:dyDescent="0.35">
      <c r="J715" s="7"/>
    </row>
    <row r="716" spans="10:10" x14ac:dyDescent="0.35">
      <c r="J716" s="7"/>
    </row>
    <row r="717" spans="10:10" x14ac:dyDescent="0.35">
      <c r="J717" s="7"/>
    </row>
    <row r="718" spans="10:10" x14ac:dyDescent="0.35">
      <c r="J718" s="7"/>
    </row>
    <row r="719" spans="10:10" x14ac:dyDescent="0.35">
      <c r="J719" s="7"/>
    </row>
    <row r="720" spans="10:10" x14ac:dyDescent="0.35">
      <c r="J720" s="7"/>
    </row>
    <row r="721" spans="10:10" x14ac:dyDescent="0.35">
      <c r="J721" s="7"/>
    </row>
    <row r="722" spans="10:10" x14ac:dyDescent="0.35">
      <c r="J722" s="7"/>
    </row>
    <row r="723" spans="10:10" x14ac:dyDescent="0.35">
      <c r="J723" s="7"/>
    </row>
    <row r="724" spans="10:10" x14ac:dyDescent="0.35">
      <c r="J724" s="7"/>
    </row>
    <row r="725" spans="10:10" x14ac:dyDescent="0.35">
      <c r="J725" s="7"/>
    </row>
    <row r="726" spans="10:10" x14ac:dyDescent="0.35">
      <c r="J726" s="7"/>
    </row>
    <row r="727" spans="10:10" x14ac:dyDescent="0.35">
      <c r="J727" s="7"/>
    </row>
    <row r="728" spans="10:10" x14ac:dyDescent="0.35">
      <c r="J728" s="7"/>
    </row>
    <row r="729" spans="10:10" x14ac:dyDescent="0.35">
      <c r="J729" s="7"/>
    </row>
    <row r="730" spans="10:10" x14ac:dyDescent="0.35">
      <c r="J730" s="7"/>
    </row>
    <row r="731" spans="10:10" x14ac:dyDescent="0.35">
      <c r="J731" s="7"/>
    </row>
    <row r="732" spans="10:10" x14ac:dyDescent="0.35">
      <c r="J732" s="7"/>
    </row>
    <row r="733" spans="10:10" x14ac:dyDescent="0.35">
      <c r="J733" s="7"/>
    </row>
    <row r="734" spans="10:10" x14ac:dyDescent="0.35">
      <c r="J734" s="7"/>
    </row>
    <row r="735" spans="10:10" x14ac:dyDescent="0.35">
      <c r="J735" s="7"/>
    </row>
    <row r="736" spans="10:10" x14ac:dyDescent="0.35">
      <c r="J736" s="7"/>
    </row>
    <row r="737" spans="10:10" x14ac:dyDescent="0.35">
      <c r="J737" s="7"/>
    </row>
    <row r="738" spans="10:10" x14ac:dyDescent="0.35">
      <c r="J738" s="7"/>
    </row>
    <row r="739" spans="10:10" x14ac:dyDescent="0.35">
      <c r="J739" s="7"/>
    </row>
    <row r="740" spans="10:10" x14ac:dyDescent="0.35">
      <c r="J740" s="7"/>
    </row>
    <row r="741" spans="10:10" x14ac:dyDescent="0.35">
      <c r="J741" s="7"/>
    </row>
    <row r="742" spans="10:10" x14ac:dyDescent="0.35">
      <c r="J742" s="7"/>
    </row>
    <row r="743" spans="10:10" x14ac:dyDescent="0.35">
      <c r="J743" s="7"/>
    </row>
    <row r="744" spans="10:10" x14ac:dyDescent="0.35">
      <c r="J744" s="7"/>
    </row>
    <row r="745" spans="10:10" x14ac:dyDescent="0.35">
      <c r="J745" s="7"/>
    </row>
    <row r="746" spans="10:10" x14ac:dyDescent="0.35">
      <c r="J746" s="7"/>
    </row>
    <row r="747" spans="10:10" x14ac:dyDescent="0.35">
      <c r="J747" s="7"/>
    </row>
    <row r="748" spans="10:10" x14ac:dyDescent="0.35">
      <c r="J748" s="7"/>
    </row>
    <row r="749" spans="10:10" x14ac:dyDescent="0.35">
      <c r="J749" s="7"/>
    </row>
    <row r="750" spans="10:10" x14ac:dyDescent="0.35">
      <c r="J750" s="7"/>
    </row>
    <row r="751" spans="10:10" x14ac:dyDescent="0.35">
      <c r="J751" s="7"/>
    </row>
    <row r="752" spans="10:10" x14ac:dyDescent="0.35">
      <c r="J752" s="7"/>
    </row>
    <row r="753" spans="10:10" x14ac:dyDescent="0.35">
      <c r="J753" s="7"/>
    </row>
    <row r="754" spans="10:10" x14ac:dyDescent="0.35">
      <c r="J754" s="7"/>
    </row>
    <row r="755" spans="10:10" x14ac:dyDescent="0.35">
      <c r="J755" s="7"/>
    </row>
    <row r="756" spans="10:10" x14ac:dyDescent="0.35">
      <c r="J756" s="7"/>
    </row>
    <row r="757" spans="10:10" x14ac:dyDescent="0.35">
      <c r="J757" s="7"/>
    </row>
    <row r="758" spans="10:10" x14ac:dyDescent="0.35">
      <c r="J758" s="7"/>
    </row>
    <row r="759" spans="10:10" x14ac:dyDescent="0.35">
      <c r="J759" s="7"/>
    </row>
    <row r="760" spans="10:10" x14ac:dyDescent="0.35">
      <c r="J760" s="7"/>
    </row>
    <row r="761" spans="10:10" x14ac:dyDescent="0.35">
      <c r="J761" s="7"/>
    </row>
    <row r="762" spans="10:10" x14ac:dyDescent="0.35">
      <c r="J762" s="7"/>
    </row>
    <row r="763" spans="10:10" x14ac:dyDescent="0.35">
      <c r="J763" s="7"/>
    </row>
    <row r="764" spans="10:10" x14ac:dyDescent="0.35">
      <c r="J764" s="7"/>
    </row>
    <row r="765" spans="10:10" x14ac:dyDescent="0.35">
      <c r="J765" s="7"/>
    </row>
    <row r="766" spans="10:10" x14ac:dyDescent="0.35">
      <c r="J766" s="7"/>
    </row>
    <row r="767" spans="10:10" x14ac:dyDescent="0.35">
      <c r="J767" s="7"/>
    </row>
    <row r="768" spans="10:10" x14ac:dyDescent="0.35">
      <c r="J768" s="7"/>
    </row>
    <row r="769" spans="10:10" x14ac:dyDescent="0.35">
      <c r="J769" s="7"/>
    </row>
    <row r="770" spans="10:10" x14ac:dyDescent="0.35">
      <c r="J770" s="7"/>
    </row>
    <row r="771" spans="10:10" x14ac:dyDescent="0.35">
      <c r="J771" s="7"/>
    </row>
    <row r="772" spans="10:10" x14ac:dyDescent="0.35">
      <c r="J772" s="7"/>
    </row>
    <row r="773" spans="10:10" x14ac:dyDescent="0.35">
      <c r="J773" s="7"/>
    </row>
    <row r="774" spans="10:10" x14ac:dyDescent="0.35">
      <c r="J774" s="7"/>
    </row>
    <row r="775" spans="10:10" x14ac:dyDescent="0.35">
      <c r="J775" s="7"/>
    </row>
    <row r="776" spans="10:10" x14ac:dyDescent="0.35">
      <c r="J776" s="7"/>
    </row>
    <row r="777" spans="10:10" x14ac:dyDescent="0.35">
      <c r="J777" s="7"/>
    </row>
    <row r="778" spans="10:10" x14ac:dyDescent="0.35">
      <c r="J778" s="7"/>
    </row>
    <row r="779" spans="10:10" x14ac:dyDescent="0.35">
      <c r="J779" s="7"/>
    </row>
    <row r="780" spans="10:10" x14ac:dyDescent="0.35">
      <c r="J780" s="7"/>
    </row>
    <row r="781" spans="10:10" x14ac:dyDescent="0.35">
      <c r="J781" s="7"/>
    </row>
    <row r="782" spans="10:10" x14ac:dyDescent="0.35">
      <c r="J782" s="7"/>
    </row>
    <row r="783" spans="10:10" x14ac:dyDescent="0.35">
      <c r="J783" s="7"/>
    </row>
    <row r="784" spans="10:10" x14ac:dyDescent="0.35">
      <c r="J784" s="7"/>
    </row>
    <row r="785" spans="10:10" x14ac:dyDescent="0.35">
      <c r="J785" s="7"/>
    </row>
    <row r="786" spans="10:10" x14ac:dyDescent="0.35">
      <c r="J786" s="7"/>
    </row>
    <row r="787" spans="10:10" x14ac:dyDescent="0.35">
      <c r="J787" s="7"/>
    </row>
    <row r="788" spans="10:10" x14ac:dyDescent="0.35">
      <c r="J788" s="7"/>
    </row>
    <row r="789" spans="10:10" x14ac:dyDescent="0.35">
      <c r="J789" s="7"/>
    </row>
    <row r="790" spans="10:10" x14ac:dyDescent="0.35">
      <c r="J790" s="7"/>
    </row>
    <row r="791" spans="10:10" x14ac:dyDescent="0.35">
      <c r="J791" s="7"/>
    </row>
    <row r="792" spans="10:10" x14ac:dyDescent="0.35">
      <c r="J792" s="7"/>
    </row>
    <row r="793" spans="10:10" x14ac:dyDescent="0.35">
      <c r="J793" s="7"/>
    </row>
    <row r="794" spans="10:10" x14ac:dyDescent="0.35">
      <c r="J794" s="7"/>
    </row>
    <row r="795" spans="10:10" x14ac:dyDescent="0.35">
      <c r="J795" s="7"/>
    </row>
    <row r="796" spans="10:10" x14ac:dyDescent="0.35">
      <c r="J796" s="7"/>
    </row>
    <row r="797" spans="10:10" x14ac:dyDescent="0.35">
      <c r="J797" s="7"/>
    </row>
    <row r="798" spans="10:10" x14ac:dyDescent="0.35">
      <c r="J798" s="7"/>
    </row>
    <row r="799" spans="10:10" x14ac:dyDescent="0.35">
      <c r="J799" s="7"/>
    </row>
    <row r="800" spans="10:10" x14ac:dyDescent="0.35">
      <c r="J800" s="7"/>
    </row>
    <row r="801" spans="10:10" x14ac:dyDescent="0.35">
      <c r="J801" s="7"/>
    </row>
    <row r="802" spans="10:10" x14ac:dyDescent="0.35">
      <c r="J802" s="7"/>
    </row>
    <row r="803" spans="10:10" x14ac:dyDescent="0.35">
      <c r="J803" s="7"/>
    </row>
    <row r="804" spans="10:10" x14ac:dyDescent="0.35">
      <c r="J804" s="7"/>
    </row>
    <row r="805" spans="10:10" x14ac:dyDescent="0.35">
      <c r="J805" s="7"/>
    </row>
    <row r="806" spans="10:10" x14ac:dyDescent="0.35">
      <c r="J806" s="7"/>
    </row>
    <row r="807" spans="10:10" x14ac:dyDescent="0.35">
      <c r="J807" s="7"/>
    </row>
    <row r="808" spans="10:10" x14ac:dyDescent="0.35">
      <c r="J808" s="7"/>
    </row>
    <row r="809" spans="10:10" x14ac:dyDescent="0.35">
      <c r="J809" s="7"/>
    </row>
    <row r="810" spans="10:10" x14ac:dyDescent="0.35">
      <c r="J810" s="7"/>
    </row>
    <row r="811" spans="10:10" x14ac:dyDescent="0.35">
      <c r="J811" s="7"/>
    </row>
    <row r="812" spans="10:10" x14ac:dyDescent="0.35">
      <c r="J812" s="7"/>
    </row>
    <row r="813" spans="10:10" x14ac:dyDescent="0.35">
      <c r="J813" s="7"/>
    </row>
    <row r="814" spans="10:10" x14ac:dyDescent="0.35">
      <c r="J814" s="7"/>
    </row>
    <row r="815" spans="10:10" x14ac:dyDescent="0.35">
      <c r="J815" s="7"/>
    </row>
    <row r="816" spans="10:10" x14ac:dyDescent="0.35">
      <c r="J816" s="7"/>
    </row>
    <row r="817" spans="10:10" x14ac:dyDescent="0.35">
      <c r="J817" s="7"/>
    </row>
    <row r="818" spans="10:10" x14ac:dyDescent="0.35">
      <c r="J818" s="7"/>
    </row>
    <row r="819" spans="10:10" x14ac:dyDescent="0.35">
      <c r="J819" s="7"/>
    </row>
    <row r="820" spans="10:10" x14ac:dyDescent="0.35">
      <c r="J820" s="7"/>
    </row>
    <row r="821" spans="10:10" x14ac:dyDescent="0.35">
      <c r="J821" s="7"/>
    </row>
    <row r="822" spans="10:10" x14ac:dyDescent="0.35">
      <c r="J822" s="7"/>
    </row>
    <row r="823" spans="10:10" x14ac:dyDescent="0.35">
      <c r="J823" s="7"/>
    </row>
    <row r="824" spans="10:10" x14ac:dyDescent="0.35">
      <c r="J824" s="7"/>
    </row>
    <row r="825" spans="10:10" x14ac:dyDescent="0.35">
      <c r="J825" s="7"/>
    </row>
    <row r="826" spans="10:10" x14ac:dyDescent="0.35">
      <c r="J826" s="7"/>
    </row>
    <row r="827" spans="10:10" x14ac:dyDescent="0.35">
      <c r="J827" s="7"/>
    </row>
    <row r="828" spans="10:10" x14ac:dyDescent="0.35">
      <c r="J828" s="7"/>
    </row>
    <row r="829" spans="10:10" x14ac:dyDescent="0.35">
      <c r="J829" s="7"/>
    </row>
    <row r="830" spans="10:10" x14ac:dyDescent="0.35">
      <c r="J830" s="7"/>
    </row>
    <row r="831" spans="10:10" x14ac:dyDescent="0.35">
      <c r="J831" s="7"/>
    </row>
    <row r="832" spans="10:10" x14ac:dyDescent="0.35">
      <c r="J832" s="7"/>
    </row>
    <row r="833" spans="10:10" x14ac:dyDescent="0.35">
      <c r="J833" s="7"/>
    </row>
    <row r="834" spans="10:10" x14ac:dyDescent="0.35">
      <c r="J834" s="7"/>
    </row>
    <row r="835" spans="10:10" x14ac:dyDescent="0.35">
      <c r="J835" s="7"/>
    </row>
    <row r="836" spans="10:10" x14ac:dyDescent="0.35">
      <c r="J836" s="7"/>
    </row>
    <row r="837" spans="10:10" x14ac:dyDescent="0.35">
      <c r="J837" s="7"/>
    </row>
    <row r="838" spans="10:10" x14ac:dyDescent="0.35">
      <c r="J838" s="7"/>
    </row>
    <row r="839" spans="10:10" x14ac:dyDescent="0.35">
      <c r="J839" s="7"/>
    </row>
    <row r="840" spans="10:10" x14ac:dyDescent="0.35">
      <c r="J840" s="7"/>
    </row>
    <row r="841" spans="10:10" x14ac:dyDescent="0.35">
      <c r="J841" s="7"/>
    </row>
    <row r="842" spans="10:10" x14ac:dyDescent="0.35">
      <c r="J842" s="7"/>
    </row>
    <row r="843" spans="10:10" x14ac:dyDescent="0.35">
      <c r="J843" s="7"/>
    </row>
    <row r="844" spans="10:10" x14ac:dyDescent="0.35">
      <c r="J844" s="7"/>
    </row>
    <row r="845" spans="10:10" x14ac:dyDescent="0.35">
      <c r="J845" s="7"/>
    </row>
    <row r="846" spans="10:10" x14ac:dyDescent="0.35">
      <c r="J846" s="7"/>
    </row>
    <row r="847" spans="10:10" x14ac:dyDescent="0.35">
      <c r="J847" s="7"/>
    </row>
    <row r="848" spans="10:10" x14ac:dyDescent="0.35">
      <c r="J848" s="7"/>
    </row>
    <row r="849" spans="10:10" x14ac:dyDescent="0.35">
      <c r="J849" s="7"/>
    </row>
    <row r="850" spans="10:10" x14ac:dyDescent="0.35">
      <c r="J850" s="7"/>
    </row>
    <row r="851" spans="10:10" x14ac:dyDescent="0.35">
      <c r="J851" s="7"/>
    </row>
    <row r="852" spans="10:10" x14ac:dyDescent="0.35">
      <c r="J852" s="7"/>
    </row>
    <row r="853" spans="10:10" x14ac:dyDescent="0.35">
      <c r="J853" s="7"/>
    </row>
    <row r="854" spans="10:10" x14ac:dyDescent="0.35">
      <c r="J854" s="7"/>
    </row>
    <row r="855" spans="10:10" x14ac:dyDescent="0.35">
      <c r="J855" s="7"/>
    </row>
    <row r="856" spans="10:10" x14ac:dyDescent="0.35">
      <c r="J856" s="7"/>
    </row>
    <row r="857" spans="10:10" x14ac:dyDescent="0.35">
      <c r="J857" s="7"/>
    </row>
    <row r="858" spans="10:10" x14ac:dyDescent="0.35">
      <c r="J858" s="7"/>
    </row>
    <row r="859" spans="10:10" x14ac:dyDescent="0.35">
      <c r="J859" s="7"/>
    </row>
    <row r="860" spans="10:10" x14ac:dyDescent="0.35">
      <c r="J860" s="7"/>
    </row>
    <row r="861" spans="10:10" x14ac:dyDescent="0.35">
      <c r="J861" s="7"/>
    </row>
    <row r="862" spans="10:10" x14ac:dyDescent="0.35">
      <c r="J862" s="7"/>
    </row>
    <row r="863" spans="10:10" x14ac:dyDescent="0.35">
      <c r="J863" s="7"/>
    </row>
    <row r="864" spans="10:10" x14ac:dyDescent="0.35">
      <c r="J864" s="7"/>
    </row>
    <row r="865" spans="10:10" x14ac:dyDescent="0.35">
      <c r="J865" s="7"/>
    </row>
    <row r="866" spans="10:10" x14ac:dyDescent="0.35">
      <c r="J866" s="7"/>
    </row>
    <row r="867" spans="10:10" x14ac:dyDescent="0.35">
      <c r="J867" s="7"/>
    </row>
    <row r="868" spans="10:10" x14ac:dyDescent="0.35">
      <c r="J868" s="7"/>
    </row>
    <row r="869" spans="10:10" x14ac:dyDescent="0.35">
      <c r="J869" s="7"/>
    </row>
    <row r="870" spans="10:10" x14ac:dyDescent="0.35">
      <c r="J870" s="7"/>
    </row>
    <row r="871" spans="10:10" x14ac:dyDescent="0.35">
      <c r="J871" s="7"/>
    </row>
    <row r="872" spans="10:10" x14ac:dyDescent="0.35">
      <c r="J872" s="7"/>
    </row>
    <row r="873" spans="10:10" x14ac:dyDescent="0.35">
      <c r="J873" s="7"/>
    </row>
    <row r="874" spans="10:10" x14ac:dyDescent="0.35">
      <c r="J874" s="7"/>
    </row>
    <row r="875" spans="10:10" x14ac:dyDescent="0.35">
      <c r="J875" s="7"/>
    </row>
    <row r="876" spans="10:10" x14ac:dyDescent="0.35">
      <c r="J876" s="7"/>
    </row>
    <row r="877" spans="10:10" x14ac:dyDescent="0.35">
      <c r="J877" s="7"/>
    </row>
    <row r="878" spans="10:10" x14ac:dyDescent="0.35">
      <c r="J878" s="7"/>
    </row>
    <row r="879" spans="10:10" x14ac:dyDescent="0.35">
      <c r="J879" s="7"/>
    </row>
    <row r="880" spans="10:10" x14ac:dyDescent="0.35">
      <c r="J880" s="7"/>
    </row>
    <row r="881" spans="10:10" x14ac:dyDescent="0.35">
      <c r="J881" s="7"/>
    </row>
    <row r="882" spans="10:10" x14ac:dyDescent="0.35">
      <c r="J882" s="7"/>
    </row>
    <row r="883" spans="10:10" x14ac:dyDescent="0.35">
      <c r="J883" s="7"/>
    </row>
    <row r="884" spans="10:10" x14ac:dyDescent="0.35">
      <c r="J884" s="7"/>
    </row>
    <row r="885" spans="10:10" x14ac:dyDescent="0.35">
      <c r="J885" s="7"/>
    </row>
    <row r="886" spans="10:10" x14ac:dyDescent="0.35">
      <c r="J886" s="7"/>
    </row>
    <row r="887" spans="10:10" x14ac:dyDescent="0.35">
      <c r="J887" s="7"/>
    </row>
    <row r="888" spans="10:10" x14ac:dyDescent="0.35">
      <c r="J888" s="7"/>
    </row>
    <row r="889" spans="10:10" x14ac:dyDescent="0.35">
      <c r="J889" s="7"/>
    </row>
    <row r="890" spans="10:10" x14ac:dyDescent="0.35">
      <c r="J890" s="7"/>
    </row>
    <row r="891" spans="10:10" x14ac:dyDescent="0.35">
      <c r="J891" s="7"/>
    </row>
    <row r="892" spans="10:10" x14ac:dyDescent="0.35">
      <c r="J892" s="7"/>
    </row>
    <row r="893" spans="10:10" x14ac:dyDescent="0.35">
      <c r="J893" s="7"/>
    </row>
    <row r="894" spans="10:10" x14ac:dyDescent="0.35">
      <c r="J894" s="7"/>
    </row>
    <row r="895" spans="10:10" x14ac:dyDescent="0.35">
      <c r="J895" s="7"/>
    </row>
    <row r="896" spans="10:10" x14ac:dyDescent="0.35">
      <c r="J896" s="7"/>
    </row>
    <row r="897" spans="10:10" x14ac:dyDescent="0.35">
      <c r="J897" s="7"/>
    </row>
    <row r="898" spans="10:10" x14ac:dyDescent="0.35">
      <c r="J898" s="7"/>
    </row>
    <row r="899" spans="10:10" x14ac:dyDescent="0.35">
      <c r="J899" s="7"/>
    </row>
    <row r="900" spans="10:10" x14ac:dyDescent="0.35">
      <c r="J900" s="7"/>
    </row>
    <row r="901" spans="10:10" x14ac:dyDescent="0.35">
      <c r="J901" s="7"/>
    </row>
    <row r="902" spans="10:10" x14ac:dyDescent="0.35">
      <c r="J902" s="7"/>
    </row>
    <row r="903" spans="10:10" x14ac:dyDescent="0.35">
      <c r="J903" s="7"/>
    </row>
    <row r="904" spans="10:10" x14ac:dyDescent="0.35">
      <c r="J904" s="7"/>
    </row>
    <row r="905" spans="10:10" x14ac:dyDescent="0.35">
      <c r="J905" s="7"/>
    </row>
    <row r="906" spans="10:10" x14ac:dyDescent="0.35">
      <c r="J906" s="7"/>
    </row>
    <row r="907" spans="10:10" x14ac:dyDescent="0.35">
      <c r="J907" s="7"/>
    </row>
    <row r="908" spans="10:10" x14ac:dyDescent="0.35">
      <c r="J908" s="7"/>
    </row>
    <row r="909" spans="10:10" x14ac:dyDescent="0.35">
      <c r="J909" s="7"/>
    </row>
    <row r="910" spans="10:10" x14ac:dyDescent="0.35">
      <c r="J910" s="7"/>
    </row>
    <row r="911" spans="10:10" x14ac:dyDescent="0.35">
      <c r="J911" s="7"/>
    </row>
    <row r="912" spans="10:10" x14ac:dyDescent="0.35">
      <c r="J912" s="7"/>
    </row>
    <row r="913" spans="10:10" x14ac:dyDescent="0.35">
      <c r="J913" s="7"/>
    </row>
    <row r="914" spans="10:10" x14ac:dyDescent="0.35">
      <c r="J914" s="7"/>
    </row>
    <row r="915" spans="10:10" x14ac:dyDescent="0.35">
      <c r="J915" s="7"/>
    </row>
    <row r="916" spans="10:10" x14ac:dyDescent="0.35">
      <c r="J916" s="7"/>
    </row>
    <row r="917" spans="10:10" x14ac:dyDescent="0.35">
      <c r="J917" s="7"/>
    </row>
    <row r="918" spans="10:10" x14ac:dyDescent="0.35">
      <c r="J918" s="7"/>
    </row>
    <row r="919" spans="10:10" x14ac:dyDescent="0.35">
      <c r="J919" s="7"/>
    </row>
    <row r="920" spans="10:10" x14ac:dyDescent="0.35">
      <c r="J920" s="7"/>
    </row>
    <row r="921" spans="10:10" x14ac:dyDescent="0.35">
      <c r="J921" s="7"/>
    </row>
    <row r="922" spans="10:10" x14ac:dyDescent="0.35">
      <c r="J922" s="7"/>
    </row>
    <row r="923" spans="10:10" x14ac:dyDescent="0.35">
      <c r="J923" s="7"/>
    </row>
    <row r="924" spans="10:10" x14ac:dyDescent="0.35">
      <c r="J924" s="7"/>
    </row>
    <row r="925" spans="10:10" x14ac:dyDescent="0.35">
      <c r="J925" s="7"/>
    </row>
    <row r="926" spans="10:10" x14ac:dyDescent="0.35">
      <c r="J926" s="7"/>
    </row>
    <row r="927" spans="10:10" x14ac:dyDescent="0.35">
      <c r="J927" s="7"/>
    </row>
    <row r="928" spans="10:10" x14ac:dyDescent="0.35">
      <c r="J928" s="7"/>
    </row>
    <row r="929" spans="10:10" x14ac:dyDescent="0.35">
      <c r="J929" s="7"/>
    </row>
    <row r="930" spans="10:10" x14ac:dyDescent="0.35">
      <c r="J930" s="7"/>
    </row>
    <row r="931" spans="10:10" x14ac:dyDescent="0.35">
      <c r="J931" s="7"/>
    </row>
    <row r="932" spans="10:10" x14ac:dyDescent="0.35">
      <c r="J932" s="7"/>
    </row>
    <row r="933" spans="10:10" x14ac:dyDescent="0.35">
      <c r="J933" s="7"/>
    </row>
    <row r="934" spans="10:10" x14ac:dyDescent="0.35">
      <c r="J934" s="7"/>
    </row>
    <row r="935" spans="10:10" x14ac:dyDescent="0.35">
      <c r="J935" s="7"/>
    </row>
    <row r="936" spans="10:10" x14ac:dyDescent="0.35">
      <c r="J936" s="7"/>
    </row>
    <row r="937" spans="10:10" x14ac:dyDescent="0.35">
      <c r="J937" s="7"/>
    </row>
    <row r="938" spans="10:10" x14ac:dyDescent="0.35">
      <c r="J938" s="7"/>
    </row>
    <row r="939" spans="10:10" x14ac:dyDescent="0.35">
      <c r="J939" s="7"/>
    </row>
    <row r="940" spans="10:10" x14ac:dyDescent="0.35">
      <c r="J940" s="7"/>
    </row>
    <row r="941" spans="10:10" x14ac:dyDescent="0.35">
      <c r="J941" s="7"/>
    </row>
    <row r="942" spans="10:10" x14ac:dyDescent="0.35">
      <c r="J942" s="7"/>
    </row>
    <row r="943" spans="10:10" x14ac:dyDescent="0.35">
      <c r="J943" s="7"/>
    </row>
    <row r="944" spans="10:10" x14ac:dyDescent="0.35">
      <c r="J944" s="7"/>
    </row>
    <row r="945" spans="10:10" x14ac:dyDescent="0.35">
      <c r="J945" s="7"/>
    </row>
    <row r="946" spans="10:10" x14ac:dyDescent="0.35">
      <c r="J946" s="7"/>
    </row>
    <row r="947" spans="10:10" x14ac:dyDescent="0.35">
      <c r="J947" s="7"/>
    </row>
    <row r="948" spans="10:10" x14ac:dyDescent="0.35">
      <c r="J948" s="7"/>
    </row>
    <row r="949" spans="10:10" x14ac:dyDescent="0.35">
      <c r="J949" s="7"/>
    </row>
    <row r="950" spans="10:10" x14ac:dyDescent="0.35">
      <c r="J950" s="7"/>
    </row>
    <row r="951" spans="10:10" x14ac:dyDescent="0.35">
      <c r="J951" s="7"/>
    </row>
    <row r="952" spans="10:10" x14ac:dyDescent="0.35">
      <c r="J952" s="7"/>
    </row>
    <row r="953" spans="10:10" x14ac:dyDescent="0.35">
      <c r="J953" s="7"/>
    </row>
    <row r="954" spans="10:10" x14ac:dyDescent="0.35">
      <c r="J954" s="7"/>
    </row>
    <row r="955" spans="10:10" x14ac:dyDescent="0.35">
      <c r="J955" s="7"/>
    </row>
    <row r="956" spans="10:10" x14ac:dyDescent="0.35">
      <c r="J956" s="7"/>
    </row>
    <row r="957" spans="10:10" x14ac:dyDescent="0.35">
      <c r="J957" s="7"/>
    </row>
    <row r="958" spans="10:10" x14ac:dyDescent="0.35">
      <c r="J958" s="7"/>
    </row>
    <row r="959" spans="10:10" x14ac:dyDescent="0.35">
      <c r="J959" s="7"/>
    </row>
    <row r="960" spans="10:10" x14ac:dyDescent="0.35">
      <c r="J960" s="7"/>
    </row>
    <row r="961" spans="10:10" x14ac:dyDescent="0.35">
      <c r="J961" s="7"/>
    </row>
    <row r="962" spans="10:10" x14ac:dyDescent="0.35">
      <c r="J962" s="7"/>
    </row>
    <row r="963" spans="10:10" x14ac:dyDescent="0.35">
      <c r="J963" s="7"/>
    </row>
    <row r="964" spans="10:10" x14ac:dyDescent="0.35">
      <c r="J964" s="7"/>
    </row>
    <row r="965" spans="10:10" x14ac:dyDescent="0.35">
      <c r="J965" s="7"/>
    </row>
    <row r="966" spans="10:10" x14ac:dyDescent="0.35">
      <c r="J966" s="7"/>
    </row>
    <row r="967" spans="10:10" x14ac:dyDescent="0.35">
      <c r="J967" s="7"/>
    </row>
    <row r="968" spans="10:10" x14ac:dyDescent="0.35">
      <c r="J968" s="7"/>
    </row>
    <row r="969" spans="10:10" x14ac:dyDescent="0.35">
      <c r="J969" s="7"/>
    </row>
    <row r="970" spans="10:10" x14ac:dyDescent="0.35">
      <c r="J970" s="7"/>
    </row>
    <row r="971" spans="10:10" x14ac:dyDescent="0.35">
      <c r="J971" s="7"/>
    </row>
    <row r="972" spans="10:10" x14ac:dyDescent="0.35">
      <c r="J972" s="7"/>
    </row>
    <row r="973" spans="10:10" x14ac:dyDescent="0.35">
      <c r="J973" s="7"/>
    </row>
    <row r="974" spans="10:10" x14ac:dyDescent="0.35">
      <c r="J974" s="7"/>
    </row>
    <row r="975" spans="10:10" x14ac:dyDescent="0.35">
      <c r="J975" s="7"/>
    </row>
    <row r="976" spans="10:10" x14ac:dyDescent="0.35">
      <c r="J976" s="7"/>
    </row>
    <row r="977" spans="10:10" x14ac:dyDescent="0.35">
      <c r="J977" s="7"/>
    </row>
    <row r="978" spans="10:10" x14ac:dyDescent="0.35">
      <c r="J978" s="7"/>
    </row>
    <row r="979" spans="10:10" x14ac:dyDescent="0.35">
      <c r="J979" s="7"/>
    </row>
    <row r="980" spans="10:10" x14ac:dyDescent="0.35">
      <c r="J980" s="7"/>
    </row>
    <row r="981" spans="10:10" x14ac:dyDescent="0.35">
      <c r="J981" s="7"/>
    </row>
    <row r="982" spans="10:10" x14ac:dyDescent="0.35">
      <c r="J982" s="7"/>
    </row>
    <row r="983" spans="10:10" x14ac:dyDescent="0.35">
      <c r="J983" s="7"/>
    </row>
    <row r="984" spans="10:10" x14ac:dyDescent="0.35">
      <c r="J984" s="7"/>
    </row>
    <row r="985" spans="10:10" x14ac:dyDescent="0.35">
      <c r="J985" s="7"/>
    </row>
    <row r="986" spans="10:10" x14ac:dyDescent="0.35">
      <c r="J986" s="7"/>
    </row>
    <row r="987" spans="10:10" x14ac:dyDescent="0.35">
      <c r="J987" s="7"/>
    </row>
    <row r="988" spans="10:10" x14ac:dyDescent="0.35">
      <c r="J988" s="7"/>
    </row>
    <row r="989" spans="10:10" x14ac:dyDescent="0.35">
      <c r="J989" s="7"/>
    </row>
    <row r="990" spans="10:10" x14ac:dyDescent="0.35">
      <c r="J990" s="7"/>
    </row>
    <row r="991" spans="10:10" x14ac:dyDescent="0.35">
      <c r="J991" s="7"/>
    </row>
    <row r="992" spans="10:10" x14ac:dyDescent="0.35">
      <c r="J992" s="7"/>
    </row>
    <row r="993" spans="10:10" x14ac:dyDescent="0.35">
      <c r="J993" s="7"/>
    </row>
    <row r="994" spans="10:10" x14ac:dyDescent="0.35">
      <c r="J994" s="7"/>
    </row>
    <row r="995" spans="10:10" x14ac:dyDescent="0.35">
      <c r="J995" s="7"/>
    </row>
    <row r="996" spans="10:10" x14ac:dyDescent="0.35">
      <c r="J996" s="7"/>
    </row>
    <row r="997" spans="10:10" x14ac:dyDescent="0.35">
      <c r="J997" s="7"/>
    </row>
    <row r="998" spans="10:10" x14ac:dyDescent="0.35">
      <c r="J998" s="7"/>
    </row>
    <row r="999" spans="10:10" x14ac:dyDescent="0.35">
      <c r="J999" s="7"/>
    </row>
    <row r="1000" spans="10:10" x14ac:dyDescent="0.35">
      <c r="J1000" s="7"/>
    </row>
    <row r="1001" spans="10:10" x14ac:dyDescent="0.35">
      <c r="J1001" s="7"/>
    </row>
    <row r="1002" spans="10:10" x14ac:dyDescent="0.35">
      <c r="J1002"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5"/>
  <dimension ref="A1:H101"/>
  <sheetViews>
    <sheetView workbookViewId="0">
      <selection activeCell="N18" sqref="N18:N19"/>
    </sheetView>
  </sheetViews>
  <sheetFormatPr defaultRowHeight="14.5" x14ac:dyDescent="0.35"/>
  <sheetData>
    <row r="1" spans="1:8" x14ac:dyDescent="0.35">
      <c r="A1" t="s">
        <v>972</v>
      </c>
    </row>
    <row r="2" spans="1:8" x14ac:dyDescent="0.35">
      <c r="A2">
        <v>1</v>
      </c>
      <c r="B2">
        <v>1</v>
      </c>
      <c r="C2" t="s">
        <v>60</v>
      </c>
      <c r="D2" s="4">
        <v>50</v>
      </c>
      <c r="E2" s="4">
        <v>80</v>
      </c>
      <c r="F2" s="4">
        <v>130</v>
      </c>
      <c r="H2" s="4">
        <v>77.86</v>
      </c>
    </row>
    <row r="3" spans="1:8" x14ac:dyDescent="0.35">
      <c r="A3">
        <v>1</v>
      </c>
      <c r="B3">
        <v>2</v>
      </c>
      <c r="C3" t="s">
        <v>62</v>
      </c>
      <c r="D3" s="4">
        <v>12</v>
      </c>
      <c r="E3" s="4">
        <v>15</v>
      </c>
      <c r="F3" s="4">
        <v>18</v>
      </c>
      <c r="H3" s="4">
        <v>27.8</v>
      </c>
    </row>
    <row r="4" spans="1:8" x14ac:dyDescent="0.35">
      <c r="A4">
        <v>1</v>
      </c>
      <c r="B4">
        <v>3</v>
      </c>
      <c r="C4" t="s">
        <v>63</v>
      </c>
      <c r="D4" s="4">
        <v>-82</v>
      </c>
      <c r="E4" s="4">
        <v>0</v>
      </c>
      <c r="F4" s="4">
        <v>12</v>
      </c>
      <c r="H4" s="4">
        <v>16.3</v>
      </c>
    </row>
    <row r="5" spans="1:8" x14ac:dyDescent="0.35">
      <c r="A5">
        <v>1</v>
      </c>
      <c r="B5">
        <v>4</v>
      </c>
      <c r="C5" t="s">
        <v>64</v>
      </c>
      <c r="D5" s="4">
        <v>250</v>
      </c>
      <c r="E5" s="4">
        <v>400</v>
      </c>
      <c r="F5" s="4">
        <v>600</v>
      </c>
      <c r="H5" s="4">
        <v>119</v>
      </c>
    </row>
    <row r="6" spans="1:8" x14ac:dyDescent="0.35">
      <c r="A6">
        <v>1</v>
      </c>
      <c r="B6">
        <v>5</v>
      </c>
      <c r="C6" t="s">
        <v>65</v>
      </c>
      <c r="D6" s="4">
        <v>7000</v>
      </c>
      <c r="E6" s="4">
        <v>8000</v>
      </c>
      <c r="F6" s="4">
        <v>9000</v>
      </c>
      <c r="H6" s="4">
        <v>74067</v>
      </c>
    </row>
    <row r="7" spans="1:8" x14ac:dyDescent="0.35">
      <c r="A7">
        <v>1</v>
      </c>
      <c r="B7">
        <v>6</v>
      </c>
      <c r="C7" t="s">
        <v>66</v>
      </c>
      <c r="D7" s="4">
        <v>500</v>
      </c>
      <c r="E7" s="4">
        <v>700</v>
      </c>
      <c r="F7" s="4">
        <v>900</v>
      </c>
      <c r="H7" s="4">
        <v>11722</v>
      </c>
    </row>
    <row r="8" spans="1:8" x14ac:dyDescent="0.35">
      <c r="A8">
        <v>1</v>
      </c>
      <c r="B8">
        <v>7</v>
      </c>
      <c r="C8" t="s">
        <v>67</v>
      </c>
      <c r="D8" s="4">
        <v>300</v>
      </c>
      <c r="E8" s="4">
        <v>450</v>
      </c>
      <c r="F8" s="4">
        <v>600</v>
      </c>
      <c r="H8" s="4">
        <v>4696</v>
      </c>
    </row>
    <row r="9" spans="1:8" x14ac:dyDescent="0.35">
      <c r="A9">
        <v>1</v>
      </c>
      <c r="B9">
        <v>8</v>
      </c>
      <c r="C9" t="s">
        <v>68</v>
      </c>
      <c r="D9" s="4">
        <v>10000</v>
      </c>
      <c r="E9" s="4">
        <v>15000</v>
      </c>
      <c r="F9" s="4">
        <v>20000</v>
      </c>
      <c r="H9" s="4">
        <v>2434</v>
      </c>
    </row>
    <row r="10" spans="1:8" x14ac:dyDescent="0.35">
      <c r="A10">
        <v>1</v>
      </c>
      <c r="B10">
        <v>9</v>
      </c>
      <c r="C10" t="s">
        <v>235</v>
      </c>
      <c r="D10" s="4">
        <v>15</v>
      </c>
      <c r="E10" s="4">
        <v>20</v>
      </c>
      <c r="F10" s="4">
        <v>25</v>
      </c>
      <c r="H10" s="4">
        <v>22</v>
      </c>
    </row>
    <row r="11" spans="1:8" x14ac:dyDescent="0.35">
      <c r="A11">
        <v>1</v>
      </c>
      <c r="B11">
        <v>10</v>
      </c>
      <c r="C11" t="s">
        <v>69</v>
      </c>
      <c r="D11" s="4">
        <v>-15</v>
      </c>
      <c r="E11" s="4">
        <v>-10</v>
      </c>
      <c r="F11" s="4">
        <v>-5</v>
      </c>
      <c r="H11" s="4">
        <v>55</v>
      </c>
    </row>
    <row r="12" spans="1:8" x14ac:dyDescent="0.35">
      <c r="A12">
        <v>2</v>
      </c>
      <c r="B12">
        <v>1</v>
      </c>
      <c r="C12" t="s">
        <v>60</v>
      </c>
      <c r="D12" s="4">
        <v>98</v>
      </c>
      <c r="E12" s="4">
        <v>102</v>
      </c>
      <c r="F12" s="4">
        <v>110</v>
      </c>
    </row>
    <row r="13" spans="1:8" x14ac:dyDescent="0.35">
      <c r="A13">
        <v>2</v>
      </c>
      <c r="B13">
        <v>2</v>
      </c>
      <c r="C13" t="s">
        <v>62</v>
      </c>
      <c r="D13" s="4">
        <v>0.2</v>
      </c>
      <c r="E13" s="4">
        <v>10</v>
      </c>
      <c r="F13" s="4">
        <v>15</v>
      </c>
    </row>
    <row r="14" spans="1:8" x14ac:dyDescent="0.35">
      <c r="A14">
        <v>2</v>
      </c>
      <c r="B14">
        <v>3</v>
      </c>
      <c r="C14" t="s">
        <v>63</v>
      </c>
      <c r="D14" s="4">
        <v>-2</v>
      </c>
      <c r="E14" s="4">
        <v>1</v>
      </c>
      <c r="F14" s="4">
        <v>5</v>
      </c>
    </row>
    <row r="15" spans="1:8" x14ac:dyDescent="0.35">
      <c r="A15">
        <v>2</v>
      </c>
      <c r="B15">
        <v>4</v>
      </c>
      <c r="C15" t="s">
        <v>64</v>
      </c>
      <c r="D15" s="4">
        <v>102</v>
      </c>
      <c r="E15" s="4">
        <v>112</v>
      </c>
      <c r="F15" s="4">
        <v>120</v>
      </c>
    </row>
    <row r="16" spans="1:8" x14ac:dyDescent="0.35">
      <c r="A16">
        <v>2</v>
      </c>
      <c r="B16">
        <v>5</v>
      </c>
      <c r="C16" t="s">
        <v>65</v>
      </c>
      <c r="D16" s="4">
        <v>15000</v>
      </c>
      <c r="E16" s="4">
        <v>120000</v>
      </c>
      <c r="F16" s="4">
        <v>200000</v>
      </c>
    </row>
    <row r="17" spans="1:6" x14ac:dyDescent="0.35">
      <c r="A17">
        <v>2</v>
      </c>
      <c r="B17">
        <v>6</v>
      </c>
      <c r="C17" t="s">
        <v>66</v>
      </c>
      <c r="D17" s="4">
        <v>500</v>
      </c>
      <c r="E17" s="4">
        <v>2200</v>
      </c>
      <c r="F17" s="4">
        <v>8000</v>
      </c>
    </row>
    <row r="18" spans="1:6" x14ac:dyDescent="0.35">
      <c r="A18">
        <v>2</v>
      </c>
      <c r="B18">
        <v>7</v>
      </c>
      <c r="C18" t="s">
        <v>67</v>
      </c>
      <c r="D18" s="4">
        <v>200</v>
      </c>
      <c r="E18" s="4">
        <v>600</v>
      </c>
      <c r="F18" s="4">
        <v>800</v>
      </c>
    </row>
    <row r="19" spans="1:6" x14ac:dyDescent="0.35">
      <c r="A19">
        <v>2</v>
      </c>
      <c r="B19">
        <v>8</v>
      </c>
      <c r="C19" t="s">
        <v>68</v>
      </c>
      <c r="D19" s="4">
        <v>500</v>
      </c>
      <c r="E19" s="4">
        <v>1500</v>
      </c>
      <c r="F19" s="4">
        <v>8000</v>
      </c>
    </row>
    <row r="20" spans="1:6" x14ac:dyDescent="0.35">
      <c r="A20">
        <v>2</v>
      </c>
      <c r="B20">
        <v>9</v>
      </c>
      <c r="C20" t="s">
        <v>235</v>
      </c>
      <c r="D20" s="4">
        <v>10</v>
      </c>
      <c r="E20" s="4">
        <v>20</v>
      </c>
      <c r="F20" s="4">
        <v>50</v>
      </c>
    </row>
    <row r="21" spans="1:6" x14ac:dyDescent="0.35">
      <c r="A21">
        <v>2</v>
      </c>
      <c r="B21">
        <v>10</v>
      </c>
      <c r="C21" t="s">
        <v>69</v>
      </c>
      <c r="D21" s="4">
        <v>15</v>
      </c>
      <c r="E21" s="4">
        <v>28</v>
      </c>
      <c r="F21" s="4">
        <v>50</v>
      </c>
    </row>
    <row r="22" spans="1:6" x14ac:dyDescent="0.35">
      <c r="A22">
        <v>3</v>
      </c>
      <c r="B22">
        <v>1</v>
      </c>
      <c r="C22" t="s">
        <v>60</v>
      </c>
      <c r="D22" s="4">
        <v>20</v>
      </c>
      <c r="E22" s="4">
        <v>50</v>
      </c>
      <c r="F22" s="4">
        <v>120</v>
      </c>
    </row>
    <row r="23" spans="1:6" x14ac:dyDescent="0.35">
      <c r="A23">
        <v>3</v>
      </c>
      <c r="B23">
        <v>2</v>
      </c>
      <c r="C23" t="s">
        <v>62</v>
      </c>
      <c r="D23" s="4">
        <v>1</v>
      </c>
      <c r="E23" s="4">
        <v>12</v>
      </c>
      <c r="F23" s="4">
        <v>25</v>
      </c>
    </row>
    <row r="24" spans="1:6" x14ac:dyDescent="0.35">
      <c r="A24">
        <v>3</v>
      </c>
      <c r="B24">
        <v>3</v>
      </c>
      <c r="C24" t="s">
        <v>63</v>
      </c>
      <c r="D24" s="4">
        <v>1</v>
      </c>
      <c r="E24" s="4">
        <v>2</v>
      </c>
      <c r="F24" s="4">
        <v>5</v>
      </c>
    </row>
    <row r="25" spans="1:6" x14ac:dyDescent="0.35">
      <c r="A25">
        <v>3</v>
      </c>
      <c r="B25">
        <v>4</v>
      </c>
      <c r="C25" t="s">
        <v>64</v>
      </c>
      <c r="D25" s="4">
        <v>120</v>
      </c>
      <c r="E25" s="4">
        <v>150</v>
      </c>
      <c r="F25" s="4">
        <v>200</v>
      </c>
    </row>
    <row r="26" spans="1:6" x14ac:dyDescent="0.35">
      <c r="A26">
        <v>3</v>
      </c>
      <c r="B26">
        <v>5</v>
      </c>
      <c r="C26" t="s">
        <v>65</v>
      </c>
      <c r="D26" s="4">
        <v>150000</v>
      </c>
      <c r="E26" s="4">
        <v>360000</v>
      </c>
      <c r="F26" s="4">
        <v>660000</v>
      </c>
    </row>
    <row r="27" spans="1:6" x14ac:dyDescent="0.35">
      <c r="A27">
        <v>3</v>
      </c>
      <c r="B27">
        <v>6</v>
      </c>
      <c r="C27" t="s">
        <v>66</v>
      </c>
      <c r="D27" s="4">
        <v>15600</v>
      </c>
      <c r="E27" s="4">
        <v>62400</v>
      </c>
      <c r="F27" s="4">
        <v>124800</v>
      </c>
    </row>
    <row r="28" spans="1:6" x14ac:dyDescent="0.35">
      <c r="A28">
        <v>3</v>
      </c>
      <c r="B28">
        <v>7</v>
      </c>
      <c r="C28" t="s">
        <v>67</v>
      </c>
      <c r="D28" s="4">
        <v>10000</v>
      </c>
      <c r="E28" s="4">
        <v>33000</v>
      </c>
      <c r="F28" s="4">
        <v>100000</v>
      </c>
    </row>
    <row r="29" spans="1:6" x14ac:dyDescent="0.35">
      <c r="A29">
        <v>3</v>
      </c>
      <c r="B29">
        <v>8</v>
      </c>
      <c r="C29" t="s">
        <v>68</v>
      </c>
      <c r="D29" s="4">
        <v>10000</v>
      </c>
      <c r="E29" s="4">
        <v>18800</v>
      </c>
      <c r="F29" s="4">
        <v>40000</v>
      </c>
    </row>
    <row r="30" spans="1:6" x14ac:dyDescent="0.35">
      <c r="A30">
        <v>3</v>
      </c>
      <c r="B30">
        <v>9</v>
      </c>
      <c r="C30" t="s">
        <v>235</v>
      </c>
      <c r="D30" s="4">
        <v>5</v>
      </c>
      <c r="E30" s="4">
        <v>15</v>
      </c>
      <c r="F30" s="4">
        <v>30</v>
      </c>
    </row>
    <row r="31" spans="1:6" x14ac:dyDescent="0.35">
      <c r="A31">
        <v>3</v>
      </c>
      <c r="B31">
        <v>10</v>
      </c>
      <c r="C31" t="s">
        <v>69</v>
      </c>
      <c r="D31" s="4">
        <v>0</v>
      </c>
      <c r="E31" s="4">
        <v>150</v>
      </c>
      <c r="F31" s="4">
        <v>500</v>
      </c>
    </row>
    <row r="32" spans="1:6" x14ac:dyDescent="0.35">
      <c r="A32">
        <v>4</v>
      </c>
      <c r="B32">
        <v>1</v>
      </c>
      <c r="C32" t="s">
        <v>60</v>
      </c>
      <c r="D32" s="4">
        <v>145</v>
      </c>
      <c r="E32" s="4">
        <v>160</v>
      </c>
      <c r="F32" s="4">
        <v>200</v>
      </c>
    </row>
    <row r="33" spans="1:6" x14ac:dyDescent="0.35">
      <c r="A33">
        <v>4</v>
      </c>
      <c r="B33">
        <v>2</v>
      </c>
      <c r="C33" t="s">
        <v>62</v>
      </c>
      <c r="D33" s="4">
        <v>2</v>
      </c>
      <c r="E33" s="4">
        <v>3</v>
      </c>
      <c r="F33" s="4">
        <v>4.5</v>
      </c>
    </row>
    <row r="34" spans="1:6" x14ac:dyDescent="0.35">
      <c r="A34">
        <v>4</v>
      </c>
      <c r="B34">
        <v>3</v>
      </c>
      <c r="C34" t="s">
        <v>63</v>
      </c>
      <c r="D34" s="4">
        <v>4</v>
      </c>
      <c r="E34" s="4">
        <v>6</v>
      </c>
      <c r="F34" s="4">
        <v>8</v>
      </c>
    </row>
    <row r="35" spans="1:6" x14ac:dyDescent="0.35">
      <c r="A35">
        <v>4</v>
      </c>
      <c r="B35">
        <v>4</v>
      </c>
      <c r="C35" t="s">
        <v>64</v>
      </c>
      <c r="D35" s="4">
        <v>125</v>
      </c>
      <c r="E35" s="4">
        <v>250</v>
      </c>
      <c r="F35" s="4">
        <v>350</v>
      </c>
    </row>
    <row r="36" spans="1:6" x14ac:dyDescent="0.35">
      <c r="A36">
        <v>4</v>
      </c>
      <c r="B36">
        <v>5</v>
      </c>
      <c r="C36" t="s">
        <v>65</v>
      </c>
      <c r="D36" s="4">
        <v>3000</v>
      </c>
      <c r="E36" s="4">
        <v>45000</v>
      </c>
      <c r="F36" s="4">
        <v>60000</v>
      </c>
    </row>
    <row r="37" spans="1:6" x14ac:dyDescent="0.35">
      <c r="A37">
        <v>4</v>
      </c>
      <c r="B37">
        <v>6</v>
      </c>
      <c r="C37" t="s">
        <v>66</v>
      </c>
      <c r="D37" s="4">
        <v>300</v>
      </c>
      <c r="E37" s="4">
        <v>4500</v>
      </c>
      <c r="F37" s="4">
        <v>6000</v>
      </c>
    </row>
    <row r="38" spans="1:6" x14ac:dyDescent="0.35">
      <c r="A38">
        <v>4</v>
      </c>
      <c r="B38">
        <v>7</v>
      </c>
      <c r="C38" t="s">
        <v>67</v>
      </c>
      <c r="D38" s="4">
        <v>200</v>
      </c>
      <c r="E38" s="4">
        <v>350</v>
      </c>
      <c r="F38" s="4">
        <v>500</v>
      </c>
    </row>
    <row r="39" spans="1:6" x14ac:dyDescent="0.35">
      <c r="A39">
        <v>4</v>
      </c>
      <c r="B39">
        <v>8</v>
      </c>
      <c r="C39" t="s">
        <v>68</v>
      </c>
      <c r="D39" s="4">
        <v>800</v>
      </c>
      <c r="E39" s="4">
        <v>1800</v>
      </c>
      <c r="F39" s="4">
        <v>3000</v>
      </c>
    </row>
    <row r="40" spans="1:6" x14ac:dyDescent="0.35">
      <c r="A40">
        <v>4</v>
      </c>
      <c r="B40">
        <v>9</v>
      </c>
      <c r="C40" t="s">
        <v>235</v>
      </c>
      <c r="D40" s="4">
        <v>20</v>
      </c>
      <c r="E40" s="4">
        <v>35</v>
      </c>
      <c r="F40" s="4">
        <v>45</v>
      </c>
    </row>
    <row r="41" spans="1:6" x14ac:dyDescent="0.35">
      <c r="A41">
        <v>4</v>
      </c>
      <c r="B41">
        <v>10</v>
      </c>
      <c r="C41" t="s">
        <v>69</v>
      </c>
      <c r="D41" s="4">
        <v>7</v>
      </c>
      <c r="E41" s="4">
        <v>10</v>
      </c>
      <c r="F41" s="4">
        <v>15</v>
      </c>
    </row>
    <row r="42" spans="1:6" x14ac:dyDescent="0.35">
      <c r="A42">
        <v>5</v>
      </c>
      <c r="B42">
        <v>1</v>
      </c>
      <c r="C42" t="s">
        <v>60</v>
      </c>
      <c r="D42" s="4">
        <v>20</v>
      </c>
      <c r="E42" s="4">
        <v>50</v>
      </c>
      <c r="F42" s="4">
        <v>85</v>
      </c>
    </row>
    <row r="43" spans="1:6" x14ac:dyDescent="0.35">
      <c r="A43">
        <v>5</v>
      </c>
      <c r="B43">
        <v>2</v>
      </c>
      <c r="C43" t="s">
        <v>62</v>
      </c>
      <c r="D43" s="4">
        <v>5</v>
      </c>
      <c r="E43" s="4">
        <v>40</v>
      </c>
      <c r="F43" s="4">
        <v>60</v>
      </c>
    </row>
    <row r="44" spans="1:6" x14ac:dyDescent="0.35">
      <c r="A44">
        <v>5</v>
      </c>
      <c r="B44">
        <v>3</v>
      </c>
      <c r="C44" t="s">
        <v>63</v>
      </c>
      <c r="D44" s="4">
        <v>8</v>
      </c>
      <c r="E44" s="4">
        <v>25</v>
      </c>
      <c r="F44" s="4">
        <v>35</v>
      </c>
    </row>
    <row r="45" spans="1:6" x14ac:dyDescent="0.35">
      <c r="A45">
        <v>5</v>
      </c>
      <c r="B45">
        <v>4</v>
      </c>
      <c r="C45" t="s">
        <v>64</v>
      </c>
      <c r="D45" s="4">
        <v>50</v>
      </c>
      <c r="E45" s="4">
        <v>325</v>
      </c>
      <c r="F45" s="4">
        <v>450</v>
      </c>
    </row>
    <row r="46" spans="1:6" x14ac:dyDescent="0.35">
      <c r="A46">
        <v>5</v>
      </c>
      <c r="B46">
        <v>5</v>
      </c>
      <c r="C46" t="s">
        <v>65</v>
      </c>
      <c r="D46" s="4">
        <v>70000</v>
      </c>
      <c r="E46" s="4">
        <v>140000</v>
      </c>
      <c r="F46" s="4">
        <v>220000</v>
      </c>
    </row>
    <row r="47" spans="1:6" x14ac:dyDescent="0.35">
      <c r="A47">
        <v>5</v>
      </c>
      <c r="B47">
        <v>6</v>
      </c>
      <c r="C47" t="s">
        <v>66</v>
      </c>
      <c r="D47" s="4">
        <v>14000</v>
      </c>
      <c r="E47" s="4">
        <v>28000</v>
      </c>
      <c r="F47" s="4">
        <v>44000</v>
      </c>
    </row>
    <row r="48" spans="1:6" x14ac:dyDescent="0.35">
      <c r="A48">
        <v>5</v>
      </c>
      <c r="B48">
        <v>7</v>
      </c>
      <c r="C48" t="s">
        <v>67</v>
      </c>
      <c r="D48" s="4">
        <v>5</v>
      </c>
      <c r="E48" s="4">
        <v>25</v>
      </c>
      <c r="F48" s="4">
        <v>90</v>
      </c>
    </row>
    <row r="49" spans="1:6" x14ac:dyDescent="0.35">
      <c r="A49">
        <v>5</v>
      </c>
      <c r="B49">
        <v>8</v>
      </c>
      <c r="C49" t="s">
        <v>68</v>
      </c>
      <c r="D49" s="4">
        <v>100</v>
      </c>
      <c r="E49" s="4">
        <v>210</v>
      </c>
      <c r="F49" s="4">
        <v>600</v>
      </c>
    </row>
    <row r="50" spans="1:6" x14ac:dyDescent="0.35">
      <c r="A50">
        <v>5</v>
      </c>
      <c r="B50">
        <v>9</v>
      </c>
      <c r="C50" t="s">
        <v>235</v>
      </c>
      <c r="D50" s="4">
        <v>10</v>
      </c>
      <c r="E50" s="4">
        <v>25</v>
      </c>
      <c r="F50" s="4">
        <v>35</v>
      </c>
    </row>
    <row r="51" spans="1:6" x14ac:dyDescent="0.35">
      <c r="A51">
        <v>5</v>
      </c>
      <c r="B51">
        <v>10</v>
      </c>
      <c r="C51" t="s">
        <v>69</v>
      </c>
      <c r="D51" s="4">
        <v>-30</v>
      </c>
      <c r="E51" s="4">
        <v>-10</v>
      </c>
      <c r="F51" s="4">
        <v>20</v>
      </c>
    </row>
    <row r="52" spans="1:6" x14ac:dyDescent="0.35">
      <c r="A52">
        <v>6</v>
      </c>
      <c r="B52">
        <v>1</v>
      </c>
      <c r="C52" t="s">
        <v>60</v>
      </c>
      <c r="D52" s="4">
        <v>100</v>
      </c>
      <c r="E52" s="4">
        <v>150</v>
      </c>
      <c r="F52" s="4">
        <v>300</v>
      </c>
    </row>
    <row r="53" spans="1:6" x14ac:dyDescent="0.35">
      <c r="A53">
        <v>6</v>
      </c>
      <c r="B53">
        <v>2</v>
      </c>
      <c r="C53" t="s">
        <v>62</v>
      </c>
      <c r="D53" s="4">
        <v>10</v>
      </c>
      <c r="E53" s="4">
        <v>60</v>
      </c>
      <c r="F53" s="4">
        <v>80</v>
      </c>
    </row>
    <row r="54" spans="1:6" x14ac:dyDescent="0.35">
      <c r="A54">
        <v>6</v>
      </c>
      <c r="B54">
        <v>3</v>
      </c>
      <c r="C54" t="s">
        <v>63</v>
      </c>
      <c r="D54" s="4">
        <v>5</v>
      </c>
      <c r="E54" s="4">
        <v>50</v>
      </c>
      <c r="F54" s="4">
        <v>100</v>
      </c>
    </row>
    <row r="55" spans="1:6" x14ac:dyDescent="0.35">
      <c r="A55">
        <v>6</v>
      </c>
      <c r="B55">
        <v>4</v>
      </c>
      <c r="C55" t="s">
        <v>64</v>
      </c>
      <c r="D55" s="4">
        <v>100</v>
      </c>
      <c r="E55" s="4">
        <v>143</v>
      </c>
      <c r="F55" s="4">
        <v>207</v>
      </c>
    </row>
    <row r="56" spans="1:6" x14ac:dyDescent="0.35">
      <c r="A56">
        <v>6</v>
      </c>
      <c r="B56">
        <v>5</v>
      </c>
      <c r="C56" t="s">
        <v>65</v>
      </c>
      <c r="D56" s="4">
        <v>300</v>
      </c>
      <c r="E56" s="4">
        <v>480</v>
      </c>
      <c r="F56" s="4">
        <v>750</v>
      </c>
    </row>
    <row r="57" spans="1:6" x14ac:dyDescent="0.35">
      <c r="A57">
        <v>6</v>
      </c>
      <c r="B57">
        <v>6</v>
      </c>
      <c r="C57" t="s">
        <v>66</v>
      </c>
      <c r="D57" s="4">
        <v>30</v>
      </c>
      <c r="E57" s="4">
        <v>120</v>
      </c>
      <c r="F57" s="4">
        <v>400</v>
      </c>
    </row>
    <row r="58" spans="1:6" x14ac:dyDescent="0.35">
      <c r="A58">
        <v>6</v>
      </c>
      <c r="B58">
        <v>7</v>
      </c>
      <c r="C58" t="s">
        <v>67</v>
      </c>
      <c r="D58" s="4">
        <v>100</v>
      </c>
      <c r="E58" s="4">
        <v>250</v>
      </c>
      <c r="F58" s="4">
        <v>600</v>
      </c>
    </row>
    <row r="59" spans="1:6" x14ac:dyDescent="0.35">
      <c r="A59">
        <v>6</v>
      </c>
      <c r="B59">
        <v>8</v>
      </c>
      <c r="C59" t="s">
        <v>68</v>
      </c>
      <c r="D59" s="4">
        <v>20</v>
      </c>
      <c r="E59" s="4">
        <v>100</v>
      </c>
      <c r="F59" s="4">
        <v>300</v>
      </c>
    </row>
    <row r="60" spans="1:6" x14ac:dyDescent="0.35">
      <c r="A60">
        <v>6</v>
      </c>
      <c r="B60">
        <v>9</v>
      </c>
      <c r="C60" t="s">
        <v>235</v>
      </c>
      <c r="D60" s="4">
        <v>15</v>
      </c>
      <c r="E60" s="4">
        <v>30</v>
      </c>
      <c r="F60" s="4">
        <v>60</v>
      </c>
    </row>
    <row r="61" spans="1:6" x14ac:dyDescent="0.35">
      <c r="A61">
        <v>6</v>
      </c>
      <c r="B61">
        <v>10</v>
      </c>
      <c r="C61" t="s">
        <v>69</v>
      </c>
      <c r="D61" s="4">
        <v>-75</v>
      </c>
      <c r="E61" s="4">
        <v>20</v>
      </c>
      <c r="F61" s="4">
        <v>75</v>
      </c>
    </row>
    <row r="62" spans="1:6" x14ac:dyDescent="0.35">
      <c r="A62">
        <v>7</v>
      </c>
      <c r="B62">
        <v>1</v>
      </c>
      <c r="C62" t="s">
        <v>60</v>
      </c>
      <c r="D62" s="4">
        <v>90</v>
      </c>
      <c r="E62" s="4">
        <v>98</v>
      </c>
      <c r="F62" s="4">
        <v>110</v>
      </c>
    </row>
    <row r="63" spans="1:6" x14ac:dyDescent="0.35">
      <c r="A63">
        <v>7</v>
      </c>
      <c r="B63">
        <v>2</v>
      </c>
      <c r="C63" t="s">
        <v>62</v>
      </c>
      <c r="D63" s="4">
        <v>2</v>
      </c>
      <c r="E63" s="4">
        <v>5</v>
      </c>
      <c r="F63" s="4">
        <v>20</v>
      </c>
    </row>
    <row r="64" spans="1:6" x14ac:dyDescent="0.35">
      <c r="A64">
        <v>7</v>
      </c>
      <c r="B64">
        <v>3</v>
      </c>
      <c r="C64" t="s">
        <v>63</v>
      </c>
      <c r="D64" s="4">
        <v>4</v>
      </c>
      <c r="E64" s="4">
        <v>10</v>
      </c>
      <c r="F64" s="4">
        <v>40</v>
      </c>
    </row>
    <row r="65" spans="1:6" x14ac:dyDescent="0.35">
      <c r="A65">
        <v>7</v>
      </c>
      <c r="B65">
        <v>4</v>
      </c>
      <c r="C65" t="s">
        <v>64</v>
      </c>
      <c r="D65" s="4">
        <v>110</v>
      </c>
      <c r="E65" s="4">
        <v>140</v>
      </c>
      <c r="F65" s="4">
        <v>200</v>
      </c>
    </row>
    <row r="66" spans="1:6" x14ac:dyDescent="0.35">
      <c r="A66">
        <v>7</v>
      </c>
      <c r="B66">
        <v>5</v>
      </c>
      <c r="C66" t="s">
        <v>65</v>
      </c>
      <c r="D66" s="4">
        <v>100000</v>
      </c>
      <c r="E66" s="4">
        <v>400000</v>
      </c>
      <c r="F66" s="4">
        <v>1000000</v>
      </c>
    </row>
    <row r="67" spans="1:6" x14ac:dyDescent="0.35">
      <c r="A67">
        <v>7</v>
      </c>
      <c r="B67">
        <v>6</v>
      </c>
      <c r="C67" t="s">
        <v>66</v>
      </c>
      <c r="D67" s="4">
        <v>1000</v>
      </c>
      <c r="E67" s="4">
        <v>4000</v>
      </c>
      <c r="F67" s="4">
        <v>100000</v>
      </c>
    </row>
    <row r="68" spans="1:6" x14ac:dyDescent="0.35">
      <c r="A68">
        <v>7</v>
      </c>
      <c r="B68">
        <v>7</v>
      </c>
      <c r="C68" t="s">
        <v>67</v>
      </c>
      <c r="D68" s="4">
        <v>500</v>
      </c>
      <c r="E68" s="4">
        <v>1500</v>
      </c>
      <c r="F68" s="4">
        <v>100000</v>
      </c>
    </row>
    <row r="69" spans="1:6" x14ac:dyDescent="0.35">
      <c r="A69">
        <v>7</v>
      </c>
      <c r="B69">
        <v>8</v>
      </c>
      <c r="C69" t="s">
        <v>68</v>
      </c>
      <c r="D69" s="4">
        <v>1000</v>
      </c>
      <c r="E69" s="4">
        <v>4000</v>
      </c>
      <c r="F69" s="4">
        <v>100000</v>
      </c>
    </row>
    <row r="70" spans="1:6" x14ac:dyDescent="0.35">
      <c r="A70">
        <v>7</v>
      </c>
      <c r="B70">
        <v>9</v>
      </c>
      <c r="C70" t="s">
        <v>235</v>
      </c>
      <c r="D70" s="4">
        <v>1</v>
      </c>
      <c r="E70" s="4">
        <v>5</v>
      </c>
      <c r="F70" s="4">
        <v>20</v>
      </c>
    </row>
    <row r="71" spans="1:6" x14ac:dyDescent="0.35">
      <c r="A71">
        <v>7</v>
      </c>
      <c r="B71">
        <v>10</v>
      </c>
      <c r="C71" t="s">
        <v>69</v>
      </c>
      <c r="D71" s="4">
        <v>0</v>
      </c>
      <c r="E71" s="4">
        <v>50</v>
      </c>
      <c r="F71" s="4">
        <v>250</v>
      </c>
    </row>
    <row r="72" spans="1:6" x14ac:dyDescent="0.35">
      <c r="A72">
        <v>8</v>
      </c>
      <c r="B72">
        <v>1</v>
      </c>
      <c r="C72" t="s">
        <v>60</v>
      </c>
      <c r="D72" s="4">
        <v>95</v>
      </c>
      <c r="E72" s="4">
        <v>100</v>
      </c>
      <c r="F72" s="4">
        <v>105</v>
      </c>
    </row>
    <row r="73" spans="1:6" x14ac:dyDescent="0.35">
      <c r="A73">
        <v>8</v>
      </c>
      <c r="B73">
        <v>2</v>
      </c>
      <c r="C73" t="s">
        <v>62</v>
      </c>
      <c r="D73" s="4">
        <v>1</v>
      </c>
      <c r="E73" s="4">
        <v>5</v>
      </c>
      <c r="F73" s="4">
        <v>10</v>
      </c>
    </row>
    <row r="74" spans="1:6" x14ac:dyDescent="0.35">
      <c r="A74">
        <v>8</v>
      </c>
      <c r="B74">
        <v>3</v>
      </c>
      <c r="C74" t="s">
        <v>63</v>
      </c>
      <c r="D74" s="4">
        <v>5</v>
      </c>
      <c r="E74" s="4">
        <v>10</v>
      </c>
      <c r="F74" s="4">
        <v>20</v>
      </c>
    </row>
    <row r="75" spans="1:6" x14ac:dyDescent="0.35">
      <c r="A75">
        <v>8</v>
      </c>
      <c r="B75">
        <v>4</v>
      </c>
      <c r="C75" t="s">
        <v>64</v>
      </c>
      <c r="D75" s="4">
        <v>100</v>
      </c>
      <c r="E75" s="4">
        <v>110</v>
      </c>
      <c r="F75" s="4">
        <v>130</v>
      </c>
    </row>
    <row r="76" spans="1:6" x14ac:dyDescent="0.35">
      <c r="A76">
        <v>8</v>
      </c>
      <c r="B76">
        <v>5</v>
      </c>
      <c r="C76" t="s">
        <v>65</v>
      </c>
      <c r="D76" s="4">
        <v>100000</v>
      </c>
      <c r="E76" s="4">
        <v>200000</v>
      </c>
      <c r="F76" s="4">
        <v>1000000</v>
      </c>
    </row>
    <row r="77" spans="1:6" x14ac:dyDescent="0.35">
      <c r="A77">
        <v>8</v>
      </c>
      <c r="B77">
        <v>6</v>
      </c>
      <c r="C77" t="s">
        <v>66</v>
      </c>
      <c r="D77" s="4">
        <v>10000</v>
      </c>
      <c r="E77" s="4">
        <v>20000</v>
      </c>
      <c r="F77" s="4">
        <v>60000</v>
      </c>
    </row>
    <row r="78" spans="1:6" x14ac:dyDescent="0.35">
      <c r="A78">
        <v>8</v>
      </c>
      <c r="B78">
        <v>7</v>
      </c>
      <c r="C78" t="s">
        <v>67</v>
      </c>
      <c r="D78" s="4">
        <v>1</v>
      </c>
      <c r="E78" s="4">
        <v>1200</v>
      </c>
      <c r="F78" s="4">
        <v>10000</v>
      </c>
    </row>
    <row r="79" spans="1:6" x14ac:dyDescent="0.35">
      <c r="A79">
        <v>8</v>
      </c>
      <c r="B79">
        <v>8</v>
      </c>
      <c r="C79" t="s">
        <v>68</v>
      </c>
      <c r="D79" s="4">
        <v>80000</v>
      </c>
      <c r="E79" s="4">
        <v>120000</v>
      </c>
      <c r="F79" s="4">
        <v>200000</v>
      </c>
    </row>
    <row r="80" spans="1:6" x14ac:dyDescent="0.35">
      <c r="A80">
        <v>8</v>
      </c>
      <c r="B80">
        <v>9</v>
      </c>
      <c r="C80" t="s">
        <v>235</v>
      </c>
      <c r="D80" s="4">
        <v>10</v>
      </c>
      <c r="E80" s="4">
        <v>20</v>
      </c>
      <c r="F80" s="4">
        <v>35</v>
      </c>
    </row>
    <row r="81" spans="1:6" x14ac:dyDescent="0.35">
      <c r="A81">
        <v>8</v>
      </c>
      <c r="B81">
        <v>10</v>
      </c>
      <c r="C81" t="s">
        <v>69</v>
      </c>
      <c r="D81" s="4">
        <v>10</v>
      </c>
      <c r="E81" s="4">
        <v>25</v>
      </c>
      <c r="F81" s="4">
        <v>40</v>
      </c>
    </row>
    <row r="82" spans="1:6" x14ac:dyDescent="0.35">
      <c r="A82">
        <v>9</v>
      </c>
      <c r="B82">
        <v>1</v>
      </c>
      <c r="C82" t="s">
        <v>60</v>
      </c>
      <c r="D82" s="4">
        <v>0</v>
      </c>
      <c r="E82" s="4">
        <v>10</v>
      </c>
      <c r="F82" s="4">
        <v>30</v>
      </c>
    </row>
    <row r="83" spans="1:6" x14ac:dyDescent="0.35">
      <c r="A83">
        <v>9</v>
      </c>
      <c r="B83">
        <v>2</v>
      </c>
      <c r="C83" t="s">
        <v>62</v>
      </c>
      <c r="D83" s="4">
        <v>1.5</v>
      </c>
      <c r="E83" s="4">
        <v>3.5</v>
      </c>
      <c r="F83" s="4">
        <v>7</v>
      </c>
    </row>
    <row r="84" spans="1:6" x14ac:dyDescent="0.35">
      <c r="A84">
        <v>9</v>
      </c>
      <c r="B84">
        <v>3</v>
      </c>
      <c r="C84" t="s">
        <v>63</v>
      </c>
      <c r="D84" s="4">
        <v>20</v>
      </c>
      <c r="E84" s="4">
        <v>60</v>
      </c>
      <c r="F84" s="4">
        <v>120</v>
      </c>
    </row>
    <row r="85" spans="1:6" x14ac:dyDescent="0.35">
      <c r="A85">
        <v>9</v>
      </c>
      <c r="B85">
        <v>4</v>
      </c>
      <c r="C85" t="s">
        <v>64</v>
      </c>
      <c r="D85" s="4">
        <v>0</v>
      </c>
      <c r="E85" s="4">
        <v>1</v>
      </c>
      <c r="F85" s="4">
        <v>3</v>
      </c>
    </row>
    <row r="86" spans="1:6" x14ac:dyDescent="0.35">
      <c r="A86">
        <v>9</v>
      </c>
      <c r="B86">
        <v>5</v>
      </c>
      <c r="C86" t="s">
        <v>65</v>
      </c>
      <c r="D86" s="4">
        <v>40</v>
      </c>
      <c r="E86" s="4">
        <v>120</v>
      </c>
      <c r="F86" s="4">
        <v>300</v>
      </c>
    </row>
    <row r="87" spans="1:6" x14ac:dyDescent="0.35">
      <c r="A87">
        <v>9</v>
      </c>
      <c r="B87">
        <v>6</v>
      </c>
      <c r="C87" t="s">
        <v>66</v>
      </c>
      <c r="D87" s="4">
        <v>20</v>
      </c>
      <c r="E87" s="4">
        <v>50</v>
      </c>
      <c r="F87" s="4">
        <v>200</v>
      </c>
    </row>
    <row r="88" spans="1:6" x14ac:dyDescent="0.35">
      <c r="A88">
        <v>9</v>
      </c>
      <c r="B88">
        <v>7</v>
      </c>
      <c r="C88" t="s">
        <v>67</v>
      </c>
      <c r="D88" s="4">
        <v>10</v>
      </c>
      <c r="E88" s="4">
        <v>50</v>
      </c>
      <c r="F88" s="4">
        <v>300</v>
      </c>
    </row>
    <row r="89" spans="1:6" x14ac:dyDescent="0.35">
      <c r="A89">
        <v>9</v>
      </c>
      <c r="B89">
        <v>8</v>
      </c>
      <c r="C89" t="s">
        <v>68</v>
      </c>
      <c r="D89" s="4">
        <v>50</v>
      </c>
      <c r="E89" s="4">
        <v>140</v>
      </c>
      <c r="F89" s="4">
        <v>400</v>
      </c>
    </row>
    <row r="90" spans="1:6" x14ac:dyDescent="0.35">
      <c r="A90">
        <v>9</v>
      </c>
      <c r="B90">
        <v>9</v>
      </c>
      <c r="C90" t="s">
        <v>235</v>
      </c>
      <c r="D90" s="4">
        <v>5</v>
      </c>
      <c r="E90" s="4">
        <v>30</v>
      </c>
      <c r="F90" s="4">
        <v>50</v>
      </c>
    </row>
    <row r="91" spans="1:6" x14ac:dyDescent="0.35">
      <c r="A91">
        <v>9</v>
      </c>
      <c r="B91">
        <v>10</v>
      </c>
      <c r="C91" t="s">
        <v>69</v>
      </c>
      <c r="D91" s="4">
        <v>-5</v>
      </c>
      <c r="E91" s="4">
        <v>0</v>
      </c>
      <c r="F91" s="4">
        <v>5</v>
      </c>
    </row>
    <row r="92" spans="1:6" x14ac:dyDescent="0.35">
      <c r="A92">
        <v>10</v>
      </c>
      <c r="B92">
        <v>1</v>
      </c>
      <c r="C92" t="s">
        <v>60</v>
      </c>
      <c r="D92" s="4">
        <v>10</v>
      </c>
      <c r="E92" s="4">
        <v>25</v>
      </c>
      <c r="F92" s="4">
        <v>40</v>
      </c>
    </row>
    <row r="93" spans="1:6" x14ac:dyDescent="0.35">
      <c r="A93">
        <v>10</v>
      </c>
      <c r="B93">
        <v>2</v>
      </c>
      <c r="C93" t="s">
        <v>62</v>
      </c>
      <c r="D93" s="4">
        <v>5</v>
      </c>
      <c r="E93" s="4">
        <v>7</v>
      </c>
      <c r="F93" s="4">
        <v>12</v>
      </c>
    </row>
    <row r="94" spans="1:6" x14ac:dyDescent="0.35">
      <c r="A94">
        <v>10</v>
      </c>
      <c r="B94">
        <v>3</v>
      </c>
      <c r="C94" t="s">
        <v>63</v>
      </c>
      <c r="D94" s="4">
        <v>5.5</v>
      </c>
      <c r="E94" s="4">
        <v>7.5</v>
      </c>
      <c r="F94" s="4">
        <v>9</v>
      </c>
    </row>
    <row r="95" spans="1:6" x14ac:dyDescent="0.35">
      <c r="A95">
        <v>10</v>
      </c>
      <c r="B95">
        <v>4</v>
      </c>
      <c r="C95" t="s">
        <v>64</v>
      </c>
      <c r="D95" s="4">
        <v>105</v>
      </c>
      <c r="E95" s="4">
        <v>110</v>
      </c>
      <c r="F95" s="4">
        <v>115</v>
      </c>
    </row>
    <row r="96" spans="1:6" x14ac:dyDescent="0.35">
      <c r="A96">
        <v>10</v>
      </c>
      <c r="B96">
        <v>5</v>
      </c>
      <c r="C96" t="s">
        <v>65</v>
      </c>
      <c r="D96" s="4">
        <v>30000</v>
      </c>
      <c r="E96" s="4">
        <v>35000</v>
      </c>
      <c r="F96" s="4">
        <v>70000</v>
      </c>
    </row>
    <row r="97" spans="1:6" x14ac:dyDescent="0.35">
      <c r="A97">
        <v>10</v>
      </c>
      <c r="B97">
        <v>6</v>
      </c>
      <c r="C97" t="s">
        <v>66</v>
      </c>
      <c r="D97" s="4">
        <v>5000</v>
      </c>
      <c r="E97" s="4">
        <v>10000</v>
      </c>
      <c r="F97" s="4">
        <v>15000</v>
      </c>
    </row>
    <row r="98" spans="1:6" x14ac:dyDescent="0.35">
      <c r="A98">
        <v>10</v>
      </c>
      <c r="B98">
        <v>7</v>
      </c>
      <c r="C98" t="s">
        <v>67</v>
      </c>
      <c r="D98" s="4">
        <v>0.25</v>
      </c>
      <c r="E98" s="4">
        <v>1500</v>
      </c>
      <c r="F98" s="4">
        <v>4000</v>
      </c>
    </row>
    <row r="99" spans="1:6" x14ac:dyDescent="0.35">
      <c r="A99">
        <v>10</v>
      </c>
      <c r="B99">
        <v>8</v>
      </c>
      <c r="C99" t="s">
        <v>68</v>
      </c>
      <c r="D99" s="4">
        <v>500</v>
      </c>
      <c r="E99" s="4">
        <v>1000</v>
      </c>
      <c r="F99" s="4">
        <v>1500</v>
      </c>
    </row>
    <row r="100" spans="1:6" x14ac:dyDescent="0.35">
      <c r="A100">
        <v>10</v>
      </c>
      <c r="B100">
        <v>9</v>
      </c>
      <c r="C100" t="s">
        <v>235</v>
      </c>
      <c r="D100" s="4">
        <v>5</v>
      </c>
      <c r="E100" s="4">
        <v>12</v>
      </c>
      <c r="F100" s="4">
        <v>15</v>
      </c>
    </row>
    <row r="101" spans="1:6" x14ac:dyDescent="0.35">
      <c r="A101">
        <v>10</v>
      </c>
      <c r="B101">
        <v>10</v>
      </c>
      <c r="C101" t="s">
        <v>69</v>
      </c>
      <c r="D101" s="4">
        <v>-2.5</v>
      </c>
      <c r="E101" s="4">
        <v>2.5</v>
      </c>
      <c r="F101" s="4">
        <v>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6"/>
  <dimension ref="A1:I493"/>
  <sheetViews>
    <sheetView workbookViewId="0">
      <selection sqref="A1:XFD1048576"/>
    </sheetView>
  </sheetViews>
  <sheetFormatPr defaultRowHeight="14.5" x14ac:dyDescent="0.35"/>
  <sheetData>
    <row r="1" spans="1:9" x14ac:dyDescent="0.35">
      <c r="A1" t="s">
        <v>695</v>
      </c>
    </row>
    <row r="2" spans="1:9" x14ac:dyDescent="0.35">
      <c r="A2">
        <v>1</v>
      </c>
      <c r="B2">
        <v>1</v>
      </c>
      <c r="C2" t="s">
        <v>236</v>
      </c>
      <c r="D2" s="4">
        <v>28000</v>
      </c>
      <c r="E2" s="4">
        <v>30000</v>
      </c>
      <c r="F2" s="4">
        <v>60000</v>
      </c>
      <c r="H2" s="4">
        <v>28616</v>
      </c>
      <c r="I2" t="s">
        <v>740</v>
      </c>
    </row>
    <row r="3" spans="1:9" x14ac:dyDescent="0.35">
      <c r="A3">
        <v>1</v>
      </c>
      <c r="B3">
        <v>2</v>
      </c>
      <c r="C3" t="s">
        <v>237</v>
      </c>
      <c r="D3" s="4">
        <v>11000</v>
      </c>
      <c r="E3" s="4">
        <v>15500</v>
      </c>
      <c r="F3" s="4">
        <v>20000</v>
      </c>
      <c r="H3" s="4">
        <v>11310</v>
      </c>
      <c r="I3" t="s">
        <v>419</v>
      </c>
    </row>
    <row r="4" spans="1:9" x14ac:dyDescent="0.35">
      <c r="A4">
        <v>1</v>
      </c>
      <c r="B4">
        <v>3</v>
      </c>
      <c r="C4" t="s">
        <v>238</v>
      </c>
      <c r="D4" s="4">
        <v>10000</v>
      </c>
      <c r="E4" s="4">
        <v>14500</v>
      </c>
      <c r="F4" s="4">
        <v>17000</v>
      </c>
      <c r="H4" s="4">
        <v>10000</v>
      </c>
      <c r="I4" t="s">
        <v>419</v>
      </c>
    </row>
    <row r="5" spans="1:9" x14ac:dyDescent="0.35">
      <c r="A5">
        <v>1</v>
      </c>
      <c r="B5">
        <v>4</v>
      </c>
      <c r="C5" t="s">
        <v>239</v>
      </c>
      <c r="D5" s="4">
        <v>1200</v>
      </c>
      <c r="E5" s="4">
        <v>3512</v>
      </c>
      <c r="F5" s="4">
        <v>7651</v>
      </c>
      <c r="H5" s="4">
        <v>11840</v>
      </c>
      <c r="I5" t="s">
        <v>419</v>
      </c>
    </row>
    <row r="6" spans="1:9" x14ac:dyDescent="0.35">
      <c r="A6">
        <v>1</v>
      </c>
      <c r="B6">
        <v>5</v>
      </c>
      <c r="C6" t="s">
        <v>240</v>
      </c>
      <c r="D6" s="4">
        <v>3.4000000000000002E-2</v>
      </c>
      <c r="E6" s="4">
        <v>5.6000000000000001E-2</v>
      </c>
      <c r="F6" s="4">
        <v>9.5000000000000001E-2</v>
      </c>
      <c r="H6" s="4">
        <v>0.16</v>
      </c>
      <c r="I6" t="s">
        <v>740</v>
      </c>
    </row>
    <row r="7" spans="1:9" x14ac:dyDescent="0.35">
      <c r="A7">
        <v>1</v>
      </c>
      <c r="B7">
        <v>6</v>
      </c>
      <c r="C7" t="s">
        <v>241</v>
      </c>
      <c r="D7" s="4">
        <v>31</v>
      </c>
      <c r="E7" s="4">
        <v>43</v>
      </c>
      <c r="F7" s="4">
        <v>55</v>
      </c>
      <c r="H7" s="4">
        <v>17</v>
      </c>
      <c r="I7" t="s">
        <v>740</v>
      </c>
    </row>
    <row r="8" spans="1:9" x14ac:dyDescent="0.35">
      <c r="A8">
        <v>1</v>
      </c>
      <c r="B8">
        <v>7</v>
      </c>
      <c r="C8" t="s">
        <v>242</v>
      </c>
      <c r="D8" s="4">
        <v>12</v>
      </c>
      <c r="E8" s="4">
        <v>70</v>
      </c>
      <c r="F8" s="4">
        <v>239</v>
      </c>
      <c r="H8" s="4">
        <v>70.7</v>
      </c>
      <c r="I8" t="s">
        <v>419</v>
      </c>
    </row>
    <row r="9" spans="1:9" x14ac:dyDescent="0.35">
      <c r="A9">
        <v>1</v>
      </c>
      <c r="B9">
        <v>8</v>
      </c>
      <c r="C9" t="s">
        <v>243</v>
      </c>
      <c r="D9" s="4">
        <v>1.1000000000000001</v>
      </c>
      <c r="E9" s="4">
        <v>1.3</v>
      </c>
      <c r="F9" s="4">
        <v>1.6</v>
      </c>
      <c r="H9" s="4">
        <v>12</v>
      </c>
      <c r="I9" t="s">
        <v>740</v>
      </c>
    </row>
    <row r="10" spans="1:9" x14ac:dyDescent="0.35">
      <c r="A10">
        <v>1</v>
      </c>
      <c r="B10">
        <v>9</v>
      </c>
      <c r="C10" t="s">
        <v>244</v>
      </c>
      <c r="D10" s="4">
        <v>5346</v>
      </c>
      <c r="E10" s="4">
        <v>5500</v>
      </c>
      <c r="F10" s="4">
        <v>6000</v>
      </c>
      <c r="H10" s="4">
        <v>3.5</v>
      </c>
      <c r="I10" t="s">
        <v>419</v>
      </c>
    </row>
    <row r="11" spans="1:9" x14ac:dyDescent="0.35">
      <c r="A11">
        <v>1</v>
      </c>
      <c r="B11">
        <v>10</v>
      </c>
      <c r="C11" t="s">
        <v>245</v>
      </c>
      <c r="D11" s="4">
        <v>0.3</v>
      </c>
      <c r="E11" s="4">
        <v>0.34</v>
      </c>
      <c r="F11" s="4">
        <v>0.4</v>
      </c>
      <c r="H11" s="4">
        <v>0.28899999999999998</v>
      </c>
      <c r="I11" t="s">
        <v>740</v>
      </c>
    </row>
    <row r="12" spans="1:9" x14ac:dyDescent="0.35">
      <c r="A12">
        <v>1</v>
      </c>
      <c r="B12">
        <v>11</v>
      </c>
      <c r="C12" t="s">
        <v>741</v>
      </c>
      <c r="D12" s="4">
        <v>0.03</v>
      </c>
      <c r="E12" s="4">
        <v>0.19</v>
      </c>
      <c r="F12" s="4">
        <v>0.42</v>
      </c>
    </row>
    <row r="13" spans="1:9" x14ac:dyDescent="0.35">
      <c r="A13">
        <v>1</v>
      </c>
      <c r="B13">
        <v>12</v>
      </c>
      <c r="C13" t="s">
        <v>742</v>
      </c>
      <c r="D13" s="4">
        <v>0.05</v>
      </c>
      <c r="E13" s="4">
        <v>0.2</v>
      </c>
      <c r="F13" s="4">
        <v>0.52</v>
      </c>
    </row>
    <row r="14" spans="1:9" x14ac:dyDescent="0.35">
      <c r="A14">
        <v>1</v>
      </c>
      <c r="B14">
        <v>13</v>
      </c>
      <c r="C14" t="s">
        <v>743</v>
      </c>
      <c r="D14" s="4">
        <v>0.01</v>
      </c>
      <c r="E14" s="4">
        <v>0.11</v>
      </c>
      <c r="F14" s="4">
        <v>0.28999999999999998</v>
      </c>
    </row>
    <row r="15" spans="1:9" x14ac:dyDescent="0.35">
      <c r="A15">
        <v>1</v>
      </c>
      <c r="B15">
        <v>14</v>
      </c>
      <c r="C15" t="s">
        <v>744</v>
      </c>
      <c r="D15" s="4">
        <v>0.04</v>
      </c>
      <c r="E15" s="4">
        <v>0.21</v>
      </c>
      <c r="F15" s="4">
        <v>0.5</v>
      </c>
    </row>
    <row r="16" spans="1:9" x14ac:dyDescent="0.35">
      <c r="A16">
        <v>1</v>
      </c>
      <c r="B16">
        <v>15</v>
      </c>
      <c r="C16" t="s">
        <v>745</v>
      </c>
      <c r="D16" s="4">
        <v>0.01</v>
      </c>
      <c r="E16" s="4">
        <v>0.05</v>
      </c>
      <c r="F16" s="4">
        <v>0.13</v>
      </c>
    </row>
    <row r="17" spans="1:6" x14ac:dyDescent="0.35">
      <c r="A17">
        <v>1</v>
      </c>
      <c r="B17">
        <v>16</v>
      </c>
      <c r="C17" t="s">
        <v>746</v>
      </c>
      <c r="D17" s="4">
        <v>0.01</v>
      </c>
      <c r="E17" s="4">
        <v>0.06</v>
      </c>
      <c r="F17" s="4">
        <v>0.16</v>
      </c>
    </row>
    <row r="18" spans="1:6" x14ac:dyDescent="0.35">
      <c r="A18">
        <v>1</v>
      </c>
      <c r="B18">
        <v>17</v>
      </c>
      <c r="C18" t="s">
        <v>747</v>
      </c>
      <c r="D18" s="4">
        <v>0.01</v>
      </c>
      <c r="E18" s="4">
        <v>0.04</v>
      </c>
      <c r="F18" s="4">
        <v>0.11</v>
      </c>
    </row>
    <row r="19" spans="1:6" x14ac:dyDescent="0.35">
      <c r="A19">
        <v>1</v>
      </c>
      <c r="B19">
        <v>18</v>
      </c>
      <c r="C19" t="s">
        <v>748</v>
      </c>
      <c r="D19" s="4">
        <v>0.02</v>
      </c>
      <c r="E19" s="4">
        <v>7.0000000000000007E-2</v>
      </c>
      <c r="F19" s="4">
        <v>0.21</v>
      </c>
    </row>
    <row r="20" spans="1:6" x14ac:dyDescent="0.35">
      <c r="A20">
        <v>1</v>
      </c>
      <c r="B20">
        <v>19</v>
      </c>
      <c r="C20" t="s">
        <v>749</v>
      </c>
      <c r="D20" s="4">
        <v>0.02</v>
      </c>
      <c r="E20" s="4">
        <v>0.06</v>
      </c>
      <c r="F20" s="4">
        <v>0.28999999999999998</v>
      </c>
    </row>
    <row r="21" spans="1:6" x14ac:dyDescent="0.35">
      <c r="A21">
        <v>1</v>
      </c>
      <c r="B21">
        <v>20</v>
      </c>
      <c r="C21" t="s">
        <v>750</v>
      </c>
      <c r="D21" s="4">
        <v>0.01</v>
      </c>
      <c r="E21" s="4">
        <v>0.17</v>
      </c>
      <c r="F21" s="4">
        <v>0.27</v>
      </c>
    </row>
    <row r="22" spans="1:6" x14ac:dyDescent="0.35">
      <c r="A22">
        <v>1</v>
      </c>
      <c r="B22">
        <v>21</v>
      </c>
      <c r="C22" t="s">
        <v>751</v>
      </c>
      <c r="D22" s="4">
        <v>9.9999999999999995E-8</v>
      </c>
      <c r="E22" s="4">
        <v>0.1</v>
      </c>
      <c r="F22" s="4">
        <v>0.21</v>
      </c>
    </row>
    <row r="23" spans="1:6" x14ac:dyDescent="0.35">
      <c r="A23">
        <v>1</v>
      </c>
      <c r="B23">
        <v>22</v>
      </c>
      <c r="C23" t="s">
        <v>752</v>
      </c>
      <c r="D23" s="4">
        <v>0.01</v>
      </c>
      <c r="E23" s="4">
        <v>0.18</v>
      </c>
      <c r="F23" s="4">
        <v>0.28999999999999998</v>
      </c>
    </row>
    <row r="24" spans="1:6" x14ac:dyDescent="0.35">
      <c r="A24">
        <v>1</v>
      </c>
      <c r="B24">
        <v>23</v>
      </c>
      <c r="C24" t="s">
        <v>753</v>
      </c>
      <c r="D24" s="4">
        <v>0.01</v>
      </c>
      <c r="E24" s="4">
        <v>0.19</v>
      </c>
      <c r="F24" s="4">
        <v>0.32</v>
      </c>
    </row>
    <row r="25" spans="1:6" x14ac:dyDescent="0.35">
      <c r="A25">
        <v>1</v>
      </c>
      <c r="B25">
        <v>24</v>
      </c>
      <c r="C25" t="s">
        <v>754</v>
      </c>
      <c r="D25" s="4">
        <v>0.01</v>
      </c>
      <c r="E25" s="4">
        <v>0.2</v>
      </c>
      <c r="F25" s="4">
        <v>0.35</v>
      </c>
    </row>
    <row r="26" spans="1:6" x14ac:dyDescent="0.35">
      <c r="A26">
        <v>1</v>
      </c>
      <c r="B26">
        <v>25</v>
      </c>
      <c r="C26" t="s">
        <v>755</v>
      </c>
      <c r="D26" s="4">
        <v>0.01</v>
      </c>
      <c r="E26" s="4">
        <v>0.14000000000000001</v>
      </c>
      <c r="F26" s="4">
        <v>0.25</v>
      </c>
    </row>
    <row r="27" spans="1:6" x14ac:dyDescent="0.35">
      <c r="A27">
        <v>1</v>
      </c>
      <c r="B27">
        <v>26</v>
      </c>
      <c r="C27" t="s">
        <v>756</v>
      </c>
      <c r="D27" s="4">
        <v>0.03</v>
      </c>
      <c r="E27" s="4">
        <v>0.75</v>
      </c>
      <c r="F27" s="4">
        <v>0.85</v>
      </c>
    </row>
    <row r="28" spans="1:6" x14ac:dyDescent="0.35">
      <c r="A28">
        <v>1</v>
      </c>
      <c r="B28">
        <v>27</v>
      </c>
      <c r="C28" t="s">
        <v>757</v>
      </c>
      <c r="D28" s="4">
        <v>0.01</v>
      </c>
      <c r="E28" s="4">
        <v>0.23</v>
      </c>
      <c r="F28" s="4">
        <v>0.35</v>
      </c>
    </row>
    <row r="29" spans="1:6" x14ac:dyDescent="0.35">
      <c r="A29">
        <v>1</v>
      </c>
      <c r="B29">
        <v>28</v>
      </c>
      <c r="C29" t="s">
        <v>758</v>
      </c>
      <c r="D29" s="4">
        <v>0.05</v>
      </c>
      <c r="E29" s="4">
        <v>0.15</v>
      </c>
      <c r="F29" s="4">
        <v>0.25</v>
      </c>
    </row>
    <row r="30" spans="1:6" x14ac:dyDescent="0.35">
      <c r="A30">
        <v>1</v>
      </c>
      <c r="B30">
        <v>29</v>
      </c>
      <c r="C30" t="s">
        <v>759</v>
      </c>
      <c r="D30" s="4">
        <v>0.05</v>
      </c>
      <c r="E30" s="4">
        <v>0.15</v>
      </c>
      <c r="F30" s="4">
        <v>0.25</v>
      </c>
    </row>
    <row r="31" spans="1:6" x14ac:dyDescent="0.35">
      <c r="A31">
        <v>1</v>
      </c>
      <c r="B31">
        <v>30</v>
      </c>
      <c r="C31" t="s">
        <v>760</v>
      </c>
      <c r="D31" s="4">
        <v>0.05</v>
      </c>
      <c r="E31" s="4">
        <v>0.15</v>
      </c>
      <c r="F31" s="4">
        <v>0.25</v>
      </c>
    </row>
    <row r="32" spans="1:6" x14ac:dyDescent="0.35">
      <c r="A32">
        <v>1</v>
      </c>
      <c r="B32">
        <v>31</v>
      </c>
      <c r="C32" t="s">
        <v>761</v>
      </c>
      <c r="D32" s="4">
        <v>0.05</v>
      </c>
      <c r="E32" s="4">
        <v>0.15</v>
      </c>
      <c r="F32" s="4">
        <v>0.25</v>
      </c>
    </row>
    <row r="33" spans="1:6" x14ac:dyDescent="0.35">
      <c r="A33">
        <v>1</v>
      </c>
      <c r="B33">
        <v>32</v>
      </c>
      <c r="C33" t="s">
        <v>762</v>
      </c>
      <c r="D33" s="4">
        <v>0.06</v>
      </c>
      <c r="E33" s="4">
        <v>0.17</v>
      </c>
      <c r="F33" s="4">
        <v>0.27</v>
      </c>
    </row>
    <row r="34" spans="1:6" x14ac:dyDescent="0.35">
      <c r="A34">
        <v>1</v>
      </c>
      <c r="B34">
        <v>33</v>
      </c>
      <c r="C34" t="s">
        <v>763</v>
      </c>
      <c r="D34" s="4">
        <v>0.06</v>
      </c>
      <c r="E34" s="4">
        <v>0.21</v>
      </c>
      <c r="F34" s="4">
        <v>0.31</v>
      </c>
    </row>
    <row r="35" spans="1:6" x14ac:dyDescent="0.35">
      <c r="A35">
        <v>1</v>
      </c>
      <c r="B35">
        <v>34</v>
      </c>
      <c r="C35" t="s">
        <v>764</v>
      </c>
      <c r="D35" s="4">
        <v>0.04</v>
      </c>
      <c r="E35" s="4">
        <v>0.72</v>
      </c>
      <c r="F35" s="4">
        <v>0.9</v>
      </c>
    </row>
    <row r="36" spans="1:6" x14ac:dyDescent="0.35">
      <c r="A36">
        <v>1</v>
      </c>
      <c r="B36">
        <v>35</v>
      </c>
      <c r="C36" t="s">
        <v>765</v>
      </c>
      <c r="D36" s="4">
        <v>0.01</v>
      </c>
      <c r="E36" s="4">
        <v>0.26</v>
      </c>
      <c r="F36" s="4">
        <v>0.28000000000000003</v>
      </c>
    </row>
    <row r="37" spans="1:6" x14ac:dyDescent="0.35">
      <c r="A37">
        <v>1</v>
      </c>
      <c r="B37">
        <v>36</v>
      </c>
      <c r="C37" t="s">
        <v>766</v>
      </c>
      <c r="D37" s="4">
        <v>0.03</v>
      </c>
      <c r="E37" s="4">
        <v>0.35</v>
      </c>
      <c r="F37" s="4">
        <v>0.55000000000000004</v>
      </c>
    </row>
    <row r="38" spans="1:6" x14ac:dyDescent="0.35">
      <c r="A38">
        <v>1</v>
      </c>
      <c r="B38">
        <v>37</v>
      </c>
      <c r="C38" t="s">
        <v>767</v>
      </c>
      <c r="D38" s="4">
        <v>0.01</v>
      </c>
      <c r="E38" s="4">
        <v>0.05</v>
      </c>
      <c r="F38" s="4">
        <v>0.1</v>
      </c>
    </row>
    <row r="39" spans="1:6" x14ac:dyDescent="0.35">
      <c r="A39">
        <v>1</v>
      </c>
      <c r="B39">
        <v>38</v>
      </c>
      <c r="C39" t="s">
        <v>768</v>
      </c>
      <c r="D39" s="4">
        <v>0.05</v>
      </c>
      <c r="E39" s="4">
        <v>0.56999999999999995</v>
      </c>
      <c r="F39" s="4">
        <v>0.73</v>
      </c>
    </row>
    <row r="40" spans="1:6" x14ac:dyDescent="0.35">
      <c r="A40">
        <v>1</v>
      </c>
      <c r="B40">
        <v>39</v>
      </c>
      <c r="C40" t="s">
        <v>769</v>
      </c>
      <c r="D40" s="4">
        <v>0.04</v>
      </c>
      <c r="E40" s="4">
        <v>0.35</v>
      </c>
      <c r="F40" s="4">
        <v>0.4</v>
      </c>
    </row>
    <row r="41" spans="1:6" x14ac:dyDescent="0.35">
      <c r="A41">
        <v>1</v>
      </c>
      <c r="B41">
        <v>40</v>
      </c>
      <c r="C41" t="s">
        <v>770</v>
      </c>
      <c r="D41" s="4">
        <v>0.01</v>
      </c>
      <c r="E41" s="4">
        <v>0.14000000000000001</v>
      </c>
      <c r="F41" s="4">
        <v>0.28999999999999998</v>
      </c>
    </row>
    <row r="42" spans="1:6" x14ac:dyDescent="0.35">
      <c r="A42">
        <v>1</v>
      </c>
      <c r="B42">
        <v>41</v>
      </c>
      <c r="C42" t="s">
        <v>771</v>
      </c>
      <c r="D42" s="4">
        <v>0.05</v>
      </c>
      <c r="E42" s="4">
        <v>0.49</v>
      </c>
      <c r="F42" s="4">
        <v>0.77</v>
      </c>
    </row>
    <row r="43" spans="1:6" x14ac:dyDescent="0.35">
      <c r="A43">
        <v>2</v>
      </c>
      <c r="B43">
        <v>1</v>
      </c>
      <c r="C43" t="s">
        <v>236</v>
      </c>
      <c r="D43" s="4">
        <v>20000</v>
      </c>
      <c r="E43" s="4">
        <v>24000</v>
      </c>
      <c r="F43" s="4">
        <v>30000</v>
      </c>
    </row>
    <row r="44" spans="1:6" x14ac:dyDescent="0.35">
      <c r="A44">
        <v>2</v>
      </c>
      <c r="B44">
        <v>2</v>
      </c>
      <c r="C44" t="s">
        <v>237</v>
      </c>
      <c r="D44" s="4">
        <v>10000</v>
      </c>
      <c r="E44" s="4">
        <v>12000</v>
      </c>
      <c r="F44" s="4">
        <v>15000</v>
      </c>
    </row>
    <row r="45" spans="1:6" x14ac:dyDescent="0.35">
      <c r="A45">
        <v>2</v>
      </c>
      <c r="B45">
        <v>3</v>
      </c>
      <c r="C45" t="s">
        <v>238</v>
      </c>
      <c r="D45" s="4">
        <v>24000</v>
      </c>
      <c r="E45" s="4">
        <v>30000</v>
      </c>
      <c r="F45" s="4">
        <v>40000</v>
      </c>
    </row>
    <row r="46" spans="1:6" x14ac:dyDescent="0.35">
      <c r="A46">
        <v>2</v>
      </c>
      <c r="B46">
        <v>4</v>
      </c>
      <c r="C46" t="s">
        <v>239</v>
      </c>
      <c r="D46" s="4">
        <v>70</v>
      </c>
      <c r="E46" s="4">
        <v>100</v>
      </c>
      <c r="F46" s="4">
        <v>150</v>
      </c>
    </row>
    <row r="47" spans="1:6" x14ac:dyDescent="0.35">
      <c r="A47">
        <v>2</v>
      </c>
      <c r="B47">
        <v>5</v>
      </c>
      <c r="C47" t="s">
        <v>240</v>
      </c>
      <c r="D47" s="4">
        <v>5.0000000000000001E-3</v>
      </c>
      <c r="E47" s="4">
        <v>0.01</v>
      </c>
      <c r="F47" s="4">
        <v>0.05</v>
      </c>
    </row>
    <row r="48" spans="1:6" x14ac:dyDescent="0.35">
      <c r="A48">
        <v>2</v>
      </c>
      <c r="B48">
        <v>6</v>
      </c>
      <c r="C48" t="s">
        <v>241</v>
      </c>
      <c r="D48" s="4">
        <v>200</v>
      </c>
      <c r="E48" s="4">
        <v>500</v>
      </c>
      <c r="F48" s="4">
        <v>2000</v>
      </c>
    </row>
    <row r="49" spans="1:6" x14ac:dyDescent="0.35">
      <c r="A49">
        <v>2</v>
      </c>
      <c r="B49">
        <v>7</v>
      </c>
      <c r="C49" t="s">
        <v>242</v>
      </c>
      <c r="D49" s="4">
        <v>200</v>
      </c>
      <c r="E49" s="4">
        <v>1000</v>
      </c>
      <c r="F49" s="4">
        <v>10000</v>
      </c>
    </row>
    <row r="50" spans="1:6" x14ac:dyDescent="0.35">
      <c r="A50">
        <v>2</v>
      </c>
      <c r="B50">
        <v>8</v>
      </c>
      <c r="C50" t="s">
        <v>243</v>
      </c>
      <c r="D50" s="4">
        <v>15</v>
      </c>
      <c r="E50" s="4">
        <v>20</v>
      </c>
      <c r="F50" s="4">
        <v>30</v>
      </c>
    </row>
    <row r="51" spans="1:6" x14ac:dyDescent="0.35">
      <c r="A51">
        <v>2</v>
      </c>
      <c r="B51">
        <v>9</v>
      </c>
      <c r="C51" t="s">
        <v>244</v>
      </c>
      <c r="D51" s="4">
        <v>2</v>
      </c>
      <c r="E51" s="4">
        <v>3</v>
      </c>
      <c r="F51" s="4">
        <v>3.5</v>
      </c>
    </row>
    <row r="52" spans="1:6" x14ac:dyDescent="0.35">
      <c r="A52">
        <v>2</v>
      </c>
      <c r="B52">
        <v>10</v>
      </c>
      <c r="C52" t="s">
        <v>245</v>
      </c>
      <c r="D52" s="4">
        <v>0.25</v>
      </c>
      <c r="E52" s="4">
        <v>0.3</v>
      </c>
      <c r="F52" s="4">
        <v>0.35</v>
      </c>
    </row>
    <row r="53" spans="1:6" x14ac:dyDescent="0.35">
      <c r="A53">
        <v>2</v>
      </c>
      <c r="B53">
        <v>11</v>
      </c>
      <c r="C53" t="s">
        <v>741</v>
      </c>
      <c r="D53" s="4">
        <v>1E-8</v>
      </c>
      <c r="E53" s="4">
        <v>9.9999999999999995E-8</v>
      </c>
      <c r="F53" s="4">
        <v>9.9999999999999995E-7</v>
      </c>
    </row>
    <row r="54" spans="1:6" x14ac:dyDescent="0.35">
      <c r="A54">
        <v>2</v>
      </c>
      <c r="B54">
        <v>12</v>
      </c>
      <c r="C54" t="s">
        <v>742</v>
      </c>
      <c r="D54" s="4">
        <v>1E-8</v>
      </c>
      <c r="E54" s="4">
        <v>9.9999999999999995E-8</v>
      </c>
      <c r="F54" s="4">
        <v>9.9999999999999995E-7</v>
      </c>
    </row>
    <row r="55" spans="1:6" x14ac:dyDescent="0.35">
      <c r="A55">
        <v>2</v>
      </c>
      <c r="B55">
        <v>13</v>
      </c>
      <c r="C55" t="s">
        <v>743</v>
      </c>
      <c r="D55" s="4">
        <v>0.2</v>
      </c>
      <c r="E55" s="4">
        <v>0.4</v>
      </c>
      <c r="F55" s="4">
        <v>0.6</v>
      </c>
    </row>
    <row r="56" spans="1:6" x14ac:dyDescent="0.35">
      <c r="A56">
        <v>2</v>
      </c>
      <c r="B56">
        <v>14</v>
      </c>
      <c r="C56" t="s">
        <v>744</v>
      </c>
      <c r="D56" s="4">
        <v>0.02</v>
      </c>
      <c r="E56" s="4">
        <v>0.2</v>
      </c>
      <c r="F56" s="4">
        <v>0.3</v>
      </c>
    </row>
    <row r="57" spans="1:6" x14ac:dyDescent="0.35">
      <c r="A57">
        <v>2</v>
      </c>
      <c r="B57">
        <v>15</v>
      </c>
      <c r="C57" t="s">
        <v>745</v>
      </c>
      <c r="D57" s="4">
        <v>0.15</v>
      </c>
      <c r="E57" s="4">
        <v>0.3</v>
      </c>
      <c r="F57" s="4">
        <v>0.45</v>
      </c>
    </row>
    <row r="58" spans="1:6" x14ac:dyDescent="0.35">
      <c r="A58">
        <v>2</v>
      </c>
      <c r="B58">
        <v>16</v>
      </c>
      <c r="C58" t="s">
        <v>746</v>
      </c>
      <c r="D58" s="4">
        <v>1E-8</v>
      </c>
      <c r="E58" s="4">
        <v>9.9999999999999995E-8</v>
      </c>
      <c r="F58" s="4">
        <v>9.9999999999999995E-7</v>
      </c>
    </row>
    <row r="59" spans="1:6" x14ac:dyDescent="0.35">
      <c r="A59">
        <v>2</v>
      </c>
      <c r="B59">
        <v>17</v>
      </c>
      <c r="C59" t="s">
        <v>747</v>
      </c>
      <c r="D59" s="4">
        <v>1E-8</v>
      </c>
      <c r="E59" s="4">
        <v>9.9999999999999995E-8</v>
      </c>
      <c r="F59" s="4">
        <v>9.9999999999999995E-7</v>
      </c>
    </row>
    <row r="60" spans="1:6" x14ac:dyDescent="0.35">
      <c r="A60">
        <v>2</v>
      </c>
      <c r="B60">
        <v>18</v>
      </c>
      <c r="C60" t="s">
        <v>748</v>
      </c>
      <c r="D60" s="4">
        <v>1E-8</v>
      </c>
      <c r="E60" s="4">
        <v>9.9999999999999995E-8</v>
      </c>
      <c r="F60" s="4">
        <v>9.9999999999999995E-7</v>
      </c>
    </row>
    <row r="61" spans="1:6" x14ac:dyDescent="0.35">
      <c r="A61">
        <v>2</v>
      </c>
      <c r="B61">
        <v>19</v>
      </c>
      <c r="C61" t="s">
        <v>749</v>
      </c>
      <c r="D61" s="4">
        <v>0.01</v>
      </c>
      <c r="E61" s="4">
        <v>0.1</v>
      </c>
      <c r="F61" s="4">
        <v>0.2</v>
      </c>
    </row>
    <row r="62" spans="1:6" x14ac:dyDescent="0.35">
      <c r="A62">
        <v>2</v>
      </c>
      <c r="B62">
        <v>20</v>
      </c>
      <c r="C62" t="s">
        <v>750</v>
      </c>
      <c r="D62" s="4">
        <v>0.05</v>
      </c>
      <c r="E62" s="4">
        <v>0.2</v>
      </c>
      <c r="F62" s="4">
        <v>0.4</v>
      </c>
    </row>
    <row r="63" spans="1:6" x14ac:dyDescent="0.35">
      <c r="A63">
        <v>2</v>
      </c>
      <c r="B63">
        <v>21</v>
      </c>
      <c r="C63" t="s">
        <v>751</v>
      </c>
      <c r="D63" s="4">
        <v>0.05</v>
      </c>
      <c r="E63" s="4">
        <v>0.1</v>
      </c>
      <c r="F63" s="4">
        <v>0.2</v>
      </c>
    </row>
    <row r="64" spans="1:6" x14ac:dyDescent="0.35">
      <c r="A64">
        <v>2</v>
      </c>
      <c r="B64">
        <v>22</v>
      </c>
      <c r="C64" t="s">
        <v>752</v>
      </c>
      <c r="D64" s="4">
        <v>0.1</v>
      </c>
      <c r="E64" s="4">
        <v>0.3</v>
      </c>
      <c r="F64" s="4">
        <v>0.6</v>
      </c>
    </row>
    <row r="65" spans="1:6" x14ac:dyDescent="0.35">
      <c r="A65">
        <v>2</v>
      </c>
      <c r="B65">
        <v>23</v>
      </c>
      <c r="C65" t="s">
        <v>753</v>
      </c>
      <c r="D65" s="4">
        <v>0.05</v>
      </c>
      <c r="E65" s="4">
        <v>0.1</v>
      </c>
      <c r="F65" s="4">
        <v>0.2</v>
      </c>
    </row>
    <row r="66" spans="1:6" x14ac:dyDescent="0.35">
      <c r="A66">
        <v>2</v>
      </c>
      <c r="B66">
        <v>24</v>
      </c>
      <c r="C66" t="s">
        <v>754</v>
      </c>
      <c r="D66" s="4">
        <v>0.1</v>
      </c>
      <c r="E66" s="4">
        <v>0.3</v>
      </c>
      <c r="F66" s="4">
        <v>0.5</v>
      </c>
    </row>
    <row r="67" spans="1:6" x14ac:dyDescent="0.35">
      <c r="A67">
        <v>2</v>
      </c>
      <c r="B67">
        <v>25</v>
      </c>
      <c r="C67" t="s">
        <v>755</v>
      </c>
      <c r="D67" s="4">
        <v>1E-8</v>
      </c>
      <c r="E67" s="4">
        <v>9.9999999999999995E-8</v>
      </c>
      <c r="F67" s="4">
        <v>9.9999999999999995E-7</v>
      </c>
    </row>
    <row r="68" spans="1:6" x14ac:dyDescent="0.35">
      <c r="A68">
        <v>2</v>
      </c>
      <c r="B68">
        <v>26</v>
      </c>
      <c r="C68" t="s">
        <v>756</v>
      </c>
      <c r="D68" s="4">
        <v>0.5</v>
      </c>
      <c r="E68" s="4">
        <v>0.7</v>
      </c>
      <c r="F68" s="4">
        <v>0.9</v>
      </c>
    </row>
    <row r="69" spans="1:6" x14ac:dyDescent="0.35">
      <c r="A69">
        <v>2</v>
      </c>
      <c r="B69">
        <v>27</v>
      </c>
      <c r="C69" t="s">
        <v>757</v>
      </c>
      <c r="D69" s="4">
        <v>0.2</v>
      </c>
      <c r="E69" s="4">
        <v>0.3</v>
      </c>
      <c r="F69" s="4">
        <v>0.4</v>
      </c>
    </row>
    <row r="70" spans="1:6" x14ac:dyDescent="0.35">
      <c r="A70">
        <v>2</v>
      </c>
      <c r="B70">
        <v>28</v>
      </c>
      <c r="C70" t="s">
        <v>758</v>
      </c>
      <c r="D70" s="4">
        <v>0.05</v>
      </c>
      <c r="E70" s="4">
        <v>0.3</v>
      </c>
      <c r="F70" s="4">
        <v>0.4</v>
      </c>
    </row>
    <row r="71" spans="1:6" x14ac:dyDescent="0.35">
      <c r="A71">
        <v>2</v>
      </c>
      <c r="B71">
        <v>29</v>
      </c>
      <c r="C71" t="s">
        <v>759</v>
      </c>
      <c r="D71" s="4">
        <v>0.05</v>
      </c>
      <c r="E71" s="4">
        <v>0.1</v>
      </c>
      <c r="F71" s="4">
        <v>0.2</v>
      </c>
    </row>
    <row r="72" spans="1:6" x14ac:dyDescent="0.35">
      <c r="A72">
        <v>2</v>
      </c>
      <c r="B72">
        <v>30</v>
      </c>
      <c r="C72" t="s">
        <v>760</v>
      </c>
      <c r="D72" s="4">
        <v>0.1</v>
      </c>
      <c r="E72" s="4">
        <v>0.2</v>
      </c>
      <c r="F72" s="4">
        <v>0.6</v>
      </c>
    </row>
    <row r="73" spans="1:6" x14ac:dyDescent="0.35">
      <c r="A73">
        <v>2</v>
      </c>
      <c r="B73">
        <v>31</v>
      </c>
      <c r="C73" t="s">
        <v>761</v>
      </c>
      <c r="D73" s="4">
        <v>0.05</v>
      </c>
      <c r="E73" s="4">
        <v>0.1</v>
      </c>
      <c r="F73" s="4">
        <v>0.2</v>
      </c>
    </row>
    <row r="74" spans="1:6" x14ac:dyDescent="0.35">
      <c r="A74">
        <v>2</v>
      </c>
      <c r="B74">
        <v>32</v>
      </c>
      <c r="C74" t="s">
        <v>762</v>
      </c>
      <c r="D74" s="4">
        <v>0.1</v>
      </c>
      <c r="E74" s="4">
        <v>0.3</v>
      </c>
      <c r="F74" s="4">
        <v>0.5</v>
      </c>
    </row>
    <row r="75" spans="1:6" x14ac:dyDescent="0.35">
      <c r="A75">
        <v>2</v>
      </c>
      <c r="B75">
        <v>33</v>
      </c>
      <c r="C75" t="s">
        <v>763</v>
      </c>
      <c r="D75" s="4">
        <v>1E-8</v>
      </c>
      <c r="E75" s="4">
        <v>9.9999999999999995E-8</v>
      </c>
      <c r="F75" s="4">
        <v>9.9999999999999995E-7</v>
      </c>
    </row>
    <row r="76" spans="1:6" x14ac:dyDescent="0.35">
      <c r="A76">
        <v>2</v>
      </c>
      <c r="B76">
        <v>34</v>
      </c>
      <c r="C76" t="s">
        <v>764</v>
      </c>
      <c r="D76" s="4">
        <v>0.5</v>
      </c>
      <c r="E76" s="4">
        <v>0.7</v>
      </c>
      <c r="F76" s="4">
        <v>0.9</v>
      </c>
    </row>
    <row r="77" spans="1:6" x14ac:dyDescent="0.35">
      <c r="A77">
        <v>2</v>
      </c>
      <c r="B77">
        <v>35</v>
      </c>
      <c r="C77" t="s">
        <v>765</v>
      </c>
      <c r="D77" s="4">
        <v>0.2</v>
      </c>
      <c r="E77" s="4">
        <v>0.3</v>
      </c>
      <c r="F77" s="4">
        <v>0.4</v>
      </c>
    </row>
    <row r="78" spans="1:6" x14ac:dyDescent="0.35">
      <c r="A78">
        <v>2</v>
      </c>
      <c r="B78">
        <v>36</v>
      </c>
      <c r="C78" t="s">
        <v>766</v>
      </c>
      <c r="D78" s="4">
        <v>0.2</v>
      </c>
      <c r="E78" s="4">
        <v>0.3</v>
      </c>
      <c r="F78" s="4">
        <v>0.4</v>
      </c>
    </row>
    <row r="79" spans="1:6" x14ac:dyDescent="0.35">
      <c r="A79">
        <v>2</v>
      </c>
      <c r="B79">
        <v>37</v>
      </c>
      <c r="C79" t="s">
        <v>767</v>
      </c>
      <c r="D79" s="4">
        <v>0.05</v>
      </c>
      <c r="E79" s="4">
        <v>0.1</v>
      </c>
      <c r="F79" s="4">
        <v>0.2</v>
      </c>
    </row>
    <row r="80" spans="1:6" x14ac:dyDescent="0.35">
      <c r="A80">
        <v>2</v>
      </c>
      <c r="B80">
        <v>38</v>
      </c>
      <c r="C80" t="s">
        <v>768</v>
      </c>
      <c r="D80" s="4">
        <v>0.3</v>
      </c>
      <c r="E80" s="4">
        <v>0.6</v>
      </c>
      <c r="F80" s="4">
        <v>0.8</v>
      </c>
    </row>
    <row r="81" spans="1:6" x14ac:dyDescent="0.35">
      <c r="A81">
        <v>2</v>
      </c>
      <c r="B81">
        <v>39</v>
      </c>
      <c r="C81" t="s">
        <v>769</v>
      </c>
      <c r="D81" s="4">
        <v>0.2</v>
      </c>
      <c r="E81" s="4">
        <v>0.3</v>
      </c>
      <c r="F81" s="4">
        <v>0.4</v>
      </c>
    </row>
    <row r="82" spans="1:6" x14ac:dyDescent="0.35">
      <c r="A82">
        <v>2</v>
      </c>
      <c r="B82">
        <v>40</v>
      </c>
      <c r="C82" t="s">
        <v>770</v>
      </c>
      <c r="D82" s="4">
        <v>0.05</v>
      </c>
      <c r="E82" s="4">
        <v>0.1</v>
      </c>
      <c r="F82" s="4">
        <v>0.2</v>
      </c>
    </row>
    <row r="83" spans="1:6" x14ac:dyDescent="0.35">
      <c r="A83">
        <v>2</v>
      </c>
      <c r="B83">
        <v>41</v>
      </c>
      <c r="C83" t="s">
        <v>771</v>
      </c>
      <c r="D83" s="4">
        <v>0.05</v>
      </c>
      <c r="E83" s="4">
        <v>0.6</v>
      </c>
      <c r="F83" s="4">
        <v>0.7</v>
      </c>
    </row>
    <row r="84" spans="1:6" x14ac:dyDescent="0.35">
      <c r="A84">
        <v>3</v>
      </c>
      <c r="B84">
        <v>1</v>
      </c>
      <c r="C84" t="s">
        <v>236</v>
      </c>
      <c r="D84" s="4">
        <v>7000</v>
      </c>
      <c r="E84" s="4">
        <v>11000</v>
      </c>
      <c r="F84" s="4">
        <v>15000</v>
      </c>
    </row>
    <row r="85" spans="1:6" x14ac:dyDescent="0.35">
      <c r="A85">
        <v>3</v>
      </c>
      <c r="B85">
        <v>2</v>
      </c>
      <c r="C85" t="s">
        <v>237</v>
      </c>
      <c r="D85" s="4">
        <v>5000</v>
      </c>
      <c r="E85" s="4">
        <v>7000</v>
      </c>
      <c r="F85" s="4">
        <v>11000</v>
      </c>
    </row>
    <row r="86" spans="1:6" x14ac:dyDescent="0.35">
      <c r="A86">
        <v>3</v>
      </c>
      <c r="B86">
        <v>3</v>
      </c>
      <c r="C86" t="s">
        <v>238</v>
      </c>
      <c r="D86" s="4">
        <v>1000</v>
      </c>
      <c r="E86" s="4">
        <v>2500</v>
      </c>
      <c r="F86" s="4">
        <v>5000</v>
      </c>
    </row>
    <row r="87" spans="1:6" x14ac:dyDescent="0.35">
      <c r="A87">
        <v>3</v>
      </c>
      <c r="B87">
        <v>4</v>
      </c>
      <c r="C87" t="s">
        <v>239</v>
      </c>
      <c r="D87" s="4">
        <v>100</v>
      </c>
      <c r="E87" s="4">
        <v>500</v>
      </c>
      <c r="F87" s="4">
        <v>1000</v>
      </c>
    </row>
    <row r="88" spans="1:6" x14ac:dyDescent="0.35">
      <c r="A88">
        <v>3</v>
      </c>
      <c r="B88">
        <v>5</v>
      </c>
      <c r="C88" t="s">
        <v>240</v>
      </c>
      <c r="D88" s="4">
        <v>0.01</v>
      </c>
      <c r="E88" s="4">
        <v>0.02</v>
      </c>
      <c r="F88" s="4">
        <v>0.05</v>
      </c>
    </row>
    <row r="89" spans="1:6" x14ac:dyDescent="0.35">
      <c r="A89">
        <v>3</v>
      </c>
      <c r="B89">
        <v>6</v>
      </c>
      <c r="C89" t="s">
        <v>241</v>
      </c>
      <c r="D89" s="4">
        <v>100</v>
      </c>
      <c r="E89" s="4">
        <v>150</v>
      </c>
      <c r="F89" s="4">
        <v>200</v>
      </c>
    </row>
    <row r="90" spans="1:6" x14ac:dyDescent="0.35">
      <c r="A90">
        <v>3</v>
      </c>
      <c r="B90">
        <v>7</v>
      </c>
      <c r="C90" t="s">
        <v>242</v>
      </c>
      <c r="D90" s="4">
        <v>1000</v>
      </c>
      <c r="E90" s="4">
        <v>1500</v>
      </c>
      <c r="F90" s="4">
        <v>2000</v>
      </c>
    </row>
    <row r="91" spans="1:6" x14ac:dyDescent="0.35">
      <c r="A91">
        <v>3</v>
      </c>
      <c r="B91">
        <v>8</v>
      </c>
      <c r="C91" t="s">
        <v>243</v>
      </c>
      <c r="D91" s="4">
        <v>20</v>
      </c>
      <c r="E91" s="4">
        <v>50</v>
      </c>
      <c r="F91" s="4">
        <v>100</v>
      </c>
    </row>
    <row r="92" spans="1:6" x14ac:dyDescent="0.35">
      <c r="A92">
        <v>3</v>
      </c>
      <c r="B92">
        <v>9</v>
      </c>
      <c r="C92" t="s">
        <v>244</v>
      </c>
      <c r="D92" s="4">
        <v>1000</v>
      </c>
      <c r="E92" s="4">
        <v>1500</v>
      </c>
      <c r="F92" s="4">
        <v>2000</v>
      </c>
    </row>
    <row r="93" spans="1:6" x14ac:dyDescent="0.35">
      <c r="A93">
        <v>3</v>
      </c>
      <c r="B93">
        <v>10</v>
      </c>
      <c r="C93" t="s">
        <v>245</v>
      </c>
      <c r="D93" s="4">
        <v>0.05</v>
      </c>
      <c r="E93" s="4">
        <v>0.1</v>
      </c>
      <c r="F93" s="4">
        <v>0.2</v>
      </c>
    </row>
    <row r="94" spans="1:6" x14ac:dyDescent="0.35">
      <c r="A94">
        <v>3</v>
      </c>
      <c r="B94">
        <v>11</v>
      </c>
      <c r="C94" t="s">
        <v>741</v>
      </c>
      <c r="D94" s="4">
        <v>0.06</v>
      </c>
      <c r="E94" s="4">
        <v>0.13</v>
      </c>
      <c r="F94" s="4">
        <v>0.2</v>
      </c>
    </row>
    <row r="95" spans="1:6" x14ac:dyDescent="0.35">
      <c r="A95">
        <v>3</v>
      </c>
      <c r="B95">
        <v>12</v>
      </c>
      <c r="C95" t="s">
        <v>742</v>
      </c>
      <c r="D95" s="4">
        <v>0.1</v>
      </c>
      <c r="E95" s="4">
        <v>0.15</v>
      </c>
      <c r="F95" s="4">
        <v>0.2</v>
      </c>
    </row>
    <row r="96" spans="1:6" x14ac:dyDescent="0.35">
      <c r="A96">
        <v>3</v>
      </c>
      <c r="B96">
        <v>13</v>
      </c>
      <c r="C96" t="s">
        <v>743</v>
      </c>
      <c r="D96" s="4">
        <v>0.05</v>
      </c>
      <c r="E96" s="4">
        <v>0.12</v>
      </c>
      <c r="F96" s="4">
        <v>0.15</v>
      </c>
    </row>
    <row r="97" spans="1:6" x14ac:dyDescent="0.35">
      <c r="A97">
        <v>3</v>
      </c>
      <c r="B97">
        <v>14</v>
      </c>
      <c r="C97" t="s">
        <v>744</v>
      </c>
      <c r="D97" s="4">
        <v>0.2</v>
      </c>
      <c r="E97" s="4">
        <v>0.35</v>
      </c>
      <c r="F97" s="4">
        <v>0.45</v>
      </c>
    </row>
    <row r="98" spans="1:6" x14ac:dyDescent="0.35">
      <c r="A98">
        <v>3</v>
      </c>
      <c r="B98">
        <v>15</v>
      </c>
      <c r="C98" t="s">
        <v>745</v>
      </c>
      <c r="D98" s="4">
        <v>0.15</v>
      </c>
      <c r="E98" s="4">
        <v>0.2</v>
      </c>
      <c r="F98" s="4">
        <v>0.4</v>
      </c>
    </row>
    <row r="99" spans="1:6" x14ac:dyDescent="0.35">
      <c r="A99">
        <v>3</v>
      </c>
      <c r="B99">
        <v>16</v>
      </c>
      <c r="C99" t="s">
        <v>746</v>
      </c>
      <c r="D99" s="4">
        <v>0.01</v>
      </c>
      <c r="E99" s="4">
        <v>0.03</v>
      </c>
      <c r="F99" s="4">
        <v>0.1</v>
      </c>
    </row>
    <row r="100" spans="1:6" x14ac:dyDescent="0.35">
      <c r="A100">
        <v>3</v>
      </c>
      <c r="B100">
        <v>17</v>
      </c>
      <c r="C100" t="s">
        <v>747</v>
      </c>
      <c r="D100" s="4">
        <v>9.9999999999999995E-7</v>
      </c>
      <c r="E100" s="4">
        <v>0.01</v>
      </c>
      <c r="F100" s="4">
        <v>0.02</v>
      </c>
    </row>
    <row r="101" spans="1:6" x14ac:dyDescent="0.35">
      <c r="A101">
        <v>3</v>
      </c>
      <c r="B101">
        <v>18</v>
      </c>
      <c r="C101" t="s">
        <v>748</v>
      </c>
      <c r="D101" s="4">
        <v>9.9999999999999995E-7</v>
      </c>
      <c r="E101" s="4">
        <v>0.01</v>
      </c>
      <c r="F101" s="4">
        <v>0.02</v>
      </c>
    </row>
    <row r="102" spans="1:6" x14ac:dyDescent="0.35">
      <c r="A102">
        <v>3</v>
      </c>
      <c r="B102">
        <v>19</v>
      </c>
      <c r="C102" t="s">
        <v>749</v>
      </c>
      <c r="D102" s="4">
        <v>1E-8</v>
      </c>
      <c r="E102" s="4">
        <v>9.9999999999999995E-8</v>
      </c>
      <c r="F102" s="4">
        <v>1.0000000000000001E-5</v>
      </c>
    </row>
    <row r="103" spans="1:6" x14ac:dyDescent="0.35">
      <c r="A103">
        <v>3</v>
      </c>
      <c r="B103">
        <v>20</v>
      </c>
      <c r="C103" t="s">
        <v>750</v>
      </c>
      <c r="D103" s="4">
        <v>0.2</v>
      </c>
      <c r="E103" s="4">
        <v>0.4</v>
      </c>
      <c r="F103" s="4">
        <v>0.5</v>
      </c>
    </row>
    <row r="104" spans="1:6" x14ac:dyDescent="0.35">
      <c r="A104">
        <v>3</v>
      </c>
      <c r="B104">
        <v>21</v>
      </c>
      <c r="C104" t="s">
        <v>751</v>
      </c>
      <c r="D104" s="4">
        <v>0.2</v>
      </c>
      <c r="E104" s="4">
        <v>0.3</v>
      </c>
      <c r="F104" s="4">
        <v>0.4</v>
      </c>
    </row>
    <row r="105" spans="1:6" x14ac:dyDescent="0.35">
      <c r="A105">
        <v>3</v>
      </c>
      <c r="B105">
        <v>22</v>
      </c>
      <c r="C105" t="s">
        <v>752</v>
      </c>
      <c r="D105" s="4">
        <v>0.1</v>
      </c>
      <c r="E105" s="4">
        <v>0.2</v>
      </c>
      <c r="F105" s="4">
        <v>0.3</v>
      </c>
    </row>
    <row r="106" spans="1:6" x14ac:dyDescent="0.35">
      <c r="A106">
        <v>3</v>
      </c>
      <c r="B106">
        <v>23</v>
      </c>
      <c r="C106" t="s">
        <v>753</v>
      </c>
      <c r="D106" s="4">
        <v>0.03</v>
      </c>
      <c r="E106" s="4">
        <v>0.05</v>
      </c>
      <c r="F106" s="4">
        <v>0.1</v>
      </c>
    </row>
    <row r="107" spans="1:6" x14ac:dyDescent="0.35">
      <c r="A107">
        <v>3</v>
      </c>
      <c r="B107">
        <v>24</v>
      </c>
      <c r="C107" t="s">
        <v>754</v>
      </c>
      <c r="D107" s="4">
        <v>0.02</v>
      </c>
      <c r="E107" s="4">
        <v>0.05</v>
      </c>
      <c r="F107" s="4">
        <v>0.1</v>
      </c>
    </row>
    <row r="108" spans="1:6" x14ac:dyDescent="0.35">
      <c r="A108">
        <v>3</v>
      </c>
      <c r="B108">
        <v>25</v>
      </c>
      <c r="C108" t="s">
        <v>755</v>
      </c>
      <c r="D108" s="4">
        <v>1E-8</v>
      </c>
      <c r="E108" s="4">
        <v>9.9999999999999995E-8</v>
      </c>
      <c r="F108" s="4">
        <v>1.0000000000000001E-5</v>
      </c>
    </row>
    <row r="109" spans="1:6" x14ac:dyDescent="0.35">
      <c r="A109">
        <v>3</v>
      </c>
      <c r="B109">
        <v>26</v>
      </c>
      <c r="C109" t="s">
        <v>756</v>
      </c>
      <c r="D109" s="4">
        <v>0.9</v>
      </c>
      <c r="E109" s="4">
        <v>0.95</v>
      </c>
      <c r="F109" s="4">
        <v>1</v>
      </c>
    </row>
    <row r="110" spans="1:6" x14ac:dyDescent="0.35">
      <c r="A110">
        <v>3</v>
      </c>
      <c r="B110">
        <v>27</v>
      </c>
      <c r="C110" t="s">
        <v>757</v>
      </c>
      <c r="D110" s="4">
        <v>0.02</v>
      </c>
      <c r="E110" s="4">
        <v>0.05</v>
      </c>
      <c r="F110" s="4">
        <v>0.1</v>
      </c>
    </row>
    <row r="111" spans="1:6" x14ac:dyDescent="0.35">
      <c r="A111">
        <v>3</v>
      </c>
      <c r="B111">
        <v>28</v>
      </c>
      <c r="C111" t="s">
        <v>758</v>
      </c>
      <c r="D111" s="4">
        <v>0.1</v>
      </c>
      <c r="E111" s="4">
        <v>0.4</v>
      </c>
      <c r="F111" s="4">
        <v>0.6</v>
      </c>
    </row>
    <row r="112" spans="1:6" x14ac:dyDescent="0.35">
      <c r="A112">
        <v>3</v>
      </c>
      <c r="B112">
        <v>29</v>
      </c>
      <c r="C112" t="s">
        <v>759</v>
      </c>
      <c r="D112" s="4">
        <v>0.1</v>
      </c>
      <c r="E112" s="4">
        <v>0.25</v>
      </c>
      <c r="F112" s="4">
        <v>0.4</v>
      </c>
    </row>
    <row r="113" spans="1:6" x14ac:dyDescent="0.35">
      <c r="A113">
        <v>3</v>
      </c>
      <c r="B113">
        <v>30</v>
      </c>
      <c r="C113" t="s">
        <v>760</v>
      </c>
      <c r="D113" s="4">
        <v>0.1</v>
      </c>
      <c r="E113" s="4">
        <v>0.2</v>
      </c>
      <c r="F113" s="4">
        <v>0.4</v>
      </c>
    </row>
    <row r="114" spans="1:6" x14ac:dyDescent="0.35">
      <c r="A114">
        <v>3</v>
      </c>
      <c r="B114">
        <v>31</v>
      </c>
      <c r="C114" t="s">
        <v>761</v>
      </c>
      <c r="D114" s="4">
        <v>0.05</v>
      </c>
      <c r="E114" s="4">
        <v>0.1</v>
      </c>
      <c r="F114" s="4">
        <v>0.2</v>
      </c>
    </row>
    <row r="115" spans="1:6" x14ac:dyDescent="0.35">
      <c r="A115">
        <v>3</v>
      </c>
      <c r="B115">
        <v>32</v>
      </c>
      <c r="C115" t="s">
        <v>762</v>
      </c>
      <c r="D115" s="4">
        <v>0.02</v>
      </c>
      <c r="E115" s="4">
        <v>0.05</v>
      </c>
      <c r="F115" s="4">
        <v>0.1</v>
      </c>
    </row>
    <row r="116" spans="1:6" x14ac:dyDescent="0.35">
      <c r="A116">
        <v>3</v>
      </c>
      <c r="B116">
        <v>33</v>
      </c>
      <c r="C116" t="s">
        <v>763</v>
      </c>
      <c r="D116" s="4">
        <v>1E-8</v>
      </c>
      <c r="E116" s="4">
        <v>9.9999999999999995E-8</v>
      </c>
      <c r="F116" s="4">
        <v>1.0000000000000001E-5</v>
      </c>
    </row>
    <row r="117" spans="1:6" x14ac:dyDescent="0.35">
      <c r="A117">
        <v>3</v>
      </c>
      <c r="B117">
        <v>34</v>
      </c>
      <c r="C117" t="s">
        <v>764</v>
      </c>
      <c r="D117" s="4">
        <v>0.8</v>
      </c>
      <c r="E117" s="4">
        <v>0.9</v>
      </c>
      <c r="F117" s="4">
        <v>1</v>
      </c>
    </row>
    <row r="118" spans="1:6" x14ac:dyDescent="0.35">
      <c r="A118">
        <v>3</v>
      </c>
      <c r="B118">
        <v>35</v>
      </c>
      <c r="C118" t="s">
        <v>765</v>
      </c>
      <c r="D118" s="4">
        <v>0.02</v>
      </c>
      <c r="E118" s="4">
        <v>0.1</v>
      </c>
      <c r="F118" s="4">
        <v>0.2</v>
      </c>
    </row>
    <row r="119" spans="1:6" x14ac:dyDescent="0.35">
      <c r="A119">
        <v>3</v>
      </c>
      <c r="B119">
        <v>36</v>
      </c>
      <c r="C119" t="s">
        <v>766</v>
      </c>
      <c r="D119" s="4">
        <v>0.1</v>
      </c>
      <c r="E119" s="4">
        <v>0.4</v>
      </c>
      <c r="F119" s="4">
        <v>0.6</v>
      </c>
    </row>
    <row r="120" spans="1:6" x14ac:dyDescent="0.35">
      <c r="A120">
        <v>3</v>
      </c>
      <c r="B120">
        <v>37</v>
      </c>
      <c r="C120" t="s">
        <v>767</v>
      </c>
      <c r="D120" s="4">
        <v>0.1</v>
      </c>
      <c r="E120" s="4">
        <v>0.2</v>
      </c>
      <c r="F120" s="4">
        <v>0.4</v>
      </c>
    </row>
    <row r="121" spans="1:6" x14ac:dyDescent="0.35">
      <c r="A121">
        <v>3</v>
      </c>
      <c r="B121">
        <v>38</v>
      </c>
      <c r="C121" t="s">
        <v>768</v>
      </c>
      <c r="D121" s="4">
        <v>0.2</v>
      </c>
      <c r="E121" s="4">
        <v>0.4</v>
      </c>
      <c r="F121" s="4">
        <v>0.6</v>
      </c>
    </row>
    <row r="122" spans="1:6" x14ac:dyDescent="0.35">
      <c r="A122">
        <v>3</v>
      </c>
      <c r="B122">
        <v>39</v>
      </c>
      <c r="C122" t="s">
        <v>769</v>
      </c>
      <c r="D122" s="4">
        <v>0.2</v>
      </c>
      <c r="E122" s="4">
        <v>0.5</v>
      </c>
      <c r="F122" s="4">
        <v>0.7</v>
      </c>
    </row>
    <row r="123" spans="1:6" x14ac:dyDescent="0.35">
      <c r="A123">
        <v>3</v>
      </c>
      <c r="B123">
        <v>40</v>
      </c>
      <c r="C123" t="s">
        <v>770</v>
      </c>
      <c r="D123" s="4">
        <v>0.1</v>
      </c>
      <c r="E123" s="4">
        <v>0.2</v>
      </c>
      <c r="F123" s="4">
        <v>0.3</v>
      </c>
    </row>
    <row r="124" spans="1:6" x14ac:dyDescent="0.35">
      <c r="A124">
        <v>3</v>
      </c>
      <c r="B124">
        <v>41</v>
      </c>
      <c r="C124" t="s">
        <v>771</v>
      </c>
      <c r="D124" s="4">
        <v>0.2</v>
      </c>
      <c r="E124" s="4">
        <v>0.3</v>
      </c>
      <c r="F124" s="4">
        <v>0.6</v>
      </c>
    </row>
    <row r="125" spans="1:6" x14ac:dyDescent="0.35">
      <c r="A125">
        <v>4</v>
      </c>
      <c r="B125">
        <v>1</v>
      </c>
      <c r="C125" t="s">
        <v>236</v>
      </c>
      <c r="D125" s="4">
        <v>700000</v>
      </c>
      <c r="E125" s="4">
        <v>850000</v>
      </c>
      <c r="F125" s="4">
        <v>1000000</v>
      </c>
    </row>
    <row r="126" spans="1:6" x14ac:dyDescent="0.35">
      <c r="A126">
        <v>4</v>
      </c>
      <c r="B126">
        <v>2</v>
      </c>
      <c r="C126" t="s">
        <v>237</v>
      </c>
      <c r="D126" s="4">
        <v>250000</v>
      </c>
      <c r="E126" s="4">
        <v>450000</v>
      </c>
      <c r="F126" s="4">
        <v>600000</v>
      </c>
    </row>
    <row r="127" spans="1:6" x14ac:dyDescent="0.35">
      <c r="A127">
        <v>4</v>
      </c>
      <c r="B127">
        <v>3</v>
      </c>
      <c r="C127" t="s">
        <v>238</v>
      </c>
      <c r="D127" s="4">
        <v>120000</v>
      </c>
      <c r="E127" s="4">
        <v>180000</v>
      </c>
      <c r="F127" s="4">
        <v>250000</v>
      </c>
    </row>
    <row r="128" spans="1:6" x14ac:dyDescent="0.35">
      <c r="A128">
        <v>4</v>
      </c>
      <c r="B128">
        <v>4</v>
      </c>
      <c r="C128" t="s">
        <v>239</v>
      </c>
      <c r="D128" s="4">
        <v>300</v>
      </c>
      <c r="E128" s="4">
        <v>1000</v>
      </c>
      <c r="F128" s="4">
        <v>2000</v>
      </c>
    </row>
    <row r="129" spans="1:6" x14ac:dyDescent="0.35">
      <c r="A129">
        <v>4</v>
      </c>
      <c r="B129">
        <v>5</v>
      </c>
      <c r="C129" t="s">
        <v>240</v>
      </c>
      <c r="D129" s="4">
        <v>0.35</v>
      </c>
      <c r="E129" s="4">
        <v>0.55000000000000004</v>
      </c>
      <c r="F129" s="4">
        <v>0.6</v>
      </c>
    </row>
    <row r="130" spans="1:6" x14ac:dyDescent="0.35">
      <c r="A130">
        <v>4</v>
      </c>
      <c r="B130">
        <v>6</v>
      </c>
      <c r="C130" t="s">
        <v>241</v>
      </c>
      <c r="D130" s="4">
        <v>12</v>
      </c>
      <c r="E130" s="4">
        <v>20</v>
      </c>
      <c r="F130" s="4">
        <v>30</v>
      </c>
    </row>
    <row r="131" spans="1:6" x14ac:dyDescent="0.35">
      <c r="A131">
        <v>4</v>
      </c>
      <c r="B131">
        <v>7</v>
      </c>
      <c r="C131" t="s">
        <v>242</v>
      </c>
      <c r="D131" s="4">
        <v>100</v>
      </c>
      <c r="E131" s="4">
        <v>600</v>
      </c>
      <c r="F131" s="4">
        <v>1200</v>
      </c>
    </row>
    <row r="132" spans="1:6" x14ac:dyDescent="0.35">
      <c r="A132">
        <v>4</v>
      </c>
      <c r="B132">
        <v>8</v>
      </c>
      <c r="C132" t="s">
        <v>243</v>
      </c>
      <c r="D132" s="4">
        <v>45</v>
      </c>
      <c r="E132" s="4">
        <v>60</v>
      </c>
      <c r="F132" s="4">
        <v>120</v>
      </c>
    </row>
    <row r="133" spans="1:6" x14ac:dyDescent="0.35">
      <c r="A133">
        <v>4</v>
      </c>
      <c r="B133">
        <v>9</v>
      </c>
      <c r="C133" t="s">
        <v>244</v>
      </c>
      <c r="D133" s="4">
        <v>450</v>
      </c>
      <c r="E133" s="4">
        <v>620</v>
      </c>
      <c r="F133" s="4">
        <v>800</v>
      </c>
    </row>
    <row r="134" spans="1:6" x14ac:dyDescent="0.35">
      <c r="A134">
        <v>4</v>
      </c>
      <c r="B134">
        <v>10</v>
      </c>
      <c r="C134" t="s">
        <v>245</v>
      </c>
      <c r="D134" s="4">
        <v>0.15</v>
      </c>
      <c r="E134" s="4">
        <v>0.23</v>
      </c>
      <c r="F134" s="4">
        <v>0.35</v>
      </c>
    </row>
    <row r="135" spans="1:6" x14ac:dyDescent="0.35">
      <c r="A135">
        <v>4</v>
      </c>
      <c r="B135">
        <v>11</v>
      </c>
      <c r="C135" t="s">
        <v>741</v>
      </c>
      <c r="D135" s="4">
        <v>0.15</v>
      </c>
      <c r="E135" s="4">
        <v>0.25</v>
      </c>
      <c r="F135" s="4">
        <v>0.5</v>
      </c>
    </row>
    <row r="136" spans="1:6" x14ac:dyDescent="0.35">
      <c r="A136">
        <v>4</v>
      </c>
      <c r="B136">
        <v>12</v>
      </c>
      <c r="C136" t="s">
        <v>742</v>
      </c>
      <c r="D136" s="4">
        <v>0.15</v>
      </c>
      <c r="E136" s="4">
        <v>0.37</v>
      </c>
      <c r="F136" s="4">
        <v>0.6</v>
      </c>
    </row>
    <row r="137" spans="1:6" x14ac:dyDescent="0.35">
      <c r="A137">
        <v>4</v>
      </c>
      <c r="B137">
        <v>13</v>
      </c>
      <c r="C137" t="s">
        <v>743</v>
      </c>
      <c r="D137" s="4">
        <v>0.04</v>
      </c>
      <c r="E137" s="4">
        <v>0.05</v>
      </c>
      <c r="F137" s="4">
        <v>0.1</v>
      </c>
    </row>
    <row r="138" spans="1:6" x14ac:dyDescent="0.35">
      <c r="A138">
        <v>4</v>
      </c>
      <c r="B138">
        <v>14</v>
      </c>
      <c r="C138" t="s">
        <v>744</v>
      </c>
      <c r="D138" s="4">
        <v>0.05</v>
      </c>
      <c r="E138" s="4">
        <v>0.08</v>
      </c>
      <c r="F138" s="4">
        <v>0.12</v>
      </c>
    </row>
    <row r="139" spans="1:6" x14ac:dyDescent="0.35">
      <c r="A139">
        <v>4</v>
      </c>
      <c r="B139">
        <v>15</v>
      </c>
      <c r="C139" t="s">
        <v>745</v>
      </c>
      <c r="D139" s="4">
        <v>0.18</v>
      </c>
      <c r="E139" s="4">
        <v>0.2</v>
      </c>
      <c r="F139" s="4">
        <v>0.5</v>
      </c>
    </row>
    <row r="140" spans="1:6" x14ac:dyDescent="0.35">
      <c r="A140">
        <v>4</v>
      </c>
      <c r="B140">
        <v>16</v>
      </c>
      <c r="C140" t="s">
        <v>746</v>
      </c>
      <c r="D140" s="4">
        <v>0.01</v>
      </c>
      <c r="E140" s="4">
        <v>0.05</v>
      </c>
      <c r="F140" s="4">
        <v>7.0000000000000007E-2</v>
      </c>
    </row>
    <row r="141" spans="1:6" x14ac:dyDescent="0.35">
      <c r="A141">
        <v>4</v>
      </c>
      <c r="B141">
        <v>17</v>
      </c>
      <c r="C141" t="s">
        <v>747</v>
      </c>
      <c r="D141" s="4">
        <v>1E-8</v>
      </c>
      <c r="E141" s="4">
        <v>1E-3</v>
      </c>
      <c r="F141" s="4">
        <v>0.01</v>
      </c>
    </row>
    <row r="142" spans="1:6" x14ac:dyDescent="0.35">
      <c r="A142">
        <v>4</v>
      </c>
      <c r="B142">
        <v>18</v>
      </c>
      <c r="C142" t="s">
        <v>748</v>
      </c>
      <c r="D142" s="4">
        <v>1E-8</v>
      </c>
      <c r="E142" s="4">
        <v>1E-3</v>
      </c>
      <c r="F142" s="4">
        <v>0.01</v>
      </c>
    </row>
    <row r="143" spans="1:6" x14ac:dyDescent="0.35">
      <c r="A143">
        <v>4</v>
      </c>
      <c r="B143">
        <v>19</v>
      </c>
      <c r="C143" t="s">
        <v>749</v>
      </c>
      <c r="D143" s="4">
        <v>1E-8</v>
      </c>
      <c r="E143" s="4">
        <v>5.0000000000000001E-4</v>
      </c>
      <c r="F143" s="4">
        <v>1E-3</v>
      </c>
    </row>
    <row r="144" spans="1:6" x14ac:dyDescent="0.35">
      <c r="A144">
        <v>4</v>
      </c>
      <c r="B144">
        <v>20</v>
      </c>
      <c r="C144" t="s">
        <v>750</v>
      </c>
      <c r="D144" s="4">
        <v>0.05</v>
      </c>
      <c r="E144" s="4">
        <v>0.25</v>
      </c>
      <c r="F144" s="4">
        <v>0.5</v>
      </c>
    </row>
    <row r="145" spans="1:6" x14ac:dyDescent="0.35">
      <c r="A145">
        <v>4</v>
      </c>
      <c r="B145">
        <v>21</v>
      </c>
      <c r="C145" t="s">
        <v>751</v>
      </c>
      <c r="D145" s="4">
        <v>0.05</v>
      </c>
      <c r="E145" s="4">
        <v>0.2</v>
      </c>
      <c r="F145" s="4">
        <v>0.5</v>
      </c>
    </row>
    <row r="146" spans="1:6" x14ac:dyDescent="0.35">
      <c r="A146">
        <v>4</v>
      </c>
      <c r="B146">
        <v>22</v>
      </c>
      <c r="C146" t="s">
        <v>752</v>
      </c>
      <c r="D146" s="4">
        <v>0.05</v>
      </c>
      <c r="E146" s="4">
        <v>0.2</v>
      </c>
      <c r="F146" s="4">
        <v>0.5</v>
      </c>
    </row>
    <row r="147" spans="1:6" x14ac:dyDescent="0.35">
      <c r="A147">
        <v>4</v>
      </c>
      <c r="B147">
        <v>23</v>
      </c>
      <c r="C147" t="s">
        <v>753</v>
      </c>
      <c r="D147" s="4">
        <v>0.05</v>
      </c>
      <c r="E147" s="4">
        <v>0.25</v>
      </c>
      <c r="F147" s="4">
        <v>0.5</v>
      </c>
    </row>
    <row r="148" spans="1:6" x14ac:dyDescent="0.35">
      <c r="A148">
        <v>4</v>
      </c>
      <c r="B148">
        <v>24</v>
      </c>
      <c r="C148" t="s">
        <v>754</v>
      </c>
      <c r="D148" s="4">
        <v>0.05</v>
      </c>
      <c r="E148" s="4">
        <v>0.1</v>
      </c>
      <c r="F148" s="4">
        <v>0.25</v>
      </c>
    </row>
    <row r="149" spans="1:6" x14ac:dyDescent="0.35">
      <c r="A149">
        <v>4</v>
      </c>
      <c r="B149">
        <v>25</v>
      </c>
      <c r="C149" t="s">
        <v>755</v>
      </c>
      <c r="D149" s="4">
        <v>1E-8</v>
      </c>
      <c r="E149" s="4">
        <v>9.9999999999999995E-8</v>
      </c>
      <c r="F149" s="4">
        <v>1E-3</v>
      </c>
    </row>
    <row r="150" spans="1:6" x14ac:dyDescent="0.35">
      <c r="A150">
        <v>4</v>
      </c>
      <c r="B150">
        <v>26</v>
      </c>
      <c r="C150" t="s">
        <v>756</v>
      </c>
      <c r="D150" s="4">
        <v>0.6</v>
      </c>
      <c r="E150" s="4">
        <v>0.8</v>
      </c>
      <c r="F150" s="4">
        <v>1</v>
      </c>
    </row>
    <row r="151" spans="1:6" x14ac:dyDescent="0.35">
      <c r="A151">
        <v>4</v>
      </c>
      <c r="B151">
        <v>27</v>
      </c>
      <c r="C151" t="s">
        <v>757</v>
      </c>
      <c r="D151" s="4">
        <v>1E-8</v>
      </c>
      <c r="E151" s="4">
        <v>0.2</v>
      </c>
      <c r="F151" s="4">
        <v>0.4</v>
      </c>
    </row>
    <row r="152" spans="1:6" x14ac:dyDescent="0.35">
      <c r="A152">
        <v>4</v>
      </c>
      <c r="B152">
        <v>28</v>
      </c>
      <c r="C152" t="s">
        <v>758</v>
      </c>
      <c r="D152" s="4">
        <v>0.05</v>
      </c>
      <c r="E152" s="4">
        <v>0.25</v>
      </c>
      <c r="F152" s="4">
        <v>0.5</v>
      </c>
    </row>
    <row r="153" spans="1:6" x14ac:dyDescent="0.35">
      <c r="A153">
        <v>4</v>
      </c>
      <c r="B153">
        <v>29</v>
      </c>
      <c r="C153" t="s">
        <v>759</v>
      </c>
      <c r="D153" s="4">
        <v>0.05</v>
      </c>
      <c r="E153" s="4">
        <v>0.2</v>
      </c>
      <c r="F153" s="4">
        <v>0.5</v>
      </c>
    </row>
    <row r="154" spans="1:6" x14ac:dyDescent="0.35">
      <c r="A154">
        <v>4</v>
      </c>
      <c r="B154">
        <v>30</v>
      </c>
      <c r="C154" t="s">
        <v>760</v>
      </c>
      <c r="D154" s="4">
        <v>0.05</v>
      </c>
      <c r="E154" s="4">
        <v>0.2</v>
      </c>
      <c r="F154" s="4">
        <v>0.5</v>
      </c>
    </row>
    <row r="155" spans="1:6" x14ac:dyDescent="0.35">
      <c r="A155">
        <v>4</v>
      </c>
      <c r="B155">
        <v>31</v>
      </c>
      <c r="C155" t="s">
        <v>761</v>
      </c>
      <c r="D155" s="4">
        <v>0.05</v>
      </c>
      <c r="E155" s="4">
        <v>0.25</v>
      </c>
      <c r="F155" s="4">
        <v>0.5</v>
      </c>
    </row>
    <row r="156" spans="1:6" x14ac:dyDescent="0.35">
      <c r="A156">
        <v>4</v>
      </c>
      <c r="B156">
        <v>32</v>
      </c>
      <c r="C156" t="s">
        <v>762</v>
      </c>
      <c r="D156" s="4">
        <v>0.05</v>
      </c>
      <c r="E156" s="4">
        <v>0.1</v>
      </c>
      <c r="F156" s="4">
        <v>0.25</v>
      </c>
    </row>
    <row r="157" spans="1:6" x14ac:dyDescent="0.35">
      <c r="A157">
        <v>4</v>
      </c>
      <c r="B157">
        <v>33</v>
      </c>
      <c r="C157" t="s">
        <v>763</v>
      </c>
      <c r="D157" s="4">
        <v>1E-8</v>
      </c>
      <c r="E157" s="4">
        <v>1E-4</v>
      </c>
      <c r="F157" s="4">
        <v>1E-3</v>
      </c>
    </row>
    <row r="158" spans="1:6" x14ac:dyDescent="0.35">
      <c r="A158">
        <v>4</v>
      </c>
      <c r="B158">
        <v>34</v>
      </c>
      <c r="C158" t="s">
        <v>764</v>
      </c>
      <c r="D158" s="4">
        <v>0.6</v>
      </c>
      <c r="E158" s="4">
        <v>0.8</v>
      </c>
      <c r="F158" s="4">
        <v>1</v>
      </c>
    </row>
    <row r="159" spans="1:6" x14ac:dyDescent="0.35">
      <c r="A159">
        <v>4</v>
      </c>
      <c r="B159">
        <v>35</v>
      </c>
      <c r="C159" t="s">
        <v>765</v>
      </c>
      <c r="D159" s="4">
        <v>1E-8</v>
      </c>
      <c r="E159" s="4">
        <v>0.2</v>
      </c>
      <c r="F159" s="4">
        <v>0.4</v>
      </c>
    </row>
    <row r="160" spans="1:6" x14ac:dyDescent="0.35">
      <c r="A160">
        <v>4</v>
      </c>
      <c r="B160">
        <v>36</v>
      </c>
      <c r="C160" t="s">
        <v>766</v>
      </c>
      <c r="D160" s="4">
        <v>0.25</v>
      </c>
      <c r="E160" s="4">
        <v>0.3</v>
      </c>
      <c r="F160" s="4">
        <v>0.6</v>
      </c>
    </row>
    <row r="161" spans="1:6" x14ac:dyDescent="0.35">
      <c r="A161">
        <v>4</v>
      </c>
      <c r="B161">
        <v>37</v>
      </c>
      <c r="C161" t="s">
        <v>767</v>
      </c>
      <c r="D161" s="4">
        <v>0.15</v>
      </c>
      <c r="E161" s="4">
        <v>0.2</v>
      </c>
      <c r="F161" s="4">
        <v>0.6</v>
      </c>
    </row>
    <row r="162" spans="1:6" x14ac:dyDescent="0.35">
      <c r="A162">
        <v>4</v>
      </c>
      <c r="B162">
        <v>38</v>
      </c>
      <c r="C162" t="s">
        <v>768</v>
      </c>
      <c r="D162" s="4">
        <v>0.3</v>
      </c>
      <c r="E162" s="4">
        <v>0.5</v>
      </c>
      <c r="F162" s="4">
        <v>0.8</v>
      </c>
    </row>
    <row r="163" spans="1:6" x14ac:dyDescent="0.35">
      <c r="A163">
        <v>4</v>
      </c>
      <c r="B163">
        <v>39</v>
      </c>
      <c r="C163" t="s">
        <v>769</v>
      </c>
      <c r="D163" s="4">
        <v>0.4</v>
      </c>
      <c r="E163" s="4">
        <v>0.5</v>
      </c>
      <c r="F163" s="4">
        <v>0.8</v>
      </c>
    </row>
    <row r="164" spans="1:6" x14ac:dyDescent="0.35">
      <c r="A164">
        <v>4</v>
      </c>
      <c r="B164">
        <v>40</v>
      </c>
      <c r="C164" t="s">
        <v>770</v>
      </c>
      <c r="D164" s="4">
        <v>0.1</v>
      </c>
      <c r="E164" s="4">
        <v>0.2</v>
      </c>
      <c r="F164" s="4">
        <v>0.6</v>
      </c>
    </row>
    <row r="165" spans="1:6" x14ac:dyDescent="0.35">
      <c r="A165">
        <v>4</v>
      </c>
      <c r="B165">
        <v>41</v>
      </c>
      <c r="C165" t="s">
        <v>771</v>
      </c>
      <c r="D165" s="4">
        <v>0.2</v>
      </c>
      <c r="E165" s="4">
        <v>0.3</v>
      </c>
      <c r="F165" s="4">
        <v>0.6</v>
      </c>
    </row>
    <row r="166" spans="1:6" x14ac:dyDescent="0.35">
      <c r="A166">
        <v>5</v>
      </c>
      <c r="B166">
        <v>1</v>
      </c>
      <c r="C166" t="s">
        <v>236</v>
      </c>
      <c r="D166" s="4">
        <v>20000</v>
      </c>
      <c r="E166" s="4">
        <v>37500</v>
      </c>
      <c r="F166" s="4">
        <v>55000</v>
      </c>
    </row>
    <row r="167" spans="1:6" x14ac:dyDescent="0.35">
      <c r="A167">
        <v>5</v>
      </c>
      <c r="B167">
        <v>2</v>
      </c>
      <c r="C167" t="s">
        <v>237</v>
      </c>
      <c r="D167" s="4">
        <v>3500</v>
      </c>
      <c r="E167" s="4">
        <v>5250</v>
      </c>
      <c r="F167" s="4">
        <v>7000</v>
      </c>
    </row>
    <row r="168" spans="1:6" x14ac:dyDescent="0.35">
      <c r="A168">
        <v>5</v>
      </c>
      <c r="B168">
        <v>3</v>
      </c>
      <c r="C168" t="s">
        <v>238</v>
      </c>
      <c r="D168" s="4">
        <v>37000</v>
      </c>
      <c r="E168" s="4">
        <v>48500</v>
      </c>
      <c r="F168" s="4">
        <v>60000</v>
      </c>
    </row>
    <row r="169" spans="1:6" x14ac:dyDescent="0.35">
      <c r="A169">
        <v>5</v>
      </c>
      <c r="B169">
        <v>4</v>
      </c>
      <c r="C169" t="s">
        <v>239</v>
      </c>
      <c r="D169" s="4">
        <v>2000</v>
      </c>
      <c r="E169" s="4">
        <v>2750</v>
      </c>
      <c r="F169" s="4">
        <v>3500</v>
      </c>
    </row>
    <row r="170" spans="1:6" x14ac:dyDescent="0.35">
      <c r="A170">
        <v>5</v>
      </c>
      <c r="B170">
        <v>5</v>
      </c>
      <c r="C170" t="s">
        <v>240</v>
      </c>
      <c r="D170" s="4">
        <v>0.48</v>
      </c>
      <c r="E170" s="4">
        <v>0.54</v>
      </c>
      <c r="F170" s="4">
        <v>0.8</v>
      </c>
    </row>
    <row r="171" spans="1:6" x14ac:dyDescent="0.35">
      <c r="A171">
        <v>5</v>
      </c>
      <c r="B171">
        <v>6</v>
      </c>
      <c r="C171" t="s">
        <v>241</v>
      </c>
      <c r="D171" s="4">
        <v>4800</v>
      </c>
      <c r="E171" s="4">
        <v>6400</v>
      </c>
      <c r="F171" s="4">
        <v>8000</v>
      </c>
    </row>
    <row r="172" spans="1:6" x14ac:dyDescent="0.35">
      <c r="A172">
        <v>5</v>
      </c>
      <c r="B172">
        <v>7</v>
      </c>
      <c r="C172" t="s">
        <v>242</v>
      </c>
      <c r="D172" s="4">
        <v>10000</v>
      </c>
      <c r="E172" s="4">
        <v>25000</v>
      </c>
      <c r="F172" s="4">
        <v>40000</v>
      </c>
    </row>
    <row r="173" spans="1:6" x14ac:dyDescent="0.35">
      <c r="A173">
        <v>5</v>
      </c>
      <c r="B173">
        <v>8</v>
      </c>
      <c r="C173" t="s">
        <v>243</v>
      </c>
      <c r="D173" s="4">
        <v>5</v>
      </c>
      <c r="E173" s="4">
        <v>7.5</v>
      </c>
      <c r="F173" s="4">
        <v>25</v>
      </c>
    </row>
    <row r="174" spans="1:6" x14ac:dyDescent="0.35">
      <c r="A174">
        <v>5</v>
      </c>
      <c r="B174">
        <v>9</v>
      </c>
      <c r="C174" t="s">
        <v>244</v>
      </c>
      <c r="D174" s="4">
        <v>200</v>
      </c>
      <c r="E174" s="4">
        <v>450</v>
      </c>
      <c r="F174" s="4">
        <v>500</v>
      </c>
    </row>
    <row r="175" spans="1:6" x14ac:dyDescent="0.35">
      <c r="A175">
        <v>5</v>
      </c>
      <c r="B175">
        <v>10</v>
      </c>
      <c r="C175" t="s">
        <v>245</v>
      </c>
      <c r="D175" s="4">
        <v>0.1</v>
      </c>
      <c r="E175" s="4">
        <v>0.35</v>
      </c>
      <c r="F175" s="4">
        <v>0.5</v>
      </c>
    </row>
    <row r="176" spans="1:6" x14ac:dyDescent="0.35">
      <c r="A176">
        <v>5</v>
      </c>
      <c r="B176">
        <v>11</v>
      </c>
      <c r="C176" t="s">
        <v>741</v>
      </c>
      <c r="D176" s="4">
        <v>0.1</v>
      </c>
      <c r="E176" s="4">
        <v>0.2</v>
      </c>
      <c r="F176" s="4">
        <v>0.5</v>
      </c>
    </row>
    <row r="177" spans="1:6" x14ac:dyDescent="0.35">
      <c r="A177">
        <v>5</v>
      </c>
      <c r="B177">
        <v>12</v>
      </c>
      <c r="C177" t="s">
        <v>742</v>
      </c>
      <c r="D177" s="4">
        <v>0.05</v>
      </c>
      <c r="E177" s="4">
        <v>0.11</v>
      </c>
      <c r="F177" s="4">
        <v>0.2</v>
      </c>
    </row>
    <row r="178" spans="1:6" x14ac:dyDescent="0.35">
      <c r="A178">
        <v>5</v>
      </c>
      <c r="B178">
        <v>13</v>
      </c>
      <c r="C178" t="s">
        <v>743</v>
      </c>
      <c r="D178" s="4">
        <v>0.03</v>
      </c>
      <c r="E178" s="4">
        <v>0.15</v>
      </c>
      <c r="F178" s="4">
        <v>0.25</v>
      </c>
    </row>
    <row r="179" spans="1:6" x14ac:dyDescent="0.35">
      <c r="A179">
        <v>5</v>
      </c>
      <c r="B179">
        <v>14</v>
      </c>
      <c r="C179" t="s">
        <v>744</v>
      </c>
      <c r="D179" s="4">
        <v>0.1</v>
      </c>
      <c r="E179" s="4">
        <v>0.3</v>
      </c>
      <c r="F179" s="4">
        <v>0.8</v>
      </c>
    </row>
    <row r="180" spans="1:6" x14ac:dyDescent="0.35">
      <c r="A180">
        <v>5</v>
      </c>
      <c r="B180">
        <v>15</v>
      </c>
      <c r="C180" t="s">
        <v>745</v>
      </c>
      <c r="D180" s="4">
        <v>0.05</v>
      </c>
      <c r="E180" s="4">
        <v>0.08</v>
      </c>
      <c r="F180" s="4">
        <v>0.3</v>
      </c>
    </row>
    <row r="181" spans="1:6" x14ac:dyDescent="0.35">
      <c r="A181">
        <v>5</v>
      </c>
      <c r="B181">
        <v>16</v>
      </c>
      <c r="C181" t="s">
        <v>746</v>
      </c>
      <c r="D181" s="4">
        <v>0.01</v>
      </c>
      <c r="E181" s="4">
        <v>0.03</v>
      </c>
      <c r="F181" s="4">
        <v>0.1</v>
      </c>
    </row>
    <row r="182" spans="1:6" x14ac:dyDescent="0.35">
      <c r="A182">
        <v>5</v>
      </c>
      <c r="B182">
        <v>17</v>
      </c>
      <c r="C182" t="s">
        <v>747</v>
      </c>
      <c r="D182" s="4">
        <v>0.01</v>
      </c>
      <c r="E182" s="4">
        <v>0.05</v>
      </c>
      <c r="F182" s="4">
        <v>7.0000000000000007E-2</v>
      </c>
    </row>
    <row r="183" spans="1:6" x14ac:dyDescent="0.35">
      <c r="A183">
        <v>5</v>
      </c>
      <c r="B183">
        <v>18</v>
      </c>
      <c r="C183" t="s">
        <v>748</v>
      </c>
      <c r="D183" s="4">
        <v>0.01</v>
      </c>
      <c r="E183" s="4">
        <v>0.02</v>
      </c>
      <c r="F183" s="4">
        <v>0.05</v>
      </c>
    </row>
    <row r="184" spans="1:6" x14ac:dyDescent="0.35">
      <c r="A184">
        <v>5</v>
      </c>
      <c r="B184">
        <v>19</v>
      </c>
      <c r="C184" t="s">
        <v>749</v>
      </c>
      <c r="D184" s="4">
        <v>0.02</v>
      </c>
      <c r="E184" s="4">
        <v>0.05</v>
      </c>
      <c r="F184" s="4">
        <v>0.1</v>
      </c>
    </row>
    <row r="185" spans="1:6" x14ac:dyDescent="0.35">
      <c r="A185">
        <v>5</v>
      </c>
      <c r="B185">
        <v>20</v>
      </c>
      <c r="C185" t="s">
        <v>750</v>
      </c>
      <c r="D185" s="4">
        <v>0.1</v>
      </c>
      <c r="E185" s="4">
        <v>0.18</v>
      </c>
      <c r="F185" s="4">
        <v>0.35</v>
      </c>
    </row>
    <row r="186" spans="1:6" x14ac:dyDescent="0.35">
      <c r="A186">
        <v>5</v>
      </c>
      <c r="B186">
        <v>21</v>
      </c>
      <c r="C186" t="s">
        <v>751</v>
      </c>
      <c r="D186" s="4">
        <v>0.05</v>
      </c>
      <c r="E186" s="4">
        <v>0.21</v>
      </c>
      <c r="F186" s="4">
        <v>0.4</v>
      </c>
    </row>
    <row r="187" spans="1:6" x14ac:dyDescent="0.35">
      <c r="A187">
        <v>5</v>
      </c>
      <c r="B187">
        <v>22</v>
      </c>
      <c r="C187" t="s">
        <v>752</v>
      </c>
      <c r="D187" s="4">
        <v>0.15</v>
      </c>
      <c r="E187" s="4">
        <v>0.2</v>
      </c>
      <c r="F187" s="4">
        <v>0.65</v>
      </c>
    </row>
    <row r="188" spans="1:6" x14ac:dyDescent="0.35">
      <c r="A188">
        <v>5</v>
      </c>
      <c r="B188">
        <v>23</v>
      </c>
      <c r="C188" t="s">
        <v>753</v>
      </c>
      <c r="D188" s="4">
        <v>0.05</v>
      </c>
      <c r="E188" s="4">
        <v>0.13</v>
      </c>
      <c r="F188" s="4">
        <v>0.5</v>
      </c>
    </row>
    <row r="189" spans="1:6" x14ac:dyDescent="0.35">
      <c r="A189">
        <v>5</v>
      </c>
      <c r="B189">
        <v>24</v>
      </c>
      <c r="C189" t="s">
        <v>754</v>
      </c>
      <c r="D189" s="4">
        <v>0.04</v>
      </c>
      <c r="E189" s="4">
        <v>0.21</v>
      </c>
      <c r="F189" s="4">
        <v>0.75</v>
      </c>
    </row>
    <row r="190" spans="1:6" x14ac:dyDescent="0.35">
      <c r="A190">
        <v>5</v>
      </c>
      <c r="B190">
        <v>25</v>
      </c>
      <c r="C190" t="s">
        <v>755</v>
      </c>
      <c r="D190" s="4">
        <v>5.0000000000000001E-3</v>
      </c>
      <c r="E190" s="4">
        <v>7.0000000000000007E-2</v>
      </c>
      <c r="F190" s="4">
        <v>0.12</v>
      </c>
    </row>
    <row r="191" spans="1:6" x14ac:dyDescent="0.35">
      <c r="A191">
        <v>5</v>
      </c>
      <c r="B191">
        <v>26</v>
      </c>
      <c r="C191" t="s">
        <v>756</v>
      </c>
      <c r="D191" s="4">
        <v>0.05</v>
      </c>
      <c r="E191" s="4">
        <v>0.68</v>
      </c>
      <c r="F191" s="4">
        <v>0.9</v>
      </c>
    </row>
    <row r="192" spans="1:6" x14ac:dyDescent="0.35">
      <c r="A192">
        <v>5</v>
      </c>
      <c r="B192">
        <v>27</v>
      </c>
      <c r="C192" t="s">
        <v>757</v>
      </c>
      <c r="D192" s="4">
        <v>0.12</v>
      </c>
      <c r="E192" s="4">
        <v>0.3</v>
      </c>
      <c r="F192" s="4">
        <v>0.85</v>
      </c>
    </row>
    <row r="193" spans="1:6" x14ac:dyDescent="0.35">
      <c r="A193">
        <v>5</v>
      </c>
      <c r="B193">
        <v>28</v>
      </c>
      <c r="C193" t="s">
        <v>758</v>
      </c>
      <c r="D193" s="4">
        <v>0.12</v>
      </c>
      <c r="E193" s="4">
        <v>0.18</v>
      </c>
      <c r="F193" s="4">
        <v>0.38</v>
      </c>
    </row>
    <row r="194" spans="1:6" x14ac:dyDescent="0.35">
      <c r="A194">
        <v>5</v>
      </c>
      <c r="B194">
        <v>29</v>
      </c>
      <c r="C194" t="s">
        <v>759</v>
      </c>
      <c r="D194" s="4">
        <v>0.1</v>
      </c>
      <c r="E194" s="4">
        <v>0.25</v>
      </c>
      <c r="F194" s="4">
        <v>0.5</v>
      </c>
    </row>
    <row r="195" spans="1:6" x14ac:dyDescent="0.35">
      <c r="A195">
        <v>5</v>
      </c>
      <c r="B195">
        <v>30</v>
      </c>
      <c r="C195" t="s">
        <v>760</v>
      </c>
      <c r="D195" s="4">
        <v>0.1</v>
      </c>
      <c r="E195" s="4">
        <v>0.15</v>
      </c>
      <c r="F195" s="4">
        <v>0.2</v>
      </c>
    </row>
    <row r="196" spans="1:6" x14ac:dyDescent="0.35">
      <c r="A196">
        <v>5</v>
      </c>
      <c r="B196">
        <v>31</v>
      </c>
      <c r="C196" t="s">
        <v>761</v>
      </c>
      <c r="D196" s="4">
        <v>0.05</v>
      </c>
      <c r="E196" s="4">
        <v>0.13</v>
      </c>
      <c r="F196" s="4">
        <v>0.65</v>
      </c>
    </row>
    <row r="197" spans="1:6" x14ac:dyDescent="0.35">
      <c r="A197">
        <v>5</v>
      </c>
      <c r="B197">
        <v>32</v>
      </c>
      <c r="C197" t="s">
        <v>762</v>
      </c>
      <c r="D197" s="4">
        <v>0.13</v>
      </c>
      <c r="E197" s="4">
        <v>0.21</v>
      </c>
      <c r="F197" s="4">
        <v>0.45</v>
      </c>
    </row>
    <row r="198" spans="1:6" x14ac:dyDescent="0.35">
      <c r="A198">
        <v>5</v>
      </c>
      <c r="B198">
        <v>33</v>
      </c>
      <c r="C198" t="s">
        <v>763</v>
      </c>
      <c r="D198" s="4">
        <v>0.02</v>
      </c>
      <c r="E198" s="4">
        <v>0.08</v>
      </c>
      <c r="F198" s="4">
        <v>0.5</v>
      </c>
    </row>
    <row r="199" spans="1:6" x14ac:dyDescent="0.35">
      <c r="A199">
        <v>5</v>
      </c>
      <c r="B199">
        <v>34</v>
      </c>
      <c r="C199" t="s">
        <v>764</v>
      </c>
      <c r="D199" s="4">
        <v>0.2</v>
      </c>
      <c r="E199" s="4">
        <v>0.7</v>
      </c>
      <c r="F199" s="4">
        <v>0.9</v>
      </c>
    </row>
    <row r="200" spans="1:6" x14ac:dyDescent="0.35">
      <c r="A200">
        <v>5</v>
      </c>
      <c r="B200">
        <v>35</v>
      </c>
      <c r="C200" t="s">
        <v>765</v>
      </c>
      <c r="D200" s="4">
        <v>0.05</v>
      </c>
      <c r="E200" s="4">
        <v>0.27</v>
      </c>
      <c r="F200" s="4">
        <v>0.4</v>
      </c>
    </row>
    <row r="201" spans="1:6" x14ac:dyDescent="0.35">
      <c r="A201">
        <v>5</v>
      </c>
      <c r="B201">
        <v>36</v>
      </c>
      <c r="C201" t="s">
        <v>766</v>
      </c>
      <c r="D201" s="4">
        <v>0.05</v>
      </c>
      <c r="E201" s="4">
        <v>0.35</v>
      </c>
      <c r="F201" s="4">
        <v>0.4</v>
      </c>
    </row>
    <row r="202" spans="1:6" x14ac:dyDescent="0.35">
      <c r="A202">
        <v>5</v>
      </c>
      <c r="B202">
        <v>37</v>
      </c>
      <c r="C202" t="s">
        <v>767</v>
      </c>
      <c r="D202" s="4">
        <v>0.1</v>
      </c>
      <c r="E202" s="4">
        <v>0.2</v>
      </c>
      <c r="F202" s="4">
        <v>0.3</v>
      </c>
    </row>
    <row r="203" spans="1:6" x14ac:dyDescent="0.35">
      <c r="A203">
        <v>5</v>
      </c>
      <c r="B203">
        <v>38</v>
      </c>
      <c r="C203" t="s">
        <v>768</v>
      </c>
      <c r="D203" s="4">
        <v>0.15</v>
      </c>
      <c r="E203" s="4">
        <v>0.45</v>
      </c>
      <c r="F203" s="4">
        <v>0.55000000000000004</v>
      </c>
    </row>
    <row r="204" spans="1:6" x14ac:dyDescent="0.35">
      <c r="A204">
        <v>5</v>
      </c>
      <c r="B204">
        <v>39</v>
      </c>
      <c r="C204" t="s">
        <v>769</v>
      </c>
      <c r="D204" s="4">
        <v>0.12</v>
      </c>
      <c r="E204" s="4">
        <v>0.37</v>
      </c>
      <c r="F204" s="4">
        <v>0.65</v>
      </c>
    </row>
    <row r="205" spans="1:6" x14ac:dyDescent="0.35">
      <c r="A205">
        <v>5</v>
      </c>
      <c r="B205">
        <v>40</v>
      </c>
      <c r="C205" t="s">
        <v>770</v>
      </c>
      <c r="D205" s="4">
        <v>0.02</v>
      </c>
      <c r="E205" s="4">
        <v>0.15</v>
      </c>
      <c r="F205" s="4">
        <v>0.2</v>
      </c>
    </row>
    <row r="206" spans="1:6" x14ac:dyDescent="0.35">
      <c r="A206">
        <v>5</v>
      </c>
      <c r="B206">
        <v>41</v>
      </c>
      <c r="C206" t="s">
        <v>771</v>
      </c>
      <c r="D206" s="4">
        <v>0.1</v>
      </c>
      <c r="E206" s="4">
        <v>0.45</v>
      </c>
      <c r="F206" s="4">
        <v>0.55000000000000004</v>
      </c>
    </row>
    <row r="207" spans="1:6" x14ac:dyDescent="0.35">
      <c r="A207">
        <v>6</v>
      </c>
      <c r="B207">
        <v>1</v>
      </c>
      <c r="C207" t="s">
        <v>236</v>
      </c>
      <c r="D207" s="4">
        <v>400000</v>
      </c>
      <c r="E207" s="4">
        <v>450000</v>
      </c>
      <c r="F207" s="4">
        <v>500000</v>
      </c>
    </row>
    <row r="208" spans="1:6" x14ac:dyDescent="0.35">
      <c r="A208">
        <v>6</v>
      </c>
      <c r="B208">
        <v>2</v>
      </c>
      <c r="C208" t="s">
        <v>237</v>
      </c>
      <c r="D208" s="4">
        <v>200000</v>
      </c>
      <c r="E208" s="4">
        <v>400000</v>
      </c>
      <c r="F208" s="4">
        <v>450000</v>
      </c>
    </row>
    <row r="209" spans="1:6" x14ac:dyDescent="0.35">
      <c r="A209">
        <v>6</v>
      </c>
      <c r="B209">
        <v>3</v>
      </c>
      <c r="C209" t="s">
        <v>238</v>
      </c>
      <c r="D209" s="4">
        <v>90</v>
      </c>
      <c r="E209" s="4">
        <v>95</v>
      </c>
      <c r="F209" s="4">
        <v>100000</v>
      </c>
    </row>
    <row r="210" spans="1:6" x14ac:dyDescent="0.35">
      <c r="A210">
        <v>6</v>
      </c>
      <c r="B210">
        <v>4</v>
      </c>
      <c r="C210" t="s">
        <v>239</v>
      </c>
      <c r="D210" s="4">
        <v>300000</v>
      </c>
      <c r="E210" s="4">
        <v>350000</v>
      </c>
      <c r="F210" s="4">
        <v>400000</v>
      </c>
    </row>
    <row r="211" spans="1:6" x14ac:dyDescent="0.35">
      <c r="A211">
        <v>6</v>
      </c>
      <c r="B211">
        <v>5</v>
      </c>
      <c r="C211" t="s">
        <v>240</v>
      </c>
      <c r="D211" s="4">
        <v>0.15</v>
      </c>
      <c r="E211" s="4">
        <v>0.2</v>
      </c>
      <c r="F211" s="4">
        <v>0.3</v>
      </c>
    </row>
    <row r="212" spans="1:6" x14ac:dyDescent="0.35">
      <c r="A212">
        <v>6</v>
      </c>
      <c r="B212">
        <v>6</v>
      </c>
      <c r="C212" t="s">
        <v>241</v>
      </c>
      <c r="D212" s="4">
        <v>80</v>
      </c>
      <c r="E212" s="4">
        <v>85</v>
      </c>
      <c r="F212" s="4">
        <v>100</v>
      </c>
    </row>
    <row r="213" spans="1:6" x14ac:dyDescent="0.35">
      <c r="A213">
        <v>6</v>
      </c>
      <c r="B213">
        <v>7</v>
      </c>
      <c r="C213" t="s">
        <v>242</v>
      </c>
      <c r="D213" s="4">
        <v>8000</v>
      </c>
      <c r="E213" s="4">
        <v>9000</v>
      </c>
      <c r="F213" s="4">
        <v>10000</v>
      </c>
    </row>
    <row r="214" spans="1:6" x14ac:dyDescent="0.35">
      <c r="A214">
        <v>6</v>
      </c>
      <c r="B214">
        <v>8</v>
      </c>
      <c r="C214" t="s">
        <v>243</v>
      </c>
      <c r="D214" s="4">
        <v>200</v>
      </c>
      <c r="E214" s="4">
        <v>300</v>
      </c>
      <c r="F214" s="4">
        <v>500</v>
      </c>
    </row>
    <row r="215" spans="1:6" x14ac:dyDescent="0.35">
      <c r="A215">
        <v>6</v>
      </c>
      <c r="B215">
        <v>9</v>
      </c>
      <c r="C215" t="s">
        <v>244</v>
      </c>
      <c r="D215" s="4">
        <v>90000</v>
      </c>
      <c r="E215" s="4">
        <v>95000</v>
      </c>
      <c r="F215" s="4">
        <v>100000</v>
      </c>
    </row>
    <row r="216" spans="1:6" x14ac:dyDescent="0.35">
      <c r="A216">
        <v>6</v>
      </c>
      <c r="B216">
        <v>10</v>
      </c>
      <c r="C216" t="s">
        <v>245</v>
      </c>
      <c r="D216" s="4">
        <v>0.1</v>
      </c>
      <c r="E216" s="4">
        <v>0.15</v>
      </c>
      <c r="F216" s="4">
        <v>0.2</v>
      </c>
    </row>
    <row r="217" spans="1:6" x14ac:dyDescent="0.35">
      <c r="A217">
        <v>6</v>
      </c>
      <c r="B217">
        <v>11</v>
      </c>
      <c r="C217" t="s">
        <v>741</v>
      </c>
      <c r="D217" s="4">
        <v>0.02</v>
      </c>
      <c r="E217" s="4">
        <v>0.03</v>
      </c>
      <c r="F217" s="4">
        <v>0.04</v>
      </c>
    </row>
    <row r="218" spans="1:6" x14ac:dyDescent="0.35">
      <c r="A218">
        <v>6</v>
      </c>
      <c r="B218">
        <v>12</v>
      </c>
      <c r="C218" t="s">
        <v>742</v>
      </c>
      <c r="D218" s="4">
        <v>0.1</v>
      </c>
      <c r="E218" s="4">
        <v>0.18</v>
      </c>
      <c r="F218" s="4">
        <v>0.2</v>
      </c>
    </row>
    <row r="219" spans="1:6" x14ac:dyDescent="0.35">
      <c r="A219">
        <v>6</v>
      </c>
      <c r="B219">
        <v>13</v>
      </c>
      <c r="C219" t="s">
        <v>743</v>
      </c>
      <c r="D219" s="4">
        <v>0.11</v>
      </c>
      <c r="E219" s="4">
        <v>0.13</v>
      </c>
      <c r="F219" s="4">
        <v>0.15</v>
      </c>
    </row>
    <row r="220" spans="1:6" x14ac:dyDescent="0.35">
      <c r="A220">
        <v>6</v>
      </c>
      <c r="B220">
        <v>14</v>
      </c>
      <c r="C220" t="s">
        <v>744</v>
      </c>
      <c r="D220" s="4">
        <v>0.1</v>
      </c>
      <c r="E220" s="4">
        <v>0.18</v>
      </c>
      <c r="F220" s="4">
        <v>0.2</v>
      </c>
    </row>
    <row r="221" spans="1:6" x14ac:dyDescent="0.35">
      <c r="A221">
        <v>6</v>
      </c>
      <c r="B221">
        <v>15</v>
      </c>
      <c r="C221" t="s">
        <v>745</v>
      </c>
      <c r="D221" s="4">
        <v>0.14000000000000001</v>
      </c>
      <c r="E221" s="4">
        <v>0.17</v>
      </c>
      <c r="F221" s="4">
        <v>0.18</v>
      </c>
    </row>
    <row r="222" spans="1:6" x14ac:dyDescent="0.35">
      <c r="A222">
        <v>6</v>
      </c>
      <c r="B222">
        <v>16</v>
      </c>
      <c r="C222" t="s">
        <v>746</v>
      </c>
      <c r="D222" s="4">
        <v>0.09</v>
      </c>
      <c r="E222" s="4">
        <v>0.14000000000000001</v>
      </c>
      <c r="F222" s="4">
        <v>0.17</v>
      </c>
    </row>
    <row r="223" spans="1:6" x14ac:dyDescent="0.35">
      <c r="A223">
        <v>6</v>
      </c>
      <c r="B223">
        <v>17</v>
      </c>
      <c r="C223" t="s">
        <v>747</v>
      </c>
      <c r="D223" s="4">
        <v>0.1</v>
      </c>
      <c r="E223" s="4">
        <v>0.12</v>
      </c>
      <c r="F223" s="4">
        <v>0.14000000000000001</v>
      </c>
    </row>
    <row r="224" spans="1:6" x14ac:dyDescent="0.35">
      <c r="A224">
        <v>6</v>
      </c>
      <c r="B224">
        <v>18</v>
      </c>
      <c r="C224" t="s">
        <v>748</v>
      </c>
      <c r="D224" s="4">
        <v>0.02</v>
      </c>
      <c r="E224" s="4">
        <v>0.05</v>
      </c>
      <c r="F224" s="4">
        <v>0.08</v>
      </c>
    </row>
    <row r="225" spans="1:6" x14ac:dyDescent="0.35">
      <c r="A225">
        <v>6</v>
      </c>
      <c r="B225">
        <v>19</v>
      </c>
      <c r="C225" t="s">
        <v>749</v>
      </c>
      <c r="D225" s="4">
        <v>9.9999999999999995E-8</v>
      </c>
      <c r="E225" s="4">
        <v>9.9999999999999995E-7</v>
      </c>
      <c r="F225" s="4">
        <v>1.0000000000000001E-5</v>
      </c>
    </row>
    <row r="226" spans="1:6" x14ac:dyDescent="0.35">
      <c r="A226">
        <v>6</v>
      </c>
      <c r="B226">
        <v>20</v>
      </c>
      <c r="C226" t="s">
        <v>750</v>
      </c>
      <c r="D226" s="4">
        <v>0.15</v>
      </c>
      <c r="E226" s="4">
        <v>0.24</v>
      </c>
      <c r="F226" s="4">
        <v>0.25</v>
      </c>
    </row>
    <row r="227" spans="1:6" x14ac:dyDescent="0.35">
      <c r="A227">
        <v>6</v>
      </c>
      <c r="B227">
        <v>21</v>
      </c>
      <c r="C227" t="s">
        <v>751</v>
      </c>
      <c r="D227" s="4">
        <v>0.14000000000000001</v>
      </c>
      <c r="E227" s="4">
        <v>0.2</v>
      </c>
      <c r="F227" s="4">
        <v>0.23</v>
      </c>
    </row>
    <row r="228" spans="1:6" x14ac:dyDescent="0.35">
      <c r="A228">
        <v>6</v>
      </c>
      <c r="B228">
        <v>22</v>
      </c>
      <c r="C228" t="s">
        <v>752</v>
      </c>
      <c r="D228" s="4">
        <v>0.1</v>
      </c>
      <c r="E228" s="4">
        <v>0.15</v>
      </c>
      <c r="F228" s="4">
        <v>0.18</v>
      </c>
    </row>
    <row r="229" spans="1:6" x14ac:dyDescent="0.35">
      <c r="A229">
        <v>6</v>
      </c>
      <c r="B229">
        <v>23</v>
      </c>
      <c r="C229" t="s">
        <v>753</v>
      </c>
      <c r="D229" s="4">
        <v>0.1</v>
      </c>
      <c r="E229" s="4">
        <v>0.15</v>
      </c>
      <c r="F229" s="4">
        <v>0.18</v>
      </c>
    </row>
    <row r="230" spans="1:6" x14ac:dyDescent="0.35">
      <c r="A230">
        <v>6</v>
      </c>
      <c r="B230">
        <v>24</v>
      </c>
      <c r="C230" t="s">
        <v>754</v>
      </c>
      <c r="D230" s="4">
        <v>0.11</v>
      </c>
      <c r="E230" s="4">
        <v>0.18</v>
      </c>
      <c r="F230" s="4">
        <v>0.2</v>
      </c>
    </row>
    <row r="231" spans="1:6" x14ac:dyDescent="0.35">
      <c r="A231">
        <v>6</v>
      </c>
      <c r="B231">
        <v>25</v>
      </c>
      <c r="C231" t="s">
        <v>755</v>
      </c>
      <c r="D231" s="4">
        <v>7.0000000000000007E-2</v>
      </c>
      <c r="E231" s="4">
        <v>0.08</v>
      </c>
      <c r="F231" s="4">
        <v>0.11</v>
      </c>
    </row>
    <row r="232" spans="1:6" x14ac:dyDescent="0.35">
      <c r="A232">
        <v>6</v>
      </c>
      <c r="B232">
        <v>26</v>
      </c>
      <c r="C232" t="s">
        <v>756</v>
      </c>
      <c r="D232" s="4">
        <v>0.1</v>
      </c>
      <c r="E232" s="4">
        <v>0.45</v>
      </c>
      <c r="F232" s="4">
        <v>0.65</v>
      </c>
    </row>
    <row r="233" spans="1:6" x14ac:dyDescent="0.35">
      <c r="A233">
        <v>6</v>
      </c>
      <c r="B233">
        <v>27</v>
      </c>
      <c r="C233" t="s">
        <v>757</v>
      </c>
      <c r="D233" s="4">
        <v>0.2</v>
      </c>
      <c r="E233" s="4">
        <v>0.55000000000000004</v>
      </c>
      <c r="F233" s="4">
        <v>0.6</v>
      </c>
    </row>
    <row r="234" spans="1:6" x14ac:dyDescent="0.35">
      <c r="A234">
        <v>6</v>
      </c>
      <c r="B234">
        <v>28</v>
      </c>
      <c r="C234" t="s">
        <v>758</v>
      </c>
      <c r="D234" s="4">
        <v>0.2</v>
      </c>
      <c r="E234" s="4">
        <v>0.25</v>
      </c>
      <c r="F234" s="4">
        <v>0.4</v>
      </c>
    </row>
    <row r="235" spans="1:6" x14ac:dyDescent="0.35">
      <c r="A235">
        <v>6</v>
      </c>
      <c r="B235">
        <v>29</v>
      </c>
      <c r="C235" t="s">
        <v>759</v>
      </c>
      <c r="D235" s="4">
        <v>0.25</v>
      </c>
      <c r="E235" s="4">
        <v>0.35</v>
      </c>
      <c r="F235" s="4">
        <v>0.55000000000000004</v>
      </c>
    </row>
    <row r="236" spans="1:6" x14ac:dyDescent="0.35">
      <c r="A236">
        <v>6</v>
      </c>
      <c r="B236">
        <v>30</v>
      </c>
      <c r="C236" t="s">
        <v>760</v>
      </c>
      <c r="D236" s="4">
        <v>0.1</v>
      </c>
      <c r="E236" s="4">
        <v>0.23</v>
      </c>
      <c r="F236" s="4">
        <v>0.35</v>
      </c>
    </row>
    <row r="237" spans="1:6" x14ac:dyDescent="0.35">
      <c r="A237">
        <v>6</v>
      </c>
      <c r="B237">
        <v>31</v>
      </c>
      <c r="C237" t="s">
        <v>761</v>
      </c>
      <c r="D237" s="4">
        <v>0.06</v>
      </c>
      <c r="E237" s="4">
        <v>0.09</v>
      </c>
      <c r="F237" s="4">
        <v>0.1</v>
      </c>
    </row>
    <row r="238" spans="1:6" x14ac:dyDescent="0.35">
      <c r="A238">
        <v>6</v>
      </c>
      <c r="B238">
        <v>32</v>
      </c>
      <c r="C238" t="s">
        <v>762</v>
      </c>
      <c r="D238" s="4">
        <v>0.03</v>
      </c>
      <c r="E238" s="4">
        <v>0.08</v>
      </c>
      <c r="F238" s="4">
        <v>0.09</v>
      </c>
    </row>
    <row r="239" spans="1:6" x14ac:dyDescent="0.35">
      <c r="A239">
        <v>6</v>
      </c>
      <c r="B239">
        <v>33</v>
      </c>
      <c r="C239" t="s">
        <v>763</v>
      </c>
      <c r="D239" s="4">
        <v>9.9999999999999995E-8</v>
      </c>
      <c r="E239" s="4">
        <v>9.9999999999999995E-7</v>
      </c>
      <c r="F239" s="4">
        <v>1.0000000000000001E-5</v>
      </c>
    </row>
    <row r="240" spans="1:6" x14ac:dyDescent="0.35">
      <c r="A240">
        <v>6</v>
      </c>
      <c r="B240">
        <v>34</v>
      </c>
      <c r="C240" t="s">
        <v>764</v>
      </c>
      <c r="D240" s="4">
        <v>0.15</v>
      </c>
      <c r="E240" s="4">
        <v>0.55000000000000004</v>
      </c>
      <c r="F240" s="4">
        <v>0.7</v>
      </c>
    </row>
    <row r="241" spans="1:6" x14ac:dyDescent="0.35">
      <c r="A241">
        <v>6</v>
      </c>
      <c r="B241">
        <v>35</v>
      </c>
      <c r="C241" t="s">
        <v>765</v>
      </c>
      <c r="D241" s="4">
        <v>0.14000000000000001</v>
      </c>
      <c r="E241" s="4">
        <v>0.45</v>
      </c>
      <c r="F241" s="4">
        <v>0.6</v>
      </c>
    </row>
    <row r="242" spans="1:6" x14ac:dyDescent="0.35">
      <c r="A242">
        <v>6</v>
      </c>
      <c r="B242">
        <v>36</v>
      </c>
      <c r="C242" t="s">
        <v>766</v>
      </c>
      <c r="D242" s="4">
        <v>0.35</v>
      </c>
      <c r="E242" s="4">
        <v>0.45</v>
      </c>
      <c r="F242" s="4">
        <v>0.5</v>
      </c>
    </row>
    <row r="243" spans="1:6" x14ac:dyDescent="0.35">
      <c r="A243">
        <v>6</v>
      </c>
      <c r="B243">
        <v>37</v>
      </c>
      <c r="C243" t="s">
        <v>767</v>
      </c>
      <c r="D243" s="4">
        <v>0.1</v>
      </c>
      <c r="E243" s="4">
        <v>0.15</v>
      </c>
      <c r="F243" s="4">
        <v>0.2</v>
      </c>
    </row>
    <row r="244" spans="1:6" x14ac:dyDescent="0.35">
      <c r="A244">
        <v>6</v>
      </c>
      <c r="B244">
        <v>38</v>
      </c>
      <c r="C244" t="s">
        <v>768</v>
      </c>
      <c r="D244" s="4">
        <v>0.2</v>
      </c>
      <c r="E244" s="4">
        <v>0.4</v>
      </c>
      <c r="F244" s="4">
        <v>0.6</v>
      </c>
    </row>
    <row r="245" spans="1:6" x14ac:dyDescent="0.35">
      <c r="A245">
        <v>6</v>
      </c>
      <c r="B245">
        <v>39</v>
      </c>
      <c r="C245" t="s">
        <v>769</v>
      </c>
      <c r="D245" s="4">
        <v>0.25</v>
      </c>
      <c r="E245" s="4">
        <v>0.3</v>
      </c>
      <c r="F245" s="4">
        <v>0.4</v>
      </c>
    </row>
    <row r="246" spans="1:6" x14ac:dyDescent="0.35">
      <c r="A246">
        <v>6</v>
      </c>
      <c r="B246">
        <v>40</v>
      </c>
      <c r="C246" t="s">
        <v>770</v>
      </c>
      <c r="D246" s="4">
        <v>0.3</v>
      </c>
      <c r="E246" s="4">
        <v>0.35</v>
      </c>
      <c r="F246" s="4">
        <v>0.5</v>
      </c>
    </row>
    <row r="247" spans="1:6" x14ac:dyDescent="0.35">
      <c r="A247">
        <v>6</v>
      </c>
      <c r="B247">
        <v>41</v>
      </c>
      <c r="C247" t="s">
        <v>771</v>
      </c>
      <c r="D247" s="4">
        <v>0.3</v>
      </c>
      <c r="E247" s="4">
        <v>0.35</v>
      </c>
      <c r="F247" s="4">
        <v>0.55000000000000004</v>
      </c>
    </row>
    <row r="248" spans="1:6" x14ac:dyDescent="0.35">
      <c r="A248">
        <v>7</v>
      </c>
      <c r="B248">
        <v>1</v>
      </c>
      <c r="C248" t="s">
        <v>236</v>
      </c>
      <c r="D248" s="4">
        <v>7000</v>
      </c>
      <c r="E248" s="4">
        <v>12000</v>
      </c>
      <c r="F248" s="4">
        <v>20000</v>
      </c>
    </row>
    <row r="249" spans="1:6" x14ac:dyDescent="0.35">
      <c r="A249">
        <v>7</v>
      </c>
      <c r="B249">
        <v>2</v>
      </c>
      <c r="C249" t="s">
        <v>237</v>
      </c>
      <c r="D249" s="4">
        <v>2000</v>
      </c>
      <c r="E249" s="4">
        <v>3500</v>
      </c>
      <c r="F249" s="4">
        <v>7000</v>
      </c>
    </row>
    <row r="250" spans="1:6" x14ac:dyDescent="0.35">
      <c r="A250">
        <v>7</v>
      </c>
      <c r="B250">
        <v>3</v>
      </c>
      <c r="C250" t="s">
        <v>238</v>
      </c>
      <c r="D250" s="4">
        <v>6000</v>
      </c>
      <c r="E250" s="4">
        <v>7000</v>
      </c>
      <c r="F250" s="4">
        <v>10000</v>
      </c>
    </row>
    <row r="251" spans="1:6" x14ac:dyDescent="0.35">
      <c r="A251">
        <v>7</v>
      </c>
      <c r="B251">
        <v>4</v>
      </c>
      <c r="C251" t="s">
        <v>239</v>
      </c>
      <c r="D251" s="4">
        <v>300</v>
      </c>
      <c r="E251" s="4">
        <v>350</v>
      </c>
      <c r="F251" s="4">
        <v>500</v>
      </c>
    </row>
    <row r="252" spans="1:6" x14ac:dyDescent="0.35">
      <c r="A252">
        <v>7</v>
      </c>
      <c r="B252">
        <v>5</v>
      </c>
      <c r="C252" t="s">
        <v>240</v>
      </c>
      <c r="D252" s="4">
        <v>0.05</v>
      </c>
      <c r="E252" s="4">
        <v>0.12</v>
      </c>
      <c r="F252" s="4">
        <v>0.3</v>
      </c>
    </row>
    <row r="253" spans="1:6" x14ac:dyDescent="0.35">
      <c r="A253">
        <v>7</v>
      </c>
      <c r="B253">
        <v>6</v>
      </c>
      <c r="C253" t="s">
        <v>241</v>
      </c>
      <c r="D253" s="4">
        <v>100</v>
      </c>
      <c r="E253" s="4">
        <v>120</v>
      </c>
      <c r="F253" s="4">
        <v>150</v>
      </c>
    </row>
    <row r="254" spans="1:6" x14ac:dyDescent="0.35">
      <c r="A254">
        <v>7</v>
      </c>
      <c r="B254">
        <v>7</v>
      </c>
      <c r="C254" t="s">
        <v>242</v>
      </c>
      <c r="D254" s="4">
        <v>80</v>
      </c>
      <c r="E254" s="4">
        <v>90</v>
      </c>
      <c r="F254" s="4">
        <v>120</v>
      </c>
    </row>
    <row r="255" spans="1:6" x14ac:dyDescent="0.35">
      <c r="A255">
        <v>7</v>
      </c>
      <c r="B255">
        <v>8</v>
      </c>
      <c r="C255" t="s">
        <v>243</v>
      </c>
      <c r="D255" s="4">
        <v>20</v>
      </c>
      <c r="E255" s="4">
        <v>50</v>
      </c>
      <c r="F255" s="4">
        <v>100</v>
      </c>
    </row>
    <row r="256" spans="1:6" x14ac:dyDescent="0.35">
      <c r="A256">
        <v>7</v>
      </c>
      <c r="B256">
        <v>9</v>
      </c>
      <c r="C256" t="s">
        <v>244</v>
      </c>
      <c r="D256" s="4">
        <v>200</v>
      </c>
      <c r="E256" s="4">
        <v>300</v>
      </c>
      <c r="F256" s="4">
        <v>350</v>
      </c>
    </row>
    <row r="257" spans="1:6" x14ac:dyDescent="0.35">
      <c r="A257">
        <v>7</v>
      </c>
      <c r="B257">
        <v>10</v>
      </c>
      <c r="C257" t="s">
        <v>245</v>
      </c>
      <c r="D257" s="4">
        <v>0.05</v>
      </c>
      <c r="E257" s="4">
        <v>0.08</v>
      </c>
      <c r="F257" s="4">
        <v>0.2</v>
      </c>
    </row>
    <row r="258" spans="1:6" x14ac:dyDescent="0.35">
      <c r="A258">
        <v>7</v>
      </c>
      <c r="B258">
        <v>11</v>
      </c>
      <c r="C258" t="s">
        <v>741</v>
      </c>
      <c r="D258" s="4">
        <v>0.15</v>
      </c>
      <c r="E258" s="4">
        <v>0.2</v>
      </c>
      <c r="F258" s="4">
        <v>0.5</v>
      </c>
    </row>
    <row r="259" spans="1:6" x14ac:dyDescent="0.35">
      <c r="A259">
        <v>7</v>
      </c>
      <c r="B259">
        <v>12</v>
      </c>
      <c r="C259" t="s">
        <v>742</v>
      </c>
      <c r="D259" s="4">
        <v>0.02</v>
      </c>
      <c r="E259" s="4">
        <v>0.06</v>
      </c>
      <c r="F259" s="4">
        <v>0.1</v>
      </c>
    </row>
    <row r="260" spans="1:6" x14ac:dyDescent="0.35">
      <c r="A260">
        <v>7</v>
      </c>
      <c r="B260">
        <v>13</v>
      </c>
      <c r="C260" t="s">
        <v>743</v>
      </c>
      <c r="D260" s="4">
        <v>0.05</v>
      </c>
      <c r="E260" s="4">
        <v>0.15</v>
      </c>
      <c r="F260" s="4">
        <v>0.5</v>
      </c>
    </row>
    <row r="261" spans="1:6" x14ac:dyDescent="0.35">
      <c r="A261">
        <v>7</v>
      </c>
      <c r="B261">
        <v>14</v>
      </c>
      <c r="C261" t="s">
        <v>744</v>
      </c>
      <c r="D261" s="4">
        <v>0.2</v>
      </c>
      <c r="E261" s="4">
        <v>0.3</v>
      </c>
      <c r="F261" s="4">
        <v>0.45</v>
      </c>
    </row>
    <row r="262" spans="1:6" x14ac:dyDescent="0.35">
      <c r="A262">
        <v>7</v>
      </c>
      <c r="B262">
        <v>15</v>
      </c>
      <c r="C262" t="s">
        <v>745</v>
      </c>
      <c r="D262" s="4">
        <v>0.05</v>
      </c>
      <c r="E262" s="4">
        <v>0.06</v>
      </c>
      <c r="F262" s="4">
        <v>0.1</v>
      </c>
    </row>
    <row r="263" spans="1:6" x14ac:dyDescent="0.35">
      <c r="A263">
        <v>7</v>
      </c>
      <c r="B263">
        <v>16</v>
      </c>
      <c r="C263" t="s">
        <v>746</v>
      </c>
      <c r="D263" s="4">
        <v>0.02</v>
      </c>
      <c r="E263" s="4">
        <v>0.05</v>
      </c>
      <c r="F263" s="4">
        <v>7.0000000000000007E-2</v>
      </c>
    </row>
    <row r="264" spans="1:6" x14ac:dyDescent="0.35">
      <c r="A264">
        <v>7</v>
      </c>
      <c r="B264">
        <v>17</v>
      </c>
      <c r="C264" t="s">
        <v>747</v>
      </c>
      <c r="D264" s="4">
        <v>5.0000000000000001E-3</v>
      </c>
      <c r="E264" s="4">
        <v>0.01</v>
      </c>
      <c r="F264" s="4">
        <v>0.03</v>
      </c>
    </row>
    <row r="265" spans="1:6" x14ac:dyDescent="0.35">
      <c r="A265">
        <v>7</v>
      </c>
      <c r="B265">
        <v>18</v>
      </c>
      <c r="C265" t="s">
        <v>748</v>
      </c>
      <c r="D265" s="4">
        <v>0.01</v>
      </c>
      <c r="E265" s="4">
        <v>0.02</v>
      </c>
      <c r="F265" s="4">
        <v>2.5000000000000001E-2</v>
      </c>
    </row>
    <row r="266" spans="1:6" x14ac:dyDescent="0.35">
      <c r="A266">
        <v>7</v>
      </c>
      <c r="B266">
        <v>19</v>
      </c>
      <c r="C266" t="s">
        <v>749</v>
      </c>
      <c r="D266" s="4">
        <v>0.1</v>
      </c>
      <c r="E266" s="4">
        <v>0.15</v>
      </c>
      <c r="F266" s="4">
        <v>0.25</v>
      </c>
    </row>
    <row r="267" spans="1:6" x14ac:dyDescent="0.35">
      <c r="A267">
        <v>7</v>
      </c>
      <c r="B267">
        <v>20</v>
      </c>
      <c r="C267" t="s">
        <v>750</v>
      </c>
      <c r="D267" s="4">
        <v>0.05</v>
      </c>
      <c r="E267" s="4">
        <v>0.15</v>
      </c>
      <c r="F267" s="4">
        <v>0.17</v>
      </c>
    </row>
    <row r="268" spans="1:6" x14ac:dyDescent="0.35">
      <c r="A268">
        <v>7</v>
      </c>
      <c r="B268">
        <v>21</v>
      </c>
      <c r="C268" t="s">
        <v>751</v>
      </c>
      <c r="D268" s="4">
        <v>0.1</v>
      </c>
      <c r="E268" s="4">
        <v>0.21</v>
      </c>
      <c r="F268" s="4">
        <v>0.25</v>
      </c>
    </row>
    <row r="269" spans="1:6" x14ac:dyDescent="0.35">
      <c r="A269">
        <v>7</v>
      </c>
      <c r="B269">
        <v>22</v>
      </c>
      <c r="C269" t="s">
        <v>752</v>
      </c>
      <c r="D269" s="4">
        <v>0.15</v>
      </c>
      <c r="E269" s="4">
        <v>0.2</v>
      </c>
      <c r="F269" s="4">
        <v>0.25</v>
      </c>
    </row>
    <row r="270" spans="1:6" x14ac:dyDescent="0.35">
      <c r="A270">
        <v>7</v>
      </c>
      <c r="B270">
        <v>23</v>
      </c>
      <c r="C270" t="s">
        <v>753</v>
      </c>
      <c r="D270" s="4">
        <v>0.05</v>
      </c>
      <c r="E270" s="4">
        <v>0.12</v>
      </c>
      <c r="F270" s="4">
        <v>0.15</v>
      </c>
    </row>
    <row r="271" spans="1:6" x14ac:dyDescent="0.35">
      <c r="A271">
        <v>7</v>
      </c>
      <c r="B271">
        <v>24</v>
      </c>
      <c r="C271" t="s">
        <v>754</v>
      </c>
      <c r="D271" s="4">
        <v>0.05</v>
      </c>
      <c r="E271" s="4">
        <v>0.12</v>
      </c>
      <c r="F271" s="4">
        <v>0.15</v>
      </c>
    </row>
    <row r="272" spans="1:6" x14ac:dyDescent="0.35">
      <c r="A272">
        <v>7</v>
      </c>
      <c r="B272">
        <v>25</v>
      </c>
      <c r="C272" t="s">
        <v>755</v>
      </c>
      <c r="D272" s="4">
        <v>0.15</v>
      </c>
      <c r="E272" s="4">
        <v>0.2</v>
      </c>
      <c r="F272" s="4">
        <v>0.25</v>
      </c>
    </row>
    <row r="273" spans="1:6" x14ac:dyDescent="0.35">
      <c r="A273">
        <v>7</v>
      </c>
      <c r="B273">
        <v>26</v>
      </c>
      <c r="C273" t="s">
        <v>756</v>
      </c>
      <c r="D273" s="4">
        <v>0.55000000000000004</v>
      </c>
      <c r="E273" s="4">
        <v>0.65</v>
      </c>
      <c r="F273" s="4">
        <v>0.7</v>
      </c>
    </row>
    <row r="274" spans="1:6" x14ac:dyDescent="0.35">
      <c r="A274">
        <v>7</v>
      </c>
      <c r="B274">
        <v>27</v>
      </c>
      <c r="C274" t="s">
        <v>757</v>
      </c>
      <c r="D274" s="4">
        <v>0.25</v>
      </c>
      <c r="E274" s="4">
        <v>0.35</v>
      </c>
      <c r="F274" s="4">
        <v>0.4</v>
      </c>
    </row>
    <row r="275" spans="1:6" x14ac:dyDescent="0.35">
      <c r="A275">
        <v>7</v>
      </c>
      <c r="B275">
        <v>28</v>
      </c>
      <c r="C275" t="s">
        <v>758</v>
      </c>
      <c r="D275" s="4">
        <v>0.05</v>
      </c>
      <c r="E275" s="4">
        <v>7.0000000000000007E-2</v>
      </c>
      <c r="F275" s="4">
        <v>0.1</v>
      </c>
    </row>
    <row r="276" spans="1:6" x14ac:dyDescent="0.35">
      <c r="A276">
        <v>7</v>
      </c>
      <c r="B276">
        <v>29</v>
      </c>
      <c r="C276" t="s">
        <v>759</v>
      </c>
      <c r="D276" s="4">
        <v>0.15</v>
      </c>
      <c r="E276" s="4">
        <v>0.25</v>
      </c>
      <c r="F276" s="4">
        <v>0.3</v>
      </c>
    </row>
    <row r="277" spans="1:6" x14ac:dyDescent="0.35">
      <c r="A277">
        <v>7</v>
      </c>
      <c r="B277">
        <v>30</v>
      </c>
      <c r="C277" t="s">
        <v>760</v>
      </c>
      <c r="D277" s="4">
        <v>0.1</v>
      </c>
      <c r="E277" s="4">
        <v>0.2</v>
      </c>
      <c r="F277" s="4">
        <v>0.25</v>
      </c>
    </row>
    <row r="278" spans="1:6" x14ac:dyDescent="0.35">
      <c r="A278">
        <v>7</v>
      </c>
      <c r="B278">
        <v>31</v>
      </c>
      <c r="C278" t="s">
        <v>761</v>
      </c>
      <c r="D278" s="4">
        <v>0.1</v>
      </c>
      <c r="E278" s="4">
        <v>0.15</v>
      </c>
      <c r="F278" s="4">
        <v>0.2</v>
      </c>
    </row>
    <row r="279" spans="1:6" x14ac:dyDescent="0.35">
      <c r="A279">
        <v>7</v>
      </c>
      <c r="B279">
        <v>32</v>
      </c>
      <c r="C279" t="s">
        <v>762</v>
      </c>
      <c r="D279" s="4">
        <v>0.02</v>
      </c>
      <c r="E279" s="4">
        <v>0.05</v>
      </c>
      <c r="F279" s="4">
        <v>0.1</v>
      </c>
    </row>
    <row r="280" spans="1:6" x14ac:dyDescent="0.35">
      <c r="A280">
        <v>7</v>
      </c>
      <c r="B280">
        <v>33</v>
      </c>
      <c r="C280" t="s">
        <v>763</v>
      </c>
      <c r="D280" s="4">
        <v>0.1</v>
      </c>
      <c r="E280" s="4">
        <v>0.25</v>
      </c>
      <c r="F280" s="4">
        <v>0.3</v>
      </c>
    </row>
    <row r="281" spans="1:6" x14ac:dyDescent="0.35">
      <c r="A281">
        <v>7</v>
      </c>
      <c r="B281">
        <v>34</v>
      </c>
      <c r="C281" t="s">
        <v>764</v>
      </c>
      <c r="D281" s="4">
        <v>0.45</v>
      </c>
      <c r="E281" s="4">
        <v>0.55000000000000004</v>
      </c>
      <c r="F281" s="4">
        <v>0.6</v>
      </c>
    </row>
    <row r="282" spans="1:6" x14ac:dyDescent="0.35">
      <c r="A282">
        <v>7</v>
      </c>
      <c r="B282">
        <v>35</v>
      </c>
      <c r="C282" t="s">
        <v>765</v>
      </c>
      <c r="D282" s="4">
        <v>0.4</v>
      </c>
      <c r="E282" s="4">
        <v>0.45</v>
      </c>
      <c r="F282" s="4">
        <v>0.55000000000000004</v>
      </c>
    </row>
    <row r="283" spans="1:6" x14ac:dyDescent="0.35">
      <c r="A283">
        <v>7</v>
      </c>
      <c r="B283">
        <v>36</v>
      </c>
      <c r="C283" t="s">
        <v>766</v>
      </c>
      <c r="D283" s="4">
        <v>0.35</v>
      </c>
      <c r="E283" s="4">
        <v>0.4</v>
      </c>
      <c r="F283" s="4">
        <v>0.45</v>
      </c>
    </row>
    <row r="284" spans="1:6" x14ac:dyDescent="0.35">
      <c r="A284">
        <v>7</v>
      </c>
      <c r="B284">
        <v>37</v>
      </c>
      <c r="C284" t="s">
        <v>767</v>
      </c>
      <c r="D284" s="4">
        <v>0.3</v>
      </c>
      <c r="E284" s="4">
        <v>0.35</v>
      </c>
      <c r="F284" s="4">
        <v>0.4</v>
      </c>
    </row>
    <row r="285" spans="1:6" x14ac:dyDescent="0.35">
      <c r="A285">
        <v>7</v>
      </c>
      <c r="B285">
        <v>38</v>
      </c>
      <c r="C285" t="s">
        <v>768</v>
      </c>
      <c r="D285" s="4">
        <v>0.2</v>
      </c>
      <c r="E285" s="4">
        <v>0.25</v>
      </c>
      <c r="F285" s="4">
        <v>0.3</v>
      </c>
    </row>
    <row r="286" spans="1:6" x14ac:dyDescent="0.35">
      <c r="A286">
        <v>7</v>
      </c>
      <c r="B286">
        <v>39</v>
      </c>
      <c r="C286" t="s">
        <v>769</v>
      </c>
      <c r="D286" s="4">
        <v>0.35</v>
      </c>
      <c r="E286" s="4">
        <v>0.4</v>
      </c>
      <c r="F286" s="4">
        <v>0.5</v>
      </c>
    </row>
    <row r="287" spans="1:6" x14ac:dyDescent="0.35">
      <c r="A287">
        <v>7</v>
      </c>
      <c r="B287">
        <v>40</v>
      </c>
      <c r="C287" t="s">
        <v>770</v>
      </c>
      <c r="D287" s="4">
        <v>0.25</v>
      </c>
      <c r="E287" s="4">
        <v>0.35</v>
      </c>
      <c r="F287" s="4">
        <v>0.4</v>
      </c>
    </row>
    <row r="288" spans="1:6" x14ac:dyDescent="0.35">
      <c r="A288">
        <v>7</v>
      </c>
      <c r="B288">
        <v>41</v>
      </c>
      <c r="C288" t="s">
        <v>771</v>
      </c>
      <c r="D288" s="4">
        <v>0.2</v>
      </c>
      <c r="E288" s="4">
        <v>0.25</v>
      </c>
      <c r="F288" s="4">
        <v>0.35</v>
      </c>
    </row>
    <row r="289" spans="1:6" x14ac:dyDescent="0.35">
      <c r="A289">
        <v>8</v>
      </c>
      <c r="B289">
        <v>1</v>
      </c>
      <c r="C289" t="s">
        <v>236</v>
      </c>
      <c r="D289" s="4">
        <v>200000</v>
      </c>
      <c r="E289" s="4">
        <v>400000</v>
      </c>
      <c r="F289" s="4">
        <v>700000</v>
      </c>
    </row>
    <row r="290" spans="1:6" x14ac:dyDescent="0.35">
      <c r="A290">
        <v>8</v>
      </c>
      <c r="B290">
        <v>2</v>
      </c>
      <c r="C290" t="s">
        <v>237</v>
      </c>
      <c r="D290" s="4">
        <v>150000</v>
      </c>
      <c r="E290" s="4">
        <v>300000</v>
      </c>
      <c r="F290" s="4">
        <v>500000</v>
      </c>
    </row>
    <row r="291" spans="1:6" x14ac:dyDescent="0.35">
      <c r="A291">
        <v>8</v>
      </c>
      <c r="B291">
        <v>3</v>
      </c>
      <c r="C291" t="s">
        <v>238</v>
      </c>
      <c r="D291" s="4">
        <v>1000</v>
      </c>
      <c r="E291" s="4">
        <v>20000</v>
      </c>
      <c r="F291" s="4">
        <v>50000</v>
      </c>
    </row>
    <row r="292" spans="1:6" x14ac:dyDescent="0.35">
      <c r="A292">
        <v>8</v>
      </c>
      <c r="B292">
        <v>4</v>
      </c>
      <c r="C292" t="s">
        <v>239</v>
      </c>
      <c r="D292" s="4">
        <v>50000</v>
      </c>
      <c r="E292" s="4">
        <v>200000</v>
      </c>
      <c r="F292" s="4">
        <v>400000</v>
      </c>
    </row>
    <row r="293" spans="1:6" x14ac:dyDescent="0.35">
      <c r="A293">
        <v>8</v>
      </c>
      <c r="B293">
        <v>5</v>
      </c>
      <c r="C293" t="s">
        <v>240</v>
      </c>
      <c r="D293" s="4">
        <v>0.04</v>
      </c>
      <c r="E293" s="4">
        <v>0.1</v>
      </c>
      <c r="F293" s="4">
        <v>0.2</v>
      </c>
    </row>
    <row r="294" spans="1:6" x14ac:dyDescent="0.35">
      <c r="A294">
        <v>8</v>
      </c>
      <c r="B294">
        <v>6</v>
      </c>
      <c r="C294" t="s">
        <v>241</v>
      </c>
      <c r="D294" s="4">
        <v>400</v>
      </c>
      <c r="E294" s="4">
        <v>1000</v>
      </c>
      <c r="F294" s="4">
        <v>1200</v>
      </c>
    </row>
    <row r="295" spans="1:6" x14ac:dyDescent="0.35">
      <c r="A295">
        <v>8</v>
      </c>
      <c r="B295">
        <v>7</v>
      </c>
      <c r="C295" t="s">
        <v>242</v>
      </c>
      <c r="D295" s="4">
        <v>1000</v>
      </c>
      <c r="E295" s="4">
        <v>5000</v>
      </c>
      <c r="F295" s="4">
        <v>8000</v>
      </c>
    </row>
    <row r="296" spans="1:6" x14ac:dyDescent="0.35">
      <c r="A296">
        <v>8</v>
      </c>
      <c r="B296">
        <v>8</v>
      </c>
      <c r="C296" t="s">
        <v>243</v>
      </c>
      <c r="D296" s="4">
        <v>20</v>
      </c>
      <c r="E296" s="4">
        <v>400</v>
      </c>
      <c r="F296" s="4">
        <v>3000</v>
      </c>
    </row>
    <row r="297" spans="1:6" x14ac:dyDescent="0.35">
      <c r="A297">
        <v>8</v>
      </c>
      <c r="B297">
        <v>9</v>
      </c>
      <c r="C297" t="s">
        <v>244</v>
      </c>
      <c r="D297" s="4">
        <v>400</v>
      </c>
      <c r="E297" s="4">
        <v>16000</v>
      </c>
      <c r="F297" s="4">
        <v>20000</v>
      </c>
    </row>
    <row r="298" spans="1:6" x14ac:dyDescent="0.35">
      <c r="A298">
        <v>8</v>
      </c>
      <c r="B298">
        <v>10</v>
      </c>
      <c r="C298" t="s">
        <v>245</v>
      </c>
      <c r="D298" s="4">
        <v>0.02</v>
      </c>
      <c r="E298" s="4">
        <v>0.05</v>
      </c>
      <c r="F298" s="4">
        <v>0.1</v>
      </c>
    </row>
    <row r="299" spans="1:6" x14ac:dyDescent="0.35">
      <c r="A299">
        <v>8</v>
      </c>
      <c r="B299">
        <v>11</v>
      </c>
      <c r="C299" t="s">
        <v>741</v>
      </c>
      <c r="D299" s="4">
        <v>0.1</v>
      </c>
      <c r="E299" s="4">
        <v>0.25</v>
      </c>
      <c r="F299" s="4">
        <v>0.3</v>
      </c>
    </row>
    <row r="300" spans="1:6" x14ac:dyDescent="0.35">
      <c r="A300">
        <v>8</v>
      </c>
      <c r="B300">
        <v>12</v>
      </c>
      <c r="C300" t="s">
        <v>742</v>
      </c>
      <c r="D300" s="4">
        <v>0.2</v>
      </c>
      <c r="E300" s="4">
        <v>0.3</v>
      </c>
      <c r="F300" s="4">
        <v>0.7</v>
      </c>
    </row>
    <row r="301" spans="1:6" x14ac:dyDescent="0.35">
      <c r="A301">
        <v>8</v>
      </c>
      <c r="B301">
        <v>13</v>
      </c>
      <c r="C301" t="s">
        <v>743</v>
      </c>
      <c r="D301" s="4">
        <v>0.03</v>
      </c>
      <c r="E301" s="4">
        <v>0.05</v>
      </c>
      <c r="F301" s="4">
        <v>0.1</v>
      </c>
    </row>
    <row r="302" spans="1:6" x14ac:dyDescent="0.35">
      <c r="A302">
        <v>8</v>
      </c>
      <c r="B302">
        <v>14</v>
      </c>
      <c r="C302" t="s">
        <v>744</v>
      </c>
      <c r="D302" s="4">
        <v>0.1</v>
      </c>
      <c r="E302" s="4">
        <v>0.2</v>
      </c>
      <c r="F302" s="4">
        <v>0.4</v>
      </c>
    </row>
    <row r="303" spans="1:6" x14ac:dyDescent="0.35">
      <c r="A303">
        <v>8</v>
      </c>
      <c r="B303">
        <v>15</v>
      </c>
      <c r="C303" t="s">
        <v>745</v>
      </c>
      <c r="D303" s="4">
        <v>0.05</v>
      </c>
      <c r="E303" s="4">
        <v>0.1</v>
      </c>
      <c r="F303" s="4">
        <v>0.3</v>
      </c>
    </row>
    <row r="304" spans="1:6" x14ac:dyDescent="0.35">
      <c r="A304">
        <v>8</v>
      </c>
      <c r="B304">
        <v>16</v>
      </c>
      <c r="C304" t="s">
        <v>746</v>
      </c>
      <c r="D304" s="4">
        <v>0.01</v>
      </c>
      <c r="E304" s="4">
        <v>0.05</v>
      </c>
      <c r="F304" s="4">
        <v>0.08</v>
      </c>
    </row>
    <row r="305" spans="1:6" x14ac:dyDescent="0.35">
      <c r="A305">
        <v>8</v>
      </c>
      <c r="B305">
        <v>17</v>
      </c>
      <c r="C305" t="s">
        <v>747</v>
      </c>
      <c r="D305" s="4">
        <v>0.01</v>
      </c>
      <c r="E305" s="4">
        <v>0.02</v>
      </c>
      <c r="F305" s="4">
        <v>0.05</v>
      </c>
    </row>
    <row r="306" spans="1:6" x14ac:dyDescent="0.35">
      <c r="A306">
        <v>8</v>
      </c>
      <c r="B306">
        <v>18</v>
      </c>
      <c r="C306" t="s">
        <v>748</v>
      </c>
      <c r="D306" s="4">
        <v>0.01</v>
      </c>
      <c r="E306" s="4">
        <v>0.03</v>
      </c>
      <c r="F306" s="4">
        <v>0.05</v>
      </c>
    </row>
    <row r="307" spans="1:6" x14ac:dyDescent="0.35">
      <c r="A307">
        <v>8</v>
      </c>
      <c r="B307">
        <v>19</v>
      </c>
      <c r="C307" t="s">
        <v>749</v>
      </c>
      <c r="D307" s="4">
        <v>1E-8</v>
      </c>
      <c r="E307" s="4">
        <v>9.9999999999999995E-8</v>
      </c>
      <c r="F307" s="4">
        <v>9.9999999999999995E-7</v>
      </c>
    </row>
    <row r="308" spans="1:6" x14ac:dyDescent="0.35">
      <c r="A308">
        <v>8</v>
      </c>
      <c r="B308">
        <v>20</v>
      </c>
      <c r="C308" t="s">
        <v>750</v>
      </c>
      <c r="D308" s="4">
        <v>0.2</v>
      </c>
      <c r="E308" s="4">
        <v>0.5</v>
      </c>
      <c r="F308" s="4">
        <v>0.7</v>
      </c>
    </row>
    <row r="309" spans="1:6" x14ac:dyDescent="0.35">
      <c r="A309">
        <v>8</v>
      </c>
      <c r="B309">
        <v>21</v>
      </c>
      <c r="C309" t="s">
        <v>751</v>
      </c>
      <c r="D309" s="4">
        <v>0.2</v>
      </c>
      <c r="E309" s="4">
        <v>0.27</v>
      </c>
      <c r="F309" s="4">
        <v>0.6</v>
      </c>
    </row>
    <row r="310" spans="1:6" x14ac:dyDescent="0.35">
      <c r="A310">
        <v>8</v>
      </c>
      <c r="B310">
        <v>22</v>
      </c>
      <c r="C310" t="s">
        <v>752</v>
      </c>
      <c r="D310" s="4">
        <v>0.05</v>
      </c>
      <c r="E310" s="4">
        <v>0.15</v>
      </c>
      <c r="F310" s="4">
        <v>0.3</v>
      </c>
    </row>
    <row r="311" spans="1:6" x14ac:dyDescent="0.35">
      <c r="A311">
        <v>8</v>
      </c>
      <c r="B311">
        <v>23</v>
      </c>
      <c r="C311" t="s">
        <v>753</v>
      </c>
      <c r="D311" s="4">
        <v>0.02</v>
      </c>
      <c r="E311" s="4">
        <v>0.05</v>
      </c>
      <c r="F311" s="4">
        <v>0.1</v>
      </c>
    </row>
    <row r="312" spans="1:6" x14ac:dyDescent="0.35">
      <c r="A312">
        <v>8</v>
      </c>
      <c r="B312">
        <v>24</v>
      </c>
      <c r="C312" t="s">
        <v>754</v>
      </c>
      <c r="D312" s="4">
        <v>0.01</v>
      </c>
      <c r="E312" s="4">
        <v>0.03</v>
      </c>
      <c r="F312" s="4">
        <v>7.0000000000000007E-2</v>
      </c>
    </row>
    <row r="313" spans="1:6" x14ac:dyDescent="0.35">
      <c r="A313">
        <v>8</v>
      </c>
      <c r="B313">
        <v>25</v>
      </c>
      <c r="C313" t="s">
        <v>755</v>
      </c>
      <c r="D313" s="4">
        <v>1E-8</v>
      </c>
      <c r="E313" s="4">
        <v>9.9999999999999995E-8</v>
      </c>
      <c r="F313" s="4">
        <v>9.9999999999999995E-7</v>
      </c>
    </row>
    <row r="314" spans="1:6" x14ac:dyDescent="0.35">
      <c r="A314">
        <v>8</v>
      </c>
      <c r="B314">
        <v>26</v>
      </c>
      <c r="C314" t="s">
        <v>756</v>
      </c>
      <c r="D314" s="4">
        <v>0.65</v>
      </c>
      <c r="E314" s="4">
        <v>0.7</v>
      </c>
      <c r="F314" s="4">
        <v>0.8</v>
      </c>
    </row>
    <row r="315" spans="1:6" x14ac:dyDescent="0.35">
      <c r="A315">
        <v>8</v>
      </c>
      <c r="B315">
        <v>27</v>
      </c>
      <c r="C315" t="s">
        <v>757</v>
      </c>
      <c r="D315" s="4">
        <v>0.2</v>
      </c>
      <c r="E315" s="4">
        <v>0.3</v>
      </c>
      <c r="F315" s="4">
        <v>0.4</v>
      </c>
    </row>
    <row r="316" spans="1:6" x14ac:dyDescent="0.35">
      <c r="A316">
        <v>8</v>
      </c>
      <c r="B316">
        <v>28</v>
      </c>
      <c r="C316" t="s">
        <v>758</v>
      </c>
      <c r="D316" s="4">
        <v>0.2</v>
      </c>
      <c r="E316" s="4">
        <v>0.5</v>
      </c>
      <c r="F316" s="4">
        <v>0.7</v>
      </c>
    </row>
    <row r="317" spans="1:6" x14ac:dyDescent="0.35">
      <c r="A317">
        <v>8</v>
      </c>
      <c r="B317">
        <v>29</v>
      </c>
      <c r="C317" t="s">
        <v>759</v>
      </c>
      <c r="D317" s="4">
        <v>0.2</v>
      </c>
      <c r="E317" s="4">
        <v>0.27</v>
      </c>
      <c r="F317" s="4">
        <v>0.6</v>
      </c>
    </row>
    <row r="318" spans="1:6" x14ac:dyDescent="0.35">
      <c r="A318">
        <v>8</v>
      </c>
      <c r="B318">
        <v>30</v>
      </c>
      <c r="C318" t="s">
        <v>760</v>
      </c>
      <c r="D318" s="4">
        <v>0.05</v>
      </c>
      <c r="E318" s="4">
        <v>0.15</v>
      </c>
      <c r="F318" s="4">
        <v>0.3</v>
      </c>
    </row>
    <row r="319" spans="1:6" x14ac:dyDescent="0.35">
      <c r="A319">
        <v>8</v>
      </c>
      <c r="B319">
        <v>31</v>
      </c>
      <c r="C319" t="s">
        <v>761</v>
      </c>
      <c r="D319" s="4">
        <v>0.02</v>
      </c>
      <c r="E319" s="4">
        <v>0.05</v>
      </c>
      <c r="F319" s="4">
        <v>0.1</v>
      </c>
    </row>
    <row r="320" spans="1:6" x14ac:dyDescent="0.35">
      <c r="A320">
        <v>8</v>
      </c>
      <c r="B320">
        <v>32</v>
      </c>
      <c r="C320" t="s">
        <v>762</v>
      </c>
      <c r="D320" s="4">
        <v>0.01</v>
      </c>
      <c r="E320" s="4">
        <v>0.03</v>
      </c>
      <c r="F320" s="4">
        <v>7.0000000000000007E-2</v>
      </c>
    </row>
    <row r="321" spans="1:6" x14ac:dyDescent="0.35">
      <c r="A321">
        <v>8</v>
      </c>
      <c r="B321">
        <v>33</v>
      </c>
      <c r="C321" t="s">
        <v>763</v>
      </c>
      <c r="D321" s="4">
        <v>1E-8</v>
      </c>
      <c r="E321" s="4">
        <v>9.9999999999999995E-8</v>
      </c>
      <c r="F321" s="4">
        <v>9.9999999999999995E-7</v>
      </c>
    </row>
    <row r="322" spans="1:6" x14ac:dyDescent="0.35">
      <c r="A322">
        <v>8</v>
      </c>
      <c r="B322">
        <v>34</v>
      </c>
      <c r="C322" t="s">
        <v>764</v>
      </c>
      <c r="D322" s="4">
        <v>0.65</v>
      </c>
      <c r="E322" s="4">
        <v>0.7</v>
      </c>
      <c r="F322" s="4">
        <v>0.8</v>
      </c>
    </row>
    <row r="323" spans="1:6" x14ac:dyDescent="0.35">
      <c r="A323">
        <v>8</v>
      </c>
      <c r="B323">
        <v>35</v>
      </c>
      <c r="C323" t="s">
        <v>765</v>
      </c>
      <c r="D323" s="4">
        <v>0.2</v>
      </c>
      <c r="E323" s="4">
        <v>0.3</v>
      </c>
      <c r="F323" s="4">
        <v>0.4</v>
      </c>
    </row>
    <row r="324" spans="1:6" x14ac:dyDescent="0.35">
      <c r="A324">
        <v>8</v>
      </c>
      <c r="B324">
        <v>36</v>
      </c>
      <c r="C324" t="s">
        <v>766</v>
      </c>
      <c r="D324" s="4">
        <v>0.02</v>
      </c>
      <c r="E324" s="4">
        <v>0.05</v>
      </c>
      <c r="F324" s="4">
        <v>7.0000000000000007E-2</v>
      </c>
    </row>
    <row r="325" spans="1:6" x14ac:dyDescent="0.35">
      <c r="A325">
        <v>8</v>
      </c>
      <c r="B325">
        <v>37</v>
      </c>
      <c r="C325" t="s">
        <v>767</v>
      </c>
      <c r="D325" s="4">
        <v>0.15</v>
      </c>
      <c r="E325" s="4">
        <v>0.3</v>
      </c>
      <c r="F325" s="4">
        <v>0.4</v>
      </c>
    </row>
    <row r="326" spans="1:6" x14ac:dyDescent="0.35">
      <c r="A326">
        <v>8</v>
      </c>
      <c r="B326">
        <v>38</v>
      </c>
      <c r="C326" t="s">
        <v>768</v>
      </c>
      <c r="D326" s="4">
        <v>0.5</v>
      </c>
      <c r="E326" s="4">
        <v>0.65</v>
      </c>
      <c r="F326" s="4">
        <v>0.8</v>
      </c>
    </row>
    <row r="327" spans="1:6" x14ac:dyDescent="0.35">
      <c r="A327">
        <v>8</v>
      </c>
      <c r="B327">
        <v>39</v>
      </c>
      <c r="C327" t="s">
        <v>769</v>
      </c>
      <c r="D327" s="4">
        <v>0.02</v>
      </c>
      <c r="E327" s="4">
        <v>0.05</v>
      </c>
      <c r="F327" s="4">
        <v>7.0000000000000007E-2</v>
      </c>
    </row>
    <row r="328" spans="1:6" x14ac:dyDescent="0.35">
      <c r="A328">
        <v>8</v>
      </c>
      <c r="B328">
        <v>40</v>
      </c>
      <c r="C328" t="s">
        <v>770</v>
      </c>
      <c r="D328" s="4">
        <v>0.12</v>
      </c>
      <c r="E328" s="4">
        <v>0.2</v>
      </c>
      <c r="F328" s="4">
        <v>0.3</v>
      </c>
    </row>
    <row r="329" spans="1:6" x14ac:dyDescent="0.35">
      <c r="A329">
        <v>8</v>
      </c>
      <c r="B329">
        <v>41</v>
      </c>
      <c r="C329" t="s">
        <v>771</v>
      </c>
      <c r="D329" s="4">
        <v>0.5</v>
      </c>
      <c r="E329" s="4">
        <v>0.75</v>
      </c>
      <c r="F329" s="4">
        <v>0.85</v>
      </c>
    </row>
    <row r="330" spans="1:6" x14ac:dyDescent="0.35">
      <c r="A330">
        <v>9</v>
      </c>
      <c r="B330">
        <v>1</v>
      </c>
      <c r="C330" t="s">
        <v>236</v>
      </c>
      <c r="D330" s="4">
        <v>500</v>
      </c>
      <c r="E330" s="4">
        <v>1250</v>
      </c>
      <c r="F330" s="4">
        <v>3000</v>
      </c>
    </row>
    <row r="331" spans="1:6" x14ac:dyDescent="0.35">
      <c r="A331">
        <v>9</v>
      </c>
      <c r="B331">
        <v>2</v>
      </c>
      <c r="C331" t="s">
        <v>237</v>
      </c>
      <c r="D331" s="4">
        <v>100</v>
      </c>
      <c r="E331" s="4">
        <v>230</v>
      </c>
      <c r="F331" s="4">
        <v>1000</v>
      </c>
    </row>
    <row r="332" spans="1:6" x14ac:dyDescent="0.35">
      <c r="A332">
        <v>9</v>
      </c>
      <c r="B332">
        <v>3</v>
      </c>
      <c r="C332" t="s">
        <v>238</v>
      </c>
      <c r="D332" s="4">
        <v>550</v>
      </c>
      <c r="E332" s="4">
        <v>5000</v>
      </c>
      <c r="F332" s="4">
        <v>7500</v>
      </c>
    </row>
    <row r="333" spans="1:6" x14ac:dyDescent="0.35">
      <c r="A333">
        <v>9</v>
      </c>
      <c r="B333">
        <v>4</v>
      </c>
      <c r="C333" t="s">
        <v>239</v>
      </c>
      <c r="D333" s="4">
        <v>10000</v>
      </c>
      <c r="E333" s="4">
        <v>25000</v>
      </c>
      <c r="F333" s="4">
        <v>100000</v>
      </c>
    </row>
    <row r="334" spans="1:6" x14ac:dyDescent="0.35">
      <c r="A334">
        <v>9</v>
      </c>
      <c r="B334">
        <v>5</v>
      </c>
      <c r="C334" t="s">
        <v>240</v>
      </c>
      <c r="D334" s="4">
        <v>5.0000000000000001E-3</v>
      </c>
      <c r="E334" s="4">
        <v>0.05</v>
      </c>
      <c r="F334" s="4">
        <v>0.15</v>
      </c>
    </row>
    <row r="335" spans="1:6" x14ac:dyDescent="0.35">
      <c r="A335">
        <v>9</v>
      </c>
      <c r="B335">
        <v>6</v>
      </c>
      <c r="C335" t="s">
        <v>241</v>
      </c>
      <c r="D335" s="4">
        <v>500</v>
      </c>
      <c r="E335" s="4">
        <v>2000</v>
      </c>
      <c r="F335" s="4">
        <v>4000</v>
      </c>
    </row>
    <row r="336" spans="1:6" x14ac:dyDescent="0.35">
      <c r="A336">
        <v>9</v>
      </c>
      <c r="B336">
        <v>7</v>
      </c>
      <c r="C336" t="s">
        <v>242</v>
      </c>
      <c r="D336" s="4">
        <v>1000</v>
      </c>
      <c r="E336" s="4">
        <v>2500</v>
      </c>
      <c r="F336" s="4">
        <v>3500</v>
      </c>
    </row>
    <row r="337" spans="1:6" x14ac:dyDescent="0.35">
      <c r="A337">
        <v>9</v>
      </c>
      <c r="B337">
        <v>8</v>
      </c>
      <c r="C337" t="s">
        <v>243</v>
      </c>
      <c r="D337" s="4">
        <v>50</v>
      </c>
      <c r="E337" s="4">
        <v>200</v>
      </c>
      <c r="F337" s="4">
        <v>300</v>
      </c>
    </row>
    <row r="338" spans="1:6" x14ac:dyDescent="0.35">
      <c r="A338">
        <v>9</v>
      </c>
      <c r="B338">
        <v>9</v>
      </c>
      <c r="C338" t="s">
        <v>244</v>
      </c>
      <c r="D338" s="4">
        <v>10</v>
      </c>
      <c r="E338" s="4">
        <v>100</v>
      </c>
      <c r="F338" s="4">
        <v>2500</v>
      </c>
    </row>
    <row r="339" spans="1:6" x14ac:dyDescent="0.35">
      <c r="A339">
        <v>9</v>
      </c>
      <c r="B339">
        <v>10</v>
      </c>
      <c r="C339" t="s">
        <v>245</v>
      </c>
      <c r="D339" s="4">
        <v>0.02</v>
      </c>
      <c r="E339" s="4">
        <v>0.1</v>
      </c>
      <c r="F339" s="4">
        <v>0.3</v>
      </c>
    </row>
    <row r="340" spans="1:6" x14ac:dyDescent="0.35">
      <c r="A340">
        <v>9</v>
      </c>
      <c r="B340">
        <v>11</v>
      </c>
      <c r="C340" t="s">
        <v>741</v>
      </c>
      <c r="D340" s="4">
        <v>0.05</v>
      </c>
      <c r="E340" s="4">
        <v>0.2</v>
      </c>
      <c r="F340" s="4">
        <v>0.3</v>
      </c>
    </row>
    <row r="341" spans="1:6" x14ac:dyDescent="0.35">
      <c r="A341">
        <v>9</v>
      </c>
      <c r="B341">
        <v>12</v>
      </c>
      <c r="C341" t="s">
        <v>742</v>
      </c>
      <c r="D341" s="4">
        <v>0.05</v>
      </c>
      <c r="E341" s="4">
        <v>0.16</v>
      </c>
      <c r="F341" s="4">
        <v>0.25</v>
      </c>
    </row>
    <row r="342" spans="1:6" x14ac:dyDescent="0.35">
      <c r="A342">
        <v>9</v>
      </c>
      <c r="B342">
        <v>13</v>
      </c>
      <c r="C342" t="s">
        <v>743</v>
      </c>
      <c r="D342" s="4">
        <v>0.01</v>
      </c>
      <c r="E342" s="4">
        <v>7.0000000000000007E-2</v>
      </c>
      <c r="F342" s="4">
        <v>0.1</v>
      </c>
    </row>
    <row r="343" spans="1:6" x14ac:dyDescent="0.35">
      <c r="A343">
        <v>9</v>
      </c>
      <c r="B343">
        <v>14</v>
      </c>
      <c r="C343" t="s">
        <v>744</v>
      </c>
      <c r="D343" s="4">
        <v>9.9999999999999995E-8</v>
      </c>
      <c r="E343" s="4">
        <v>0.03</v>
      </c>
      <c r="F343" s="4">
        <v>0.1</v>
      </c>
    </row>
    <row r="344" spans="1:6" x14ac:dyDescent="0.35">
      <c r="A344">
        <v>9</v>
      </c>
      <c r="B344">
        <v>15</v>
      </c>
      <c r="C344" t="s">
        <v>745</v>
      </c>
      <c r="D344" s="4">
        <v>9.9999999999999995E-8</v>
      </c>
      <c r="E344" s="4">
        <v>7.0000000000000007E-2</v>
      </c>
      <c r="F344" s="4">
        <v>0.15</v>
      </c>
    </row>
    <row r="345" spans="1:6" x14ac:dyDescent="0.35">
      <c r="A345">
        <v>9</v>
      </c>
      <c r="B345">
        <v>16</v>
      </c>
      <c r="C345" t="s">
        <v>746</v>
      </c>
      <c r="D345" s="4">
        <v>9.9999999999999995E-8</v>
      </c>
      <c r="E345" s="4">
        <v>0.05</v>
      </c>
      <c r="F345" s="4">
        <v>0.1</v>
      </c>
    </row>
    <row r="346" spans="1:6" x14ac:dyDescent="0.35">
      <c r="A346">
        <v>9</v>
      </c>
      <c r="B346">
        <v>17</v>
      </c>
      <c r="C346" t="s">
        <v>747</v>
      </c>
      <c r="D346" s="4">
        <v>9.9999999999999995E-8</v>
      </c>
      <c r="E346" s="4">
        <v>0.05</v>
      </c>
      <c r="F346" s="4">
        <v>0.1</v>
      </c>
    </row>
    <row r="347" spans="1:6" x14ac:dyDescent="0.35">
      <c r="A347">
        <v>9</v>
      </c>
      <c r="B347">
        <v>18</v>
      </c>
      <c r="C347" t="s">
        <v>748</v>
      </c>
      <c r="D347" s="4">
        <v>9.9999999999999995E-8</v>
      </c>
      <c r="E347" s="4">
        <v>0.08</v>
      </c>
      <c r="F347" s="4">
        <v>0.15</v>
      </c>
    </row>
    <row r="348" spans="1:6" x14ac:dyDescent="0.35">
      <c r="A348">
        <v>9</v>
      </c>
      <c r="B348">
        <v>19</v>
      </c>
      <c r="C348" t="s">
        <v>749</v>
      </c>
      <c r="D348" s="4">
        <v>0.1</v>
      </c>
      <c r="E348" s="4">
        <v>0.27</v>
      </c>
      <c r="F348" s="4">
        <v>0.5</v>
      </c>
    </row>
    <row r="349" spans="1:6" x14ac:dyDescent="0.35">
      <c r="A349">
        <v>9</v>
      </c>
      <c r="B349">
        <v>20</v>
      </c>
      <c r="C349" t="s">
        <v>750</v>
      </c>
      <c r="D349" s="4">
        <v>0.05</v>
      </c>
      <c r="E349" s="4">
        <v>0.35</v>
      </c>
      <c r="F349" s="4">
        <v>0.5</v>
      </c>
    </row>
    <row r="350" spans="1:6" x14ac:dyDescent="0.35">
      <c r="A350">
        <v>9</v>
      </c>
      <c r="B350">
        <v>21</v>
      </c>
      <c r="C350" t="s">
        <v>751</v>
      </c>
      <c r="D350" s="4">
        <v>0.1</v>
      </c>
      <c r="E350" s="4">
        <v>0.15</v>
      </c>
      <c r="F350" s="4">
        <v>0.25</v>
      </c>
    </row>
    <row r="351" spans="1:6" x14ac:dyDescent="0.35">
      <c r="A351">
        <v>9</v>
      </c>
      <c r="B351">
        <v>22</v>
      </c>
      <c r="C351" t="s">
        <v>752</v>
      </c>
      <c r="D351" s="4">
        <v>0.01</v>
      </c>
      <c r="E351" s="4">
        <v>0.15</v>
      </c>
      <c r="F351" s="4">
        <v>0.2</v>
      </c>
    </row>
    <row r="352" spans="1:6" x14ac:dyDescent="0.35">
      <c r="A352">
        <v>9</v>
      </c>
      <c r="B352">
        <v>23</v>
      </c>
      <c r="C352" t="s">
        <v>753</v>
      </c>
      <c r="D352" s="4">
        <v>0.01</v>
      </c>
      <c r="E352" s="4">
        <v>0.1</v>
      </c>
      <c r="F352" s="4">
        <v>0.15</v>
      </c>
    </row>
    <row r="353" spans="1:6" x14ac:dyDescent="0.35">
      <c r="A353">
        <v>9</v>
      </c>
      <c r="B353">
        <v>24</v>
      </c>
      <c r="C353" t="s">
        <v>754</v>
      </c>
      <c r="D353" s="4">
        <v>0.02</v>
      </c>
      <c r="E353" s="4">
        <v>0.15</v>
      </c>
      <c r="F353" s="4">
        <v>0.18</v>
      </c>
    </row>
    <row r="354" spans="1:6" x14ac:dyDescent="0.35">
      <c r="A354">
        <v>9</v>
      </c>
      <c r="B354">
        <v>25</v>
      </c>
      <c r="C354" t="s">
        <v>755</v>
      </c>
      <c r="D354" s="4">
        <v>0.01</v>
      </c>
      <c r="E354" s="4">
        <v>7.0000000000000007E-2</v>
      </c>
      <c r="F354" s="4">
        <v>0.2</v>
      </c>
    </row>
    <row r="355" spans="1:6" x14ac:dyDescent="0.35">
      <c r="A355">
        <v>9</v>
      </c>
      <c r="B355">
        <v>26</v>
      </c>
      <c r="C355" t="s">
        <v>756</v>
      </c>
      <c r="D355" s="4">
        <v>0.01</v>
      </c>
      <c r="E355" s="4">
        <v>0.6</v>
      </c>
      <c r="F355" s="4">
        <v>0.85</v>
      </c>
    </row>
    <row r="356" spans="1:6" x14ac:dyDescent="0.35">
      <c r="A356">
        <v>9</v>
      </c>
      <c r="B356">
        <v>27</v>
      </c>
      <c r="C356" t="s">
        <v>757</v>
      </c>
      <c r="D356" s="4">
        <v>9.9999999999999995E-8</v>
      </c>
      <c r="E356" s="4">
        <v>0.4</v>
      </c>
      <c r="F356" s="4">
        <v>0.5</v>
      </c>
    </row>
    <row r="357" spans="1:6" x14ac:dyDescent="0.35">
      <c r="A357">
        <v>9</v>
      </c>
      <c r="B357">
        <v>28</v>
      </c>
      <c r="C357" t="s">
        <v>758</v>
      </c>
      <c r="D357" s="4">
        <v>0.01</v>
      </c>
      <c r="E357" s="4">
        <v>0.1</v>
      </c>
      <c r="F357" s="4">
        <v>0.2</v>
      </c>
    </row>
    <row r="358" spans="1:6" x14ac:dyDescent="0.35">
      <c r="A358">
        <v>9</v>
      </c>
      <c r="B358">
        <v>29</v>
      </c>
      <c r="C358" t="s">
        <v>759</v>
      </c>
      <c r="D358" s="4">
        <v>9.9999999999999995E-8</v>
      </c>
      <c r="E358" s="4">
        <v>0.09</v>
      </c>
      <c r="F358" s="4">
        <v>0.15</v>
      </c>
    </row>
    <row r="359" spans="1:6" x14ac:dyDescent="0.35">
      <c r="A359">
        <v>9</v>
      </c>
      <c r="B359">
        <v>30</v>
      </c>
      <c r="C359" t="s">
        <v>760</v>
      </c>
      <c r="D359" s="4">
        <v>9.9999999999999995E-8</v>
      </c>
      <c r="E359" s="4">
        <v>0.14000000000000001</v>
      </c>
      <c r="F359" s="4">
        <v>0.2</v>
      </c>
    </row>
    <row r="360" spans="1:6" x14ac:dyDescent="0.35">
      <c r="A360">
        <v>9</v>
      </c>
      <c r="B360">
        <v>31</v>
      </c>
      <c r="C360" t="s">
        <v>761</v>
      </c>
      <c r="D360" s="4">
        <v>9.9999999999999995E-8</v>
      </c>
      <c r="E360" s="4">
        <v>0.11</v>
      </c>
      <c r="F360" s="4">
        <v>0.18</v>
      </c>
    </row>
    <row r="361" spans="1:6" x14ac:dyDescent="0.35">
      <c r="A361">
        <v>9</v>
      </c>
      <c r="B361">
        <v>32</v>
      </c>
      <c r="C361" t="s">
        <v>762</v>
      </c>
      <c r="D361" s="4">
        <v>0.01</v>
      </c>
      <c r="E361" s="4">
        <v>0.21</v>
      </c>
      <c r="F361" s="4">
        <v>0.35</v>
      </c>
    </row>
    <row r="362" spans="1:6" x14ac:dyDescent="0.35">
      <c r="A362">
        <v>9</v>
      </c>
      <c r="B362">
        <v>33</v>
      </c>
      <c r="C362" t="s">
        <v>763</v>
      </c>
      <c r="D362" s="4">
        <v>0.1</v>
      </c>
      <c r="E362" s="4">
        <v>0.35</v>
      </c>
      <c r="F362" s="4">
        <v>0.6</v>
      </c>
    </row>
    <row r="363" spans="1:6" x14ac:dyDescent="0.35">
      <c r="A363">
        <v>9</v>
      </c>
      <c r="B363">
        <v>34</v>
      </c>
      <c r="C363" t="s">
        <v>764</v>
      </c>
      <c r="D363" s="4">
        <v>0.1</v>
      </c>
      <c r="E363" s="4">
        <v>0.55000000000000004</v>
      </c>
      <c r="F363" s="4">
        <v>0.85</v>
      </c>
    </row>
    <row r="364" spans="1:6" x14ac:dyDescent="0.35">
      <c r="A364">
        <v>9</v>
      </c>
      <c r="B364">
        <v>35</v>
      </c>
      <c r="C364" t="s">
        <v>765</v>
      </c>
      <c r="D364" s="4">
        <v>0.02</v>
      </c>
      <c r="E364" s="4">
        <v>0.45</v>
      </c>
      <c r="F364" s="4">
        <v>0.75</v>
      </c>
    </row>
    <row r="365" spans="1:6" x14ac:dyDescent="0.35">
      <c r="A365">
        <v>9</v>
      </c>
      <c r="B365">
        <v>36</v>
      </c>
      <c r="C365" t="s">
        <v>766</v>
      </c>
      <c r="D365" s="4">
        <v>0.1</v>
      </c>
      <c r="E365" s="4">
        <v>0.45</v>
      </c>
      <c r="F365" s="4">
        <v>0.85</v>
      </c>
    </row>
    <row r="366" spans="1:6" x14ac:dyDescent="0.35">
      <c r="A366">
        <v>9</v>
      </c>
      <c r="B366">
        <v>37</v>
      </c>
      <c r="C366" t="s">
        <v>767</v>
      </c>
      <c r="D366" s="4">
        <v>0.05</v>
      </c>
      <c r="E366" s="4">
        <v>0.37</v>
      </c>
      <c r="F366" s="4">
        <v>0.6</v>
      </c>
    </row>
    <row r="367" spans="1:6" x14ac:dyDescent="0.35">
      <c r="A367">
        <v>9</v>
      </c>
      <c r="B367">
        <v>38</v>
      </c>
      <c r="C367" t="s">
        <v>768</v>
      </c>
      <c r="D367" s="4">
        <v>7.0000000000000007E-2</v>
      </c>
      <c r="E367" s="4">
        <v>0.18</v>
      </c>
      <c r="F367" s="4">
        <v>0.3</v>
      </c>
    </row>
    <row r="368" spans="1:6" x14ac:dyDescent="0.35">
      <c r="A368">
        <v>9</v>
      </c>
      <c r="B368">
        <v>39</v>
      </c>
      <c r="C368" t="s">
        <v>769</v>
      </c>
      <c r="D368" s="4">
        <v>0.25</v>
      </c>
      <c r="E368" s="4">
        <v>0.45</v>
      </c>
      <c r="F368" s="4">
        <v>0.7</v>
      </c>
    </row>
    <row r="369" spans="1:6" x14ac:dyDescent="0.35">
      <c r="A369">
        <v>9</v>
      </c>
      <c r="B369">
        <v>40</v>
      </c>
      <c r="C369" t="s">
        <v>770</v>
      </c>
      <c r="D369" s="4">
        <v>0.1</v>
      </c>
      <c r="E369" s="4">
        <v>0.3</v>
      </c>
      <c r="F369" s="4">
        <v>0.4</v>
      </c>
    </row>
    <row r="370" spans="1:6" x14ac:dyDescent="0.35">
      <c r="A370">
        <v>9</v>
      </c>
      <c r="B370">
        <v>41</v>
      </c>
      <c r="C370" t="s">
        <v>771</v>
      </c>
      <c r="D370" s="4">
        <v>0.1</v>
      </c>
      <c r="E370" s="4">
        <v>0.25</v>
      </c>
      <c r="F370" s="4">
        <v>0.6</v>
      </c>
    </row>
    <row r="371" spans="1:6" x14ac:dyDescent="0.35">
      <c r="A371">
        <v>10</v>
      </c>
      <c r="B371">
        <v>1</v>
      </c>
      <c r="C371" t="s">
        <v>236</v>
      </c>
      <c r="D371" s="4">
        <v>1000</v>
      </c>
      <c r="E371" s="4">
        <v>2050</v>
      </c>
      <c r="F371" s="4">
        <v>5000</v>
      </c>
    </row>
    <row r="372" spans="1:6" x14ac:dyDescent="0.35">
      <c r="A372">
        <v>10</v>
      </c>
      <c r="B372">
        <v>2</v>
      </c>
      <c r="C372" t="s">
        <v>237</v>
      </c>
      <c r="D372" s="4">
        <v>50</v>
      </c>
      <c r="E372" s="4">
        <v>150</v>
      </c>
      <c r="F372" s="4">
        <v>300</v>
      </c>
    </row>
    <row r="373" spans="1:6" x14ac:dyDescent="0.35">
      <c r="A373">
        <v>10</v>
      </c>
      <c r="B373">
        <v>3</v>
      </c>
      <c r="C373" t="s">
        <v>238</v>
      </c>
      <c r="D373" s="4">
        <v>1000000</v>
      </c>
      <c r="E373" s="4">
        <v>3000000</v>
      </c>
      <c r="F373" s="4">
        <v>5000000</v>
      </c>
    </row>
    <row r="374" spans="1:6" x14ac:dyDescent="0.35">
      <c r="A374">
        <v>10</v>
      </c>
      <c r="B374">
        <v>4</v>
      </c>
      <c r="C374" t="s">
        <v>239</v>
      </c>
      <c r="D374" s="4">
        <v>250</v>
      </c>
      <c r="E374" s="4">
        <v>500</v>
      </c>
      <c r="F374" s="4">
        <v>1000</v>
      </c>
    </row>
    <row r="375" spans="1:6" x14ac:dyDescent="0.35">
      <c r="A375">
        <v>10</v>
      </c>
      <c r="B375">
        <v>5</v>
      </c>
      <c r="C375" t="s">
        <v>240</v>
      </c>
      <c r="D375" s="4">
        <v>0.03</v>
      </c>
      <c r="E375" s="4">
        <v>0.1</v>
      </c>
      <c r="F375" s="4">
        <v>0.2</v>
      </c>
    </row>
    <row r="376" spans="1:6" x14ac:dyDescent="0.35">
      <c r="A376">
        <v>10</v>
      </c>
      <c r="B376">
        <v>6</v>
      </c>
      <c r="C376" t="s">
        <v>241</v>
      </c>
      <c r="D376" s="4">
        <v>10</v>
      </c>
      <c r="E376" s="4">
        <v>20</v>
      </c>
      <c r="F376" s="4">
        <v>25</v>
      </c>
    </row>
    <row r="377" spans="1:6" x14ac:dyDescent="0.35">
      <c r="A377">
        <v>10</v>
      </c>
      <c r="B377">
        <v>7</v>
      </c>
      <c r="C377" t="s">
        <v>242</v>
      </c>
      <c r="D377" s="4">
        <v>3</v>
      </c>
      <c r="E377" s="4">
        <v>5</v>
      </c>
      <c r="F377" s="4">
        <v>12</v>
      </c>
    </row>
    <row r="378" spans="1:6" x14ac:dyDescent="0.35">
      <c r="A378">
        <v>10</v>
      </c>
      <c r="B378">
        <v>8</v>
      </c>
      <c r="C378" t="s">
        <v>243</v>
      </c>
      <c r="D378" s="4">
        <v>100</v>
      </c>
      <c r="E378" s="4">
        <v>150</v>
      </c>
      <c r="F378" s="4">
        <v>300</v>
      </c>
    </row>
    <row r="379" spans="1:6" x14ac:dyDescent="0.35">
      <c r="A379">
        <v>10</v>
      </c>
      <c r="B379">
        <v>9</v>
      </c>
      <c r="C379" t="s">
        <v>244</v>
      </c>
      <c r="D379" s="4">
        <v>300</v>
      </c>
      <c r="E379" s="4">
        <v>350</v>
      </c>
      <c r="F379" s="4">
        <v>400</v>
      </c>
    </row>
    <row r="380" spans="1:6" x14ac:dyDescent="0.35">
      <c r="A380">
        <v>10</v>
      </c>
      <c r="B380">
        <v>10</v>
      </c>
      <c r="C380" t="s">
        <v>245</v>
      </c>
      <c r="D380" s="4">
        <v>0.15</v>
      </c>
      <c r="E380" s="4">
        <v>0.25</v>
      </c>
      <c r="F380" s="4">
        <v>0.3</v>
      </c>
    </row>
    <row r="381" spans="1:6" x14ac:dyDescent="0.35">
      <c r="A381">
        <v>10</v>
      </c>
      <c r="B381">
        <v>11</v>
      </c>
      <c r="C381" t="s">
        <v>741</v>
      </c>
      <c r="D381" s="4">
        <v>0.03</v>
      </c>
      <c r="E381" s="4">
        <v>0.15</v>
      </c>
      <c r="F381" s="4">
        <v>0.25</v>
      </c>
    </row>
    <row r="382" spans="1:6" x14ac:dyDescent="0.35">
      <c r="A382">
        <v>10</v>
      </c>
      <c r="B382">
        <v>12</v>
      </c>
      <c r="C382" t="s">
        <v>742</v>
      </c>
      <c r="D382" s="4">
        <v>0.05</v>
      </c>
      <c r="E382" s="4">
        <v>0.15</v>
      </c>
      <c r="F382" s="4">
        <v>0.2</v>
      </c>
    </row>
    <row r="383" spans="1:6" x14ac:dyDescent="0.35">
      <c r="A383">
        <v>10</v>
      </c>
      <c r="B383">
        <v>13</v>
      </c>
      <c r="C383" t="s">
        <v>743</v>
      </c>
      <c r="D383" s="4">
        <v>0.02</v>
      </c>
      <c r="E383" s="4">
        <v>0.12</v>
      </c>
      <c r="F383" s="4">
        <v>0.17</v>
      </c>
    </row>
    <row r="384" spans="1:6" x14ac:dyDescent="0.35">
      <c r="A384">
        <v>10</v>
      </c>
      <c r="B384">
        <v>14</v>
      </c>
      <c r="C384" t="s">
        <v>744</v>
      </c>
      <c r="D384" s="4">
        <v>0.1</v>
      </c>
      <c r="E384" s="4">
        <v>0.25</v>
      </c>
      <c r="F384" s="4">
        <v>0.45</v>
      </c>
    </row>
    <row r="385" spans="1:6" x14ac:dyDescent="0.35">
      <c r="A385">
        <v>10</v>
      </c>
      <c r="B385">
        <v>15</v>
      </c>
      <c r="C385" t="s">
        <v>745</v>
      </c>
      <c r="D385" s="4">
        <v>0.05</v>
      </c>
      <c r="E385" s="4">
        <v>0.12</v>
      </c>
      <c r="F385" s="4">
        <v>0.2</v>
      </c>
    </row>
    <row r="386" spans="1:6" x14ac:dyDescent="0.35">
      <c r="A386">
        <v>10</v>
      </c>
      <c r="B386">
        <v>16</v>
      </c>
      <c r="C386" t="s">
        <v>746</v>
      </c>
      <c r="D386" s="4">
        <v>0.01</v>
      </c>
      <c r="E386" s="4">
        <v>0.03</v>
      </c>
      <c r="F386" s="4">
        <v>0.05</v>
      </c>
    </row>
    <row r="387" spans="1:6" x14ac:dyDescent="0.35">
      <c r="A387">
        <v>10</v>
      </c>
      <c r="B387">
        <v>17</v>
      </c>
      <c r="C387" t="s">
        <v>747</v>
      </c>
      <c r="D387" s="4">
        <v>0.01</v>
      </c>
      <c r="E387" s="4">
        <v>3.5000000000000003E-2</v>
      </c>
      <c r="F387" s="4">
        <v>0.05</v>
      </c>
    </row>
    <row r="388" spans="1:6" x14ac:dyDescent="0.35">
      <c r="A388">
        <v>10</v>
      </c>
      <c r="B388">
        <v>18</v>
      </c>
      <c r="C388" t="s">
        <v>748</v>
      </c>
      <c r="D388" s="4">
        <v>0.01</v>
      </c>
      <c r="E388" s="4">
        <v>5.5E-2</v>
      </c>
      <c r="F388" s="4">
        <v>0.1</v>
      </c>
    </row>
    <row r="389" spans="1:6" x14ac:dyDescent="0.35">
      <c r="A389">
        <v>10</v>
      </c>
      <c r="B389">
        <v>19</v>
      </c>
      <c r="C389" t="s">
        <v>749</v>
      </c>
      <c r="D389" s="4">
        <v>0.03</v>
      </c>
      <c r="E389" s="4">
        <v>5.5E-2</v>
      </c>
      <c r="F389" s="4">
        <v>7.0000000000000007E-2</v>
      </c>
    </row>
    <row r="390" spans="1:6" x14ac:dyDescent="0.35">
      <c r="A390">
        <v>10</v>
      </c>
      <c r="B390">
        <v>20</v>
      </c>
      <c r="C390" t="s">
        <v>750</v>
      </c>
      <c r="D390" s="4">
        <v>0.05</v>
      </c>
      <c r="E390" s="4">
        <v>0.35</v>
      </c>
      <c r="F390" s="4">
        <v>0.5</v>
      </c>
    </row>
    <row r="391" spans="1:6" x14ac:dyDescent="0.35">
      <c r="A391">
        <v>10</v>
      </c>
      <c r="B391">
        <v>21</v>
      </c>
      <c r="C391" t="s">
        <v>751</v>
      </c>
      <c r="D391" s="4">
        <v>0.1</v>
      </c>
      <c r="E391" s="4">
        <v>0.15</v>
      </c>
      <c r="F391" s="4">
        <v>0.25</v>
      </c>
    </row>
    <row r="392" spans="1:6" x14ac:dyDescent="0.35">
      <c r="A392">
        <v>10</v>
      </c>
      <c r="B392">
        <v>22</v>
      </c>
      <c r="C392" t="s">
        <v>752</v>
      </c>
      <c r="D392" s="4">
        <v>0.01</v>
      </c>
      <c r="E392" s="4">
        <v>0.15</v>
      </c>
      <c r="F392" s="4">
        <v>0.2</v>
      </c>
    </row>
    <row r="393" spans="1:6" x14ac:dyDescent="0.35">
      <c r="A393">
        <v>10</v>
      </c>
      <c r="B393">
        <v>23</v>
      </c>
      <c r="C393" t="s">
        <v>753</v>
      </c>
      <c r="D393" s="4">
        <v>0.01</v>
      </c>
      <c r="E393" s="4">
        <v>0.1</v>
      </c>
      <c r="F393" s="4">
        <v>0.15</v>
      </c>
    </row>
    <row r="394" spans="1:6" x14ac:dyDescent="0.35">
      <c r="A394">
        <v>10</v>
      </c>
      <c r="B394">
        <v>24</v>
      </c>
      <c r="C394" t="s">
        <v>754</v>
      </c>
      <c r="D394" s="4">
        <v>0.02</v>
      </c>
      <c r="E394" s="4">
        <v>0.15</v>
      </c>
      <c r="F394" s="4">
        <v>0.18</v>
      </c>
    </row>
    <row r="395" spans="1:6" x14ac:dyDescent="0.35">
      <c r="A395">
        <v>10</v>
      </c>
      <c r="B395">
        <v>25</v>
      </c>
      <c r="C395" t="s">
        <v>755</v>
      </c>
      <c r="D395" s="4">
        <v>0.01</v>
      </c>
      <c r="E395" s="4">
        <v>7.0000000000000007E-2</v>
      </c>
      <c r="F395" s="4">
        <v>0.2</v>
      </c>
    </row>
    <row r="396" spans="1:6" x14ac:dyDescent="0.35">
      <c r="A396">
        <v>10</v>
      </c>
      <c r="B396">
        <v>26</v>
      </c>
      <c r="C396" t="s">
        <v>756</v>
      </c>
      <c r="D396" s="4">
        <v>0.25</v>
      </c>
      <c r="E396" s="4">
        <v>0.5</v>
      </c>
      <c r="F396" s="4">
        <v>0.7</v>
      </c>
    </row>
    <row r="397" spans="1:6" x14ac:dyDescent="0.35">
      <c r="A397">
        <v>10</v>
      </c>
      <c r="B397">
        <v>27</v>
      </c>
      <c r="C397" t="s">
        <v>757</v>
      </c>
      <c r="D397" s="4">
        <v>0.15</v>
      </c>
      <c r="E397" s="4">
        <v>0.47</v>
      </c>
      <c r="F397" s="4">
        <v>0.6</v>
      </c>
    </row>
    <row r="398" spans="1:6" x14ac:dyDescent="0.35">
      <c r="A398">
        <v>10</v>
      </c>
      <c r="B398">
        <v>28</v>
      </c>
      <c r="C398" t="s">
        <v>758</v>
      </c>
      <c r="D398" s="4">
        <v>0.05</v>
      </c>
      <c r="E398" s="4">
        <v>0.21</v>
      </c>
      <c r="F398" s="4">
        <v>0.3</v>
      </c>
    </row>
    <row r="399" spans="1:6" x14ac:dyDescent="0.35">
      <c r="A399">
        <v>10</v>
      </c>
      <c r="B399">
        <v>29</v>
      </c>
      <c r="C399" t="s">
        <v>759</v>
      </c>
      <c r="D399" s="4">
        <v>0.05</v>
      </c>
      <c r="E399" s="4">
        <v>0.15</v>
      </c>
      <c r="F399" s="4">
        <v>0.25</v>
      </c>
    </row>
    <row r="400" spans="1:6" x14ac:dyDescent="0.35">
      <c r="A400">
        <v>10</v>
      </c>
      <c r="B400">
        <v>30</v>
      </c>
      <c r="C400" t="s">
        <v>760</v>
      </c>
      <c r="D400" s="4">
        <v>0.02</v>
      </c>
      <c r="E400" s="4">
        <v>0.15</v>
      </c>
      <c r="F400" s="4">
        <v>0.3</v>
      </c>
    </row>
    <row r="401" spans="1:6" x14ac:dyDescent="0.35">
      <c r="A401">
        <v>10</v>
      </c>
      <c r="B401">
        <v>31</v>
      </c>
      <c r="C401" t="s">
        <v>761</v>
      </c>
      <c r="D401" s="4">
        <v>0.01</v>
      </c>
      <c r="E401" s="4">
        <v>0.05</v>
      </c>
      <c r="F401" s="4">
        <v>0.15</v>
      </c>
    </row>
    <row r="402" spans="1:6" x14ac:dyDescent="0.35">
      <c r="A402">
        <v>10</v>
      </c>
      <c r="B402">
        <v>32</v>
      </c>
      <c r="C402" t="s">
        <v>762</v>
      </c>
      <c r="D402" s="4">
        <v>7.0000000000000007E-2</v>
      </c>
      <c r="E402" s="4">
        <v>0.15</v>
      </c>
      <c r="F402" s="4">
        <v>0.35</v>
      </c>
    </row>
    <row r="403" spans="1:6" x14ac:dyDescent="0.35">
      <c r="A403">
        <v>10</v>
      </c>
      <c r="B403">
        <v>33</v>
      </c>
      <c r="C403" t="s">
        <v>763</v>
      </c>
      <c r="D403" s="4">
        <v>0.1</v>
      </c>
      <c r="E403" s="4">
        <v>0.27</v>
      </c>
      <c r="F403" s="4">
        <v>0.5</v>
      </c>
    </row>
    <row r="404" spans="1:6" x14ac:dyDescent="0.35">
      <c r="A404">
        <v>10</v>
      </c>
      <c r="B404">
        <v>34</v>
      </c>
      <c r="C404" t="s">
        <v>764</v>
      </c>
      <c r="D404" s="4">
        <v>0.2</v>
      </c>
      <c r="E404" s="4">
        <v>0.65</v>
      </c>
      <c r="F404" s="4">
        <v>0.75</v>
      </c>
    </row>
    <row r="405" spans="1:6" x14ac:dyDescent="0.35">
      <c r="A405">
        <v>10</v>
      </c>
      <c r="B405">
        <v>35</v>
      </c>
      <c r="C405" t="s">
        <v>765</v>
      </c>
      <c r="D405" s="4">
        <v>0.1</v>
      </c>
      <c r="E405" s="4">
        <v>0.34</v>
      </c>
      <c r="F405" s="4">
        <v>0.4</v>
      </c>
    </row>
    <row r="406" spans="1:6" x14ac:dyDescent="0.35">
      <c r="A406">
        <v>10</v>
      </c>
      <c r="B406">
        <v>36</v>
      </c>
      <c r="C406" t="s">
        <v>766</v>
      </c>
      <c r="D406" s="4">
        <v>0.1</v>
      </c>
      <c r="E406" s="4">
        <v>0.43</v>
      </c>
      <c r="F406" s="4">
        <v>0.6</v>
      </c>
    </row>
    <row r="407" spans="1:6" x14ac:dyDescent="0.35">
      <c r="A407">
        <v>10</v>
      </c>
      <c r="B407">
        <v>37</v>
      </c>
      <c r="C407" t="s">
        <v>767</v>
      </c>
      <c r="D407" s="4">
        <v>0.05</v>
      </c>
      <c r="E407" s="4">
        <v>0.2</v>
      </c>
      <c r="F407" s="4">
        <v>0.3</v>
      </c>
    </row>
    <row r="408" spans="1:6" x14ac:dyDescent="0.35">
      <c r="A408">
        <v>10</v>
      </c>
      <c r="B408">
        <v>38</v>
      </c>
      <c r="C408" t="s">
        <v>768</v>
      </c>
      <c r="D408" s="4">
        <v>0.2</v>
      </c>
      <c r="E408" s="4">
        <v>0.35</v>
      </c>
      <c r="F408" s="4">
        <v>0.5</v>
      </c>
    </row>
    <row r="409" spans="1:6" x14ac:dyDescent="0.35">
      <c r="A409">
        <v>10</v>
      </c>
      <c r="B409">
        <v>39</v>
      </c>
      <c r="C409" t="s">
        <v>769</v>
      </c>
      <c r="D409" s="4">
        <v>0.15</v>
      </c>
      <c r="E409" s="4">
        <v>0.4</v>
      </c>
      <c r="F409" s="4">
        <v>0.6</v>
      </c>
    </row>
    <row r="410" spans="1:6" x14ac:dyDescent="0.35">
      <c r="A410">
        <v>10</v>
      </c>
      <c r="B410">
        <v>40</v>
      </c>
      <c r="C410" t="s">
        <v>770</v>
      </c>
      <c r="D410" s="4">
        <v>7.0000000000000007E-2</v>
      </c>
      <c r="E410" s="4">
        <v>0.23</v>
      </c>
      <c r="F410" s="4">
        <v>0.4</v>
      </c>
    </row>
    <row r="411" spans="1:6" x14ac:dyDescent="0.35">
      <c r="A411">
        <v>10</v>
      </c>
      <c r="B411">
        <v>41</v>
      </c>
      <c r="C411" t="s">
        <v>771</v>
      </c>
      <c r="D411" s="4">
        <v>0.25</v>
      </c>
      <c r="E411" s="4">
        <v>0.35</v>
      </c>
      <c r="F411" s="4">
        <v>0.55000000000000004</v>
      </c>
    </row>
    <row r="412" spans="1:6" x14ac:dyDescent="0.35">
      <c r="A412">
        <v>11</v>
      </c>
      <c r="B412">
        <v>1</v>
      </c>
      <c r="C412" t="s">
        <v>236</v>
      </c>
      <c r="D412" s="4">
        <v>500000</v>
      </c>
      <c r="E412" s="4">
        <v>750000</v>
      </c>
      <c r="F412" s="4">
        <v>1000000</v>
      </c>
    </row>
    <row r="413" spans="1:6" x14ac:dyDescent="0.35">
      <c r="A413">
        <v>11</v>
      </c>
      <c r="B413">
        <v>2</v>
      </c>
      <c r="C413" t="s">
        <v>237</v>
      </c>
      <c r="D413" s="4">
        <v>10000</v>
      </c>
      <c r="E413" s="4">
        <v>250000</v>
      </c>
      <c r="F413" s="4">
        <v>400000</v>
      </c>
    </row>
    <row r="414" spans="1:6" x14ac:dyDescent="0.35">
      <c r="A414">
        <v>11</v>
      </c>
      <c r="B414">
        <v>3</v>
      </c>
      <c r="C414" t="s">
        <v>238</v>
      </c>
      <c r="D414" s="4">
        <v>20</v>
      </c>
      <c r="E414" s="4">
        <v>500</v>
      </c>
      <c r="F414" s="4">
        <v>1000</v>
      </c>
    </row>
    <row r="415" spans="1:6" x14ac:dyDescent="0.35">
      <c r="A415">
        <v>11</v>
      </c>
      <c r="B415">
        <v>4</v>
      </c>
      <c r="C415" t="s">
        <v>239</v>
      </c>
      <c r="D415" s="4">
        <v>50</v>
      </c>
      <c r="E415" s="4">
        <v>100</v>
      </c>
      <c r="F415" s="4">
        <v>200</v>
      </c>
    </row>
    <row r="416" spans="1:6" x14ac:dyDescent="0.35">
      <c r="A416">
        <v>11</v>
      </c>
      <c r="B416">
        <v>5</v>
      </c>
      <c r="C416" t="s">
        <v>240</v>
      </c>
      <c r="D416" s="4">
        <v>0.05</v>
      </c>
      <c r="E416" s="4">
        <v>0.25</v>
      </c>
      <c r="F416" s="4">
        <v>0.4</v>
      </c>
    </row>
    <row r="417" spans="1:6" x14ac:dyDescent="0.35">
      <c r="A417">
        <v>11</v>
      </c>
      <c r="B417">
        <v>6</v>
      </c>
      <c r="C417" t="s">
        <v>241</v>
      </c>
      <c r="D417" s="4">
        <v>150</v>
      </c>
      <c r="E417" s="4">
        <v>1650</v>
      </c>
      <c r="F417" s="4">
        <v>3000</v>
      </c>
    </row>
    <row r="418" spans="1:6" x14ac:dyDescent="0.35">
      <c r="A418">
        <v>11</v>
      </c>
      <c r="B418">
        <v>7</v>
      </c>
      <c r="C418" t="s">
        <v>242</v>
      </c>
      <c r="D418" s="4">
        <v>50</v>
      </c>
      <c r="E418" s="4">
        <v>500</v>
      </c>
      <c r="F418" s="4">
        <v>1000</v>
      </c>
    </row>
    <row r="419" spans="1:6" x14ac:dyDescent="0.35">
      <c r="A419">
        <v>11</v>
      </c>
      <c r="B419">
        <v>8</v>
      </c>
      <c r="C419" t="s">
        <v>243</v>
      </c>
      <c r="D419" s="4">
        <v>100</v>
      </c>
      <c r="E419" s="4">
        <v>300</v>
      </c>
      <c r="F419" s="4">
        <v>500</v>
      </c>
    </row>
    <row r="420" spans="1:6" x14ac:dyDescent="0.35">
      <c r="A420">
        <v>11</v>
      </c>
      <c r="B420">
        <v>9</v>
      </c>
      <c r="C420" t="s">
        <v>244</v>
      </c>
      <c r="D420" s="4">
        <v>300</v>
      </c>
      <c r="E420" s="4">
        <v>2000</v>
      </c>
      <c r="F420" s="4">
        <v>3500</v>
      </c>
    </row>
    <row r="421" spans="1:6" x14ac:dyDescent="0.35">
      <c r="A421">
        <v>11</v>
      </c>
      <c r="B421">
        <v>10</v>
      </c>
      <c r="C421" t="s">
        <v>245</v>
      </c>
      <c r="D421" s="4">
        <v>2E-3</v>
      </c>
      <c r="E421" s="4">
        <v>0.03</v>
      </c>
      <c r="F421" s="4">
        <v>0.1</v>
      </c>
    </row>
    <row r="422" spans="1:6" x14ac:dyDescent="0.35">
      <c r="A422">
        <v>11</v>
      </c>
      <c r="B422">
        <v>11</v>
      </c>
      <c r="C422" t="s">
        <v>741</v>
      </c>
      <c r="D422" s="4">
        <v>0.08</v>
      </c>
      <c r="E422" s="4">
        <v>0.15</v>
      </c>
      <c r="F422" s="4">
        <v>0.2</v>
      </c>
    </row>
    <row r="423" spans="1:6" x14ac:dyDescent="0.35">
      <c r="A423">
        <v>11</v>
      </c>
      <c r="B423">
        <v>12</v>
      </c>
      <c r="C423" t="s">
        <v>742</v>
      </c>
      <c r="D423" s="4">
        <v>0.06</v>
      </c>
      <c r="E423" s="4">
        <v>0.12</v>
      </c>
      <c r="F423" s="4">
        <v>0.16</v>
      </c>
    </row>
    <row r="424" spans="1:6" x14ac:dyDescent="0.35">
      <c r="A424">
        <v>11</v>
      </c>
      <c r="B424">
        <v>13</v>
      </c>
      <c r="C424" t="s">
        <v>743</v>
      </c>
      <c r="D424" s="4">
        <v>0.05</v>
      </c>
      <c r="E424" s="4">
        <v>0.1</v>
      </c>
      <c r="F424" s="4">
        <v>0.15</v>
      </c>
    </row>
    <row r="425" spans="1:6" x14ac:dyDescent="0.35">
      <c r="A425">
        <v>11</v>
      </c>
      <c r="B425">
        <v>14</v>
      </c>
      <c r="C425" t="s">
        <v>744</v>
      </c>
      <c r="D425" s="4">
        <v>0.1</v>
      </c>
      <c r="E425" s="4">
        <v>0.35</v>
      </c>
      <c r="F425" s="4">
        <v>0.45</v>
      </c>
    </row>
    <row r="426" spans="1:6" x14ac:dyDescent="0.35">
      <c r="A426">
        <v>11</v>
      </c>
      <c r="B426">
        <v>15</v>
      </c>
      <c r="C426" t="s">
        <v>745</v>
      </c>
      <c r="D426" s="4">
        <v>0.05</v>
      </c>
      <c r="E426" s="4">
        <v>0.12</v>
      </c>
      <c r="F426" s="4">
        <v>0.18</v>
      </c>
    </row>
    <row r="427" spans="1:6" x14ac:dyDescent="0.35">
      <c r="A427">
        <v>11</v>
      </c>
      <c r="B427">
        <v>16</v>
      </c>
      <c r="C427" t="s">
        <v>746</v>
      </c>
      <c r="D427" s="4">
        <v>0.01</v>
      </c>
      <c r="E427" s="4">
        <v>0.05</v>
      </c>
      <c r="F427" s="4">
        <v>0.09</v>
      </c>
    </row>
    <row r="428" spans="1:6" x14ac:dyDescent="0.35">
      <c r="A428">
        <v>11</v>
      </c>
      <c r="B428">
        <v>17</v>
      </c>
      <c r="C428" t="s">
        <v>747</v>
      </c>
      <c r="D428" s="4">
        <v>9.9999999999999995E-8</v>
      </c>
      <c r="E428" s="4">
        <v>0.02</v>
      </c>
      <c r="F428" s="4">
        <v>0.04</v>
      </c>
    </row>
    <row r="429" spans="1:6" x14ac:dyDescent="0.35">
      <c r="A429">
        <v>11</v>
      </c>
      <c r="B429">
        <v>18</v>
      </c>
      <c r="C429" t="s">
        <v>748</v>
      </c>
      <c r="D429" s="4">
        <v>9.9999999999999995E-8</v>
      </c>
      <c r="E429" s="4">
        <v>0.01</v>
      </c>
      <c r="F429" s="4">
        <v>0.02</v>
      </c>
    </row>
    <row r="430" spans="1:6" x14ac:dyDescent="0.35">
      <c r="A430">
        <v>11</v>
      </c>
      <c r="B430">
        <v>19</v>
      </c>
      <c r="C430" t="s">
        <v>749</v>
      </c>
      <c r="D430" s="4">
        <v>0.03</v>
      </c>
      <c r="E430" s="4">
        <v>7.0000000000000007E-2</v>
      </c>
      <c r="F430" s="4">
        <v>0.1</v>
      </c>
    </row>
    <row r="431" spans="1:6" x14ac:dyDescent="0.35">
      <c r="A431">
        <v>11</v>
      </c>
      <c r="B431">
        <v>20</v>
      </c>
      <c r="C431" t="s">
        <v>750</v>
      </c>
      <c r="D431" s="4">
        <v>0.08</v>
      </c>
      <c r="E431" s="4">
        <v>0.25</v>
      </c>
      <c r="F431" s="4">
        <v>0.35</v>
      </c>
    </row>
    <row r="432" spans="1:6" x14ac:dyDescent="0.35">
      <c r="A432">
        <v>11</v>
      </c>
      <c r="B432">
        <v>21</v>
      </c>
      <c r="C432" t="s">
        <v>751</v>
      </c>
      <c r="D432" s="4">
        <v>0.1</v>
      </c>
      <c r="E432" s="4">
        <v>0.34</v>
      </c>
      <c r="F432" s="4">
        <v>0.4</v>
      </c>
    </row>
    <row r="433" spans="1:6" x14ac:dyDescent="0.35">
      <c r="A433">
        <v>11</v>
      </c>
      <c r="B433">
        <v>22</v>
      </c>
      <c r="C433" t="s">
        <v>752</v>
      </c>
      <c r="D433" s="4">
        <v>0.02</v>
      </c>
      <c r="E433" s="4">
        <v>0.08</v>
      </c>
      <c r="F433" s="4">
        <v>0.1</v>
      </c>
    </row>
    <row r="434" spans="1:6" x14ac:dyDescent="0.35">
      <c r="A434">
        <v>11</v>
      </c>
      <c r="B434">
        <v>23</v>
      </c>
      <c r="C434" t="s">
        <v>753</v>
      </c>
      <c r="D434" s="4">
        <v>0.01</v>
      </c>
      <c r="E434" s="4">
        <v>7.0000000000000007E-2</v>
      </c>
      <c r="F434" s="4">
        <v>0.12</v>
      </c>
    </row>
    <row r="435" spans="1:6" x14ac:dyDescent="0.35">
      <c r="A435">
        <v>11</v>
      </c>
      <c r="B435">
        <v>24</v>
      </c>
      <c r="C435" t="s">
        <v>754</v>
      </c>
      <c r="D435" s="4">
        <v>0.05</v>
      </c>
      <c r="E435" s="4">
        <v>0.12</v>
      </c>
      <c r="F435" s="4">
        <v>0.15</v>
      </c>
    </row>
    <row r="436" spans="1:6" x14ac:dyDescent="0.35">
      <c r="A436">
        <v>11</v>
      </c>
      <c r="B436">
        <v>25</v>
      </c>
      <c r="C436" t="s">
        <v>755</v>
      </c>
      <c r="D436" s="4">
        <v>0.05</v>
      </c>
      <c r="E436" s="4">
        <v>0.13</v>
      </c>
      <c r="F436" s="4">
        <v>0.18</v>
      </c>
    </row>
    <row r="437" spans="1:6" x14ac:dyDescent="0.35">
      <c r="A437">
        <v>11</v>
      </c>
      <c r="B437">
        <v>26</v>
      </c>
      <c r="C437" t="s">
        <v>756</v>
      </c>
      <c r="D437" s="4">
        <v>0.2</v>
      </c>
      <c r="E437" s="4">
        <v>0.88</v>
      </c>
      <c r="F437" s="4">
        <v>0.96</v>
      </c>
    </row>
    <row r="438" spans="1:6" x14ac:dyDescent="0.35">
      <c r="A438">
        <v>11</v>
      </c>
      <c r="B438">
        <v>27</v>
      </c>
      <c r="C438" t="s">
        <v>757</v>
      </c>
      <c r="D438" s="4">
        <v>0.02</v>
      </c>
      <c r="E438" s="4">
        <v>0.11</v>
      </c>
      <c r="F438" s="4">
        <v>0.18</v>
      </c>
    </row>
    <row r="439" spans="1:6" x14ac:dyDescent="0.35">
      <c r="A439">
        <v>11</v>
      </c>
      <c r="B439">
        <v>28</v>
      </c>
      <c r="C439" t="s">
        <v>758</v>
      </c>
      <c r="D439" s="4">
        <v>0.1</v>
      </c>
      <c r="E439" s="4">
        <v>0.25</v>
      </c>
      <c r="F439" s="4">
        <v>0.4</v>
      </c>
    </row>
    <row r="440" spans="1:6" x14ac:dyDescent="0.35">
      <c r="A440">
        <v>11</v>
      </c>
      <c r="B440">
        <v>29</v>
      </c>
      <c r="C440" t="s">
        <v>759</v>
      </c>
      <c r="D440" s="4">
        <v>0.1</v>
      </c>
      <c r="E440" s="4">
        <v>0.36</v>
      </c>
      <c r="F440" s="4">
        <v>0.45</v>
      </c>
    </row>
    <row r="441" spans="1:6" x14ac:dyDescent="0.35">
      <c r="A441">
        <v>11</v>
      </c>
      <c r="B441">
        <v>30</v>
      </c>
      <c r="C441" t="s">
        <v>760</v>
      </c>
      <c r="D441" s="4">
        <v>0.02</v>
      </c>
      <c r="E441" s="4">
        <v>0.08</v>
      </c>
      <c r="F441" s="4">
        <v>0.12</v>
      </c>
    </row>
    <row r="442" spans="1:6" x14ac:dyDescent="0.35">
      <c r="A442">
        <v>11</v>
      </c>
      <c r="B442">
        <v>31</v>
      </c>
      <c r="C442" t="s">
        <v>761</v>
      </c>
      <c r="D442" s="4">
        <v>0.01</v>
      </c>
      <c r="E442" s="4">
        <v>0.05</v>
      </c>
      <c r="F442" s="4">
        <v>0.12</v>
      </c>
    </row>
    <row r="443" spans="1:6" x14ac:dyDescent="0.35">
      <c r="A443">
        <v>11</v>
      </c>
      <c r="B443">
        <v>32</v>
      </c>
      <c r="C443" t="s">
        <v>762</v>
      </c>
      <c r="D443" s="4">
        <v>0.05</v>
      </c>
      <c r="E443" s="4">
        <v>0.15</v>
      </c>
      <c r="F443" s="4">
        <v>0.2</v>
      </c>
    </row>
    <row r="444" spans="1:6" x14ac:dyDescent="0.35">
      <c r="A444">
        <v>11</v>
      </c>
      <c r="B444">
        <v>33</v>
      </c>
      <c r="C444" t="s">
        <v>763</v>
      </c>
      <c r="D444" s="4">
        <v>0.05</v>
      </c>
      <c r="E444" s="4">
        <v>0.1</v>
      </c>
      <c r="F444" s="4">
        <v>0.15</v>
      </c>
    </row>
    <row r="445" spans="1:6" x14ac:dyDescent="0.35">
      <c r="A445">
        <v>11</v>
      </c>
      <c r="B445">
        <v>34</v>
      </c>
      <c r="C445" t="s">
        <v>764</v>
      </c>
      <c r="D445" s="4">
        <v>0.1</v>
      </c>
      <c r="E445" s="4">
        <v>0.88</v>
      </c>
      <c r="F445" s="4">
        <v>0.95</v>
      </c>
    </row>
    <row r="446" spans="1:6" x14ac:dyDescent="0.35">
      <c r="A446">
        <v>11</v>
      </c>
      <c r="B446">
        <v>35</v>
      </c>
      <c r="C446" t="s">
        <v>765</v>
      </c>
      <c r="D446" s="4">
        <v>0.01</v>
      </c>
      <c r="E446" s="4">
        <v>0.12</v>
      </c>
      <c r="F446" s="4">
        <v>0.15</v>
      </c>
    </row>
    <row r="447" spans="1:6" x14ac:dyDescent="0.35">
      <c r="A447">
        <v>11</v>
      </c>
      <c r="B447">
        <v>36</v>
      </c>
      <c r="C447" t="s">
        <v>766</v>
      </c>
      <c r="D447" s="4">
        <v>0.02</v>
      </c>
      <c r="E447" s="4">
        <v>0.15</v>
      </c>
      <c r="F447" s="4">
        <v>0.25</v>
      </c>
    </row>
    <row r="448" spans="1:6" x14ac:dyDescent="0.35">
      <c r="A448">
        <v>11</v>
      </c>
      <c r="B448">
        <v>37</v>
      </c>
      <c r="C448" t="s">
        <v>767</v>
      </c>
      <c r="D448" s="4">
        <v>0.1</v>
      </c>
      <c r="E448" s="4">
        <v>0.36</v>
      </c>
      <c r="F448" s="4">
        <v>0.45</v>
      </c>
    </row>
    <row r="449" spans="1:6" x14ac:dyDescent="0.35">
      <c r="A449">
        <v>11</v>
      </c>
      <c r="B449">
        <v>38</v>
      </c>
      <c r="C449" t="s">
        <v>768</v>
      </c>
      <c r="D449" s="4">
        <v>0.15</v>
      </c>
      <c r="E449" s="4">
        <v>0.48</v>
      </c>
      <c r="F449" s="4">
        <v>0.65</v>
      </c>
    </row>
    <row r="450" spans="1:6" x14ac:dyDescent="0.35">
      <c r="A450">
        <v>11</v>
      </c>
      <c r="B450">
        <v>39</v>
      </c>
      <c r="C450" t="s">
        <v>769</v>
      </c>
      <c r="D450" s="4">
        <v>0.05</v>
      </c>
      <c r="E450" s="4">
        <v>0.15</v>
      </c>
      <c r="F450" s="4">
        <v>0.25</v>
      </c>
    </row>
    <row r="451" spans="1:6" x14ac:dyDescent="0.35">
      <c r="A451">
        <v>11</v>
      </c>
      <c r="B451">
        <v>40</v>
      </c>
      <c r="C451" t="s">
        <v>770</v>
      </c>
      <c r="D451" s="4">
        <v>0.15</v>
      </c>
      <c r="E451" s="4">
        <v>0.35</v>
      </c>
      <c r="F451" s="4">
        <v>0.45</v>
      </c>
    </row>
    <row r="452" spans="1:6" x14ac:dyDescent="0.35">
      <c r="A452">
        <v>11</v>
      </c>
      <c r="B452">
        <v>41</v>
      </c>
      <c r="C452" t="s">
        <v>771</v>
      </c>
      <c r="D452" s="4">
        <v>0.2</v>
      </c>
      <c r="E452" s="4">
        <v>0.49</v>
      </c>
      <c r="F452" s="4">
        <v>0.55000000000000004</v>
      </c>
    </row>
    <row r="453" spans="1:6" x14ac:dyDescent="0.35">
      <c r="A453">
        <v>12</v>
      </c>
      <c r="B453">
        <v>1</v>
      </c>
      <c r="C453" t="s">
        <v>236</v>
      </c>
      <c r="D453" s="4">
        <v>1500</v>
      </c>
      <c r="E453" s="4">
        <v>35000</v>
      </c>
      <c r="F453" s="4">
        <v>60000</v>
      </c>
    </row>
    <row r="454" spans="1:6" x14ac:dyDescent="0.35">
      <c r="A454">
        <v>12</v>
      </c>
      <c r="B454">
        <v>2</v>
      </c>
      <c r="C454" t="s">
        <v>237</v>
      </c>
      <c r="D454" s="4">
        <v>1000</v>
      </c>
      <c r="E454" s="4">
        <v>12000</v>
      </c>
      <c r="F454" s="4">
        <v>25000</v>
      </c>
    </row>
    <row r="455" spans="1:6" x14ac:dyDescent="0.35">
      <c r="A455">
        <v>12</v>
      </c>
      <c r="B455">
        <v>3</v>
      </c>
      <c r="C455" t="s">
        <v>238</v>
      </c>
      <c r="D455" s="4">
        <v>700</v>
      </c>
      <c r="E455" s="4">
        <v>18000</v>
      </c>
      <c r="F455" s="4">
        <v>30000</v>
      </c>
    </row>
    <row r="456" spans="1:6" x14ac:dyDescent="0.35">
      <c r="A456">
        <v>12</v>
      </c>
      <c r="B456">
        <v>4</v>
      </c>
      <c r="C456" t="s">
        <v>239</v>
      </c>
      <c r="D456" s="4">
        <v>50</v>
      </c>
      <c r="E456" s="4">
        <v>500</v>
      </c>
      <c r="F456" s="4">
        <v>1000</v>
      </c>
    </row>
    <row r="457" spans="1:6" x14ac:dyDescent="0.35">
      <c r="A457">
        <v>12</v>
      </c>
      <c r="B457">
        <v>5</v>
      </c>
      <c r="C457" t="s">
        <v>240</v>
      </c>
      <c r="D457" s="4">
        <v>0.05</v>
      </c>
      <c r="E457" s="4">
        <v>0.15</v>
      </c>
      <c r="F457" s="4">
        <v>0.3</v>
      </c>
    </row>
    <row r="458" spans="1:6" x14ac:dyDescent="0.35">
      <c r="A458">
        <v>12</v>
      </c>
      <c r="B458">
        <v>6</v>
      </c>
      <c r="C458" t="s">
        <v>241</v>
      </c>
      <c r="D458" s="4">
        <v>50</v>
      </c>
      <c r="E458" s="4">
        <v>1000</v>
      </c>
      <c r="F458" s="4">
        <v>2000</v>
      </c>
    </row>
    <row r="459" spans="1:6" x14ac:dyDescent="0.35">
      <c r="A459">
        <v>12</v>
      </c>
      <c r="B459">
        <v>7</v>
      </c>
      <c r="C459" t="s">
        <v>242</v>
      </c>
      <c r="D459" s="4">
        <v>500</v>
      </c>
      <c r="E459" s="4">
        <v>9000</v>
      </c>
      <c r="F459" s="4">
        <v>15000</v>
      </c>
    </row>
    <row r="460" spans="1:6" x14ac:dyDescent="0.35">
      <c r="A460">
        <v>12</v>
      </c>
      <c r="B460">
        <v>8</v>
      </c>
      <c r="C460" t="s">
        <v>243</v>
      </c>
      <c r="D460" s="4">
        <v>1</v>
      </c>
      <c r="E460" s="4">
        <v>100</v>
      </c>
      <c r="F460" s="4">
        <v>400</v>
      </c>
    </row>
    <row r="461" spans="1:6" x14ac:dyDescent="0.35">
      <c r="A461">
        <v>12</v>
      </c>
      <c r="B461">
        <v>9</v>
      </c>
      <c r="C461" t="s">
        <v>244</v>
      </c>
      <c r="D461" s="4">
        <v>100</v>
      </c>
      <c r="E461" s="4">
        <v>600</v>
      </c>
      <c r="F461" s="4">
        <v>900</v>
      </c>
    </row>
    <row r="462" spans="1:6" x14ac:dyDescent="0.35">
      <c r="A462">
        <v>12</v>
      </c>
      <c r="B462">
        <v>10</v>
      </c>
      <c r="C462" t="s">
        <v>245</v>
      </c>
      <c r="D462" s="4">
        <v>0.05</v>
      </c>
      <c r="E462" s="4">
        <v>0.2</v>
      </c>
      <c r="F462" s="4">
        <v>0.35</v>
      </c>
    </row>
    <row r="463" spans="1:6" x14ac:dyDescent="0.35">
      <c r="A463">
        <v>12</v>
      </c>
      <c r="B463">
        <v>11</v>
      </c>
      <c r="C463" t="s">
        <v>741</v>
      </c>
      <c r="D463" s="4">
        <v>0.1</v>
      </c>
      <c r="E463" s="4">
        <v>0.15</v>
      </c>
      <c r="F463" s="4">
        <v>0.3</v>
      </c>
    </row>
    <row r="464" spans="1:6" x14ac:dyDescent="0.35">
      <c r="A464">
        <v>12</v>
      </c>
      <c r="B464">
        <v>12</v>
      </c>
      <c r="C464" t="s">
        <v>742</v>
      </c>
      <c r="D464" s="4">
        <v>0.05</v>
      </c>
      <c r="E464" s="4">
        <v>0.1</v>
      </c>
      <c r="F464" s="4">
        <v>0.15</v>
      </c>
    </row>
    <row r="465" spans="1:6" x14ac:dyDescent="0.35">
      <c r="A465">
        <v>12</v>
      </c>
      <c r="B465">
        <v>13</v>
      </c>
      <c r="C465" t="s">
        <v>743</v>
      </c>
      <c r="D465" s="4">
        <v>0.05</v>
      </c>
      <c r="E465" s="4">
        <v>0.1</v>
      </c>
      <c r="F465" s="4">
        <v>0.2</v>
      </c>
    </row>
    <row r="466" spans="1:6" x14ac:dyDescent="0.35">
      <c r="A466">
        <v>12</v>
      </c>
      <c r="B466">
        <v>14</v>
      </c>
      <c r="C466" t="s">
        <v>744</v>
      </c>
      <c r="D466" s="4">
        <v>0.1</v>
      </c>
      <c r="E466" s="4">
        <v>0.25</v>
      </c>
      <c r="F466" s="4">
        <v>0.5</v>
      </c>
    </row>
    <row r="467" spans="1:6" x14ac:dyDescent="0.35">
      <c r="A467">
        <v>12</v>
      </c>
      <c r="B467">
        <v>15</v>
      </c>
      <c r="C467" t="s">
        <v>745</v>
      </c>
      <c r="D467" s="4">
        <v>0.1</v>
      </c>
      <c r="E467" s="4">
        <v>0.15</v>
      </c>
      <c r="F467" s="4">
        <v>0.4</v>
      </c>
    </row>
    <row r="468" spans="1:6" x14ac:dyDescent="0.35">
      <c r="A468">
        <v>12</v>
      </c>
      <c r="B468">
        <v>16</v>
      </c>
      <c r="C468" t="s">
        <v>746</v>
      </c>
      <c r="D468" s="4">
        <v>0.05</v>
      </c>
      <c r="E468" s="4">
        <v>0.12</v>
      </c>
      <c r="F468" s="4">
        <v>0.3</v>
      </c>
    </row>
    <row r="469" spans="1:6" x14ac:dyDescent="0.35">
      <c r="A469">
        <v>12</v>
      </c>
      <c r="B469">
        <v>17</v>
      </c>
      <c r="C469" t="s">
        <v>747</v>
      </c>
      <c r="D469" s="4">
        <v>0.02</v>
      </c>
      <c r="E469" s="4">
        <v>0.04</v>
      </c>
      <c r="F469" s="4">
        <v>7.0000000000000007E-2</v>
      </c>
    </row>
    <row r="470" spans="1:6" x14ac:dyDescent="0.35">
      <c r="A470">
        <v>12</v>
      </c>
      <c r="B470">
        <v>18</v>
      </c>
      <c r="C470" t="s">
        <v>748</v>
      </c>
      <c r="D470" s="4">
        <v>0.01</v>
      </c>
      <c r="E470" s="4">
        <v>0.02</v>
      </c>
      <c r="F470" s="4">
        <v>0.05</v>
      </c>
    </row>
    <row r="471" spans="1:6" x14ac:dyDescent="0.35">
      <c r="A471">
        <v>12</v>
      </c>
      <c r="B471">
        <v>19</v>
      </c>
      <c r="C471" t="s">
        <v>749</v>
      </c>
      <c r="D471" s="4">
        <v>0.01</v>
      </c>
      <c r="E471" s="4">
        <v>0.05</v>
      </c>
      <c r="F471" s="4">
        <v>0.1</v>
      </c>
    </row>
    <row r="472" spans="1:6" x14ac:dyDescent="0.35">
      <c r="A472">
        <v>12</v>
      </c>
      <c r="B472">
        <v>20</v>
      </c>
      <c r="C472" t="s">
        <v>750</v>
      </c>
      <c r="D472" s="4">
        <v>0.15</v>
      </c>
      <c r="E472" s="4">
        <v>0.35</v>
      </c>
      <c r="F472" s="4">
        <v>0.6</v>
      </c>
    </row>
    <row r="473" spans="1:6" x14ac:dyDescent="0.35">
      <c r="A473">
        <v>12</v>
      </c>
      <c r="B473">
        <v>21</v>
      </c>
      <c r="C473" t="s">
        <v>751</v>
      </c>
      <c r="D473" s="4">
        <v>0.1</v>
      </c>
      <c r="E473" s="4">
        <v>0.25</v>
      </c>
      <c r="F473" s="4">
        <v>0.5</v>
      </c>
    </row>
    <row r="474" spans="1:6" x14ac:dyDescent="0.35">
      <c r="A474">
        <v>12</v>
      </c>
      <c r="B474">
        <v>22</v>
      </c>
      <c r="C474" t="s">
        <v>752</v>
      </c>
      <c r="D474" s="4">
        <v>0.03</v>
      </c>
      <c r="E474" s="4">
        <v>0.1</v>
      </c>
      <c r="F474" s="4">
        <v>0.15</v>
      </c>
    </row>
    <row r="475" spans="1:6" x14ac:dyDescent="0.35">
      <c r="A475">
        <v>12</v>
      </c>
      <c r="B475">
        <v>23</v>
      </c>
      <c r="C475" t="s">
        <v>753</v>
      </c>
      <c r="D475" s="4">
        <v>0.01</v>
      </c>
      <c r="E475" s="4">
        <v>0.05</v>
      </c>
      <c r="F475" s="4">
        <v>0.1</v>
      </c>
    </row>
    <row r="476" spans="1:6" x14ac:dyDescent="0.35">
      <c r="A476">
        <v>12</v>
      </c>
      <c r="B476">
        <v>24</v>
      </c>
      <c r="C476" t="s">
        <v>754</v>
      </c>
      <c r="D476" s="4">
        <v>0.02</v>
      </c>
      <c r="E476" s="4">
        <v>0.1</v>
      </c>
      <c r="F476" s="4">
        <v>0.15</v>
      </c>
    </row>
    <row r="477" spans="1:6" x14ac:dyDescent="0.35">
      <c r="A477">
        <v>12</v>
      </c>
      <c r="B477">
        <v>25</v>
      </c>
      <c r="C477" t="s">
        <v>755</v>
      </c>
      <c r="D477" s="4">
        <v>0.05</v>
      </c>
      <c r="E477" s="4">
        <v>0.15</v>
      </c>
      <c r="F477" s="4">
        <v>0.4</v>
      </c>
    </row>
    <row r="478" spans="1:6" x14ac:dyDescent="0.35">
      <c r="A478">
        <v>12</v>
      </c>
      <c r="B478">
        <v>26</v>
      </c>
      <c r="C478" t="s">
        <v>756</v>
      </c>
      <c r="D478" s="4">
        <v>0.15</v>
      </c>
      <c r="E478" s="4">
        <v>0.7</v>
      </c>
      <c r="F478" s="4">
        <v>0.9</v>
      </c>
    </row>
    <row r="479" spans="1:6" x14ac:dyDescent="0.35">
      <c r="A479">
        <v>12</v>
      </c>
      <c r="B479">
        <v>27</v>
      </c>
      <c r="C479" t="s">
        <v>757</v>
      </c>
      <c r="D479" s="4">
        <v>0.05</v>
      </c>
      <c r="E479" s="4">
        <v>0.3</v>
      </c>
      <c r="F479" s="4">
        <v>0.5</v>
      </c>
    </row>
    <row r="480" spans="1:6" x14ac:dyDescent="0.35">
      <c r="A480">
        <v>12</v>
      </c>
      <c r="B480">
        <v>28</v>
      </c>
      <c r="C480" t="s">
        <v>758</v>
      </c>
      <c r="D480" s="4">
        <v>0.15</v>
      </c>
      <c r="E480" s="4">
        <v>0.35</v>
      </c>
      <c r="F480" s="4">
        <v>0.6</v>
      </c>
    </row>
    <row r="481" spans="1:6" x14ac:dyDescent="0.35">
      <c r="A481">
        <v>12</v>
      </c>
      <c r="B481">
        <v>29</v>
      </c>
      <c r="C481" t="s">
        <v>759</v>
      </c>
      <c r="D481" s="4">
        <v>0.1</v>
      </c>
      <c r="E481" s="4">
        <v>0.25</v>
      </c>
      <c r="F481" s="4">
        <v>0.6</v>
      </c>
    </row>
    <row r="482" spans="1:6" x14ac:dyDescent="0.35">
      <c r="A482">
        <v>12</v>
      </c>
      <c r="B482">
        <v>30</v>
      </c>
      <c r="C482" t="s">
        <v>760</v>
      </c>
      <c r="D482" s="4">
        <v>0.05</v>
      </c>
      <c r="E482" s="4">
        <v>0.1</v>
      </c>
      <c r="F482" s="4">
        <v>0.2</v>
      </c>
    </row>
    <row r="483" spans="1:6" x14ac:dyDescent="0.35">
      <c r="A483">
        <v>12</v>
      </c>
      <c r="B483">
        <v>31</v>
      </c>
      <c r="C483" t="s">
        <v>761</v>
      </c>
      <c r="D483" s="4">
        <v>0.01</v>
      </c>
      <c r="E483" s="4">
        <v>0.05</v>
      </c>
      <c r="F483" s="4">
        <v>5.0999999999999997E-2</v>
      </c>
    </row>
    <row r="484" spans="1:6" x14ac:dyDescent="0.35">
      <c r="A484">
        <v>12</v>
      </c>
      <c r="B484">
        <v>32</v>
      </c>
      <c r="C484" t="s">
        <v>762</v>
      </c>
      <c r="D484" s="4">
        <v>0.02</v>
      </c>
      <c r="E484" s="4">
        <v>0.08</v>
      </c>
      <c r="F484" s="4">
        <v>0.1</v>
      </c>
    </row>
    <row r="485" spans="1:6" x14ac:dyDescent="0.35">
      <c r="A485">
        <v>12</v>
      </c>
      <c r="B485">
        <v>33</v>
      </c>
      <c r="C485" t="s">
        <v>763</v>
      </c>
      <c r="D485" s="4">
        <v>0.05</v>
      </c>
      <c r="E485" s="4">
        <v>0.15</v>
      </c>
      <c r="F485" s="4">
        <v>0.2</v>
      </c>
    </row>
    <row r="486" spans="1:6" x14ac:dyDescent="0.35">
      <c r="A486">
        <v>12</v>
      </c>
      <c r="B486">
        <v>34</v>
      </c>
      <c r="C486" t="s">
        <v>764</v>
      </c>
      <c r="D486" s="4">
        <v>0.2</v>
      </c>
      <c r="E486" s="4">
        <v>0.65</v>
      </c>
      <c r="F486" s="4">
        <v>0.9</v>
      </c>
    </row>
    <row r="487" spans="1:6" x14ac:dyDescent="0.35">
      <c r="A487">
        <v>12</v>
      </c>
      <c r="B487">
        <v>35</v>
      </c>
      <c r="C487" t="s">
        <v>765</v>
      </c>
      <c r="D487" s="4">
        <v>0.1</v>
      </c>
      <c r="E487" s="4">
        <v>0.35</v>
      </c>
      <c r="F487" s="4">
        <v>0.6</v>
      </c>
    </row>
    <row r="488" spans="1:6" x14ac:dyDescent="0.35">
      <c r="A488">
        <v>12</v>
      </c>
      <c r="B488">
        <v>36</v>
      </c>
      <c r="C488" t="s">
        <v>766</v>
      </c>
      <c r="D488" s="4">
        <v>0.05</v>
      </c>
      <c r="E488" s="4">
        <v>0.15</v>
      </c>
      <c r="F488" s="4">
        <v>0.3</v>
      </c>
    </row>
    <row r="489" spans="1:6" x14ac:dyDescent="0.35">
      <c r="A489">
        <v>12</v>
      </c>
      <c r="B489">
        <v>37</v>
      </c>
      <c r="C489" t="s">
        <v>767</v>
      </c>
      <c r="D489" s="4">
        <v>0.15</v>
      </c>
      <c r="E489" s="4">
        <v>0.3</v>
      </c>
      <c r="F489" s="4">
        <v>0.5</v>
      </c>
    </row>
    <row r="490" spans="1:6" x14ac:dyDescent="0.35">
      <c r="A490">
        <v>12</v>
      </c>
      <c r="B490">
        <v>38</v>
      </c>
      <c r="C490" t="s">
        <v>768</v>
      </c>
      <c r="D490" s="4">
        <v>0.2</v>
      </c>
      <c r="E490" s="4">
        <v>0.5</v>
      </c>
      <c r="F490" s="4">
        <v>0.7</v>
      </c>
    </row>
    <row r="491" spans="1:6" x14ac:dyDescent="0.35">
      <c r="A491">
        <v>12</v>
      </c>
      <c r="B491">
        <v>39</v>
      </c>
      <c r="C491" t="s">
        <v>769</v>
      </c>
      <c r="D491" s="4">
        <v>0.05</v>
      </c>
      <c r="E491" s="4">
        <v>0.15</v>
      </c>
      <c r="F491" s="4">
        <v>0.3</v>
      </c>
    </row>
    <row r="492" spans="1:6" x14ac:dyDescent="0.35">
      <c r="A492">
        <v>12</v>
      </c>
      <c r="B492">
        <v>40</v>
      </c>
      <c r="C492" t="s">
        <v>770</v>
      </c>
      <c r="D492" s="4">
        <v>0.15</v>
      </c>
      <c r="E492" s="4">
        <v>0.35</v>
      </c>
      <c r="F492" s="4">
        <v>0.6</v>
      </c>
    </row>
    <row r="493" spans="1:6" x14ac:dyDescent="0.35">
      <c r="A493">
        <v>12</v>
      </c>
      <c r="B493">
        <v>41</v>
      </c>
      <c r="C493" t="s">
        <v>771</v>
      </c>
      <c r="D493" s="4">
        <v>0.2</v>
      </c>
      <c r="E493" s="4">
        <v>0.5</v>
      </c>
      <c r="F493" s="4">
        <v>0.7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4"/>
  <dimension ref="A1:H673"/>
  <sheetViews>
    <sheetView workbookViewId="0"/>
  </sheetViews>
  <sheetFormatPr defaultRowHeight="14.5" x14ac:dyDescent="0.35"/>
  <sheetData>
    <row r="1" spans="1:8" x14ac:dyDescent="0.35">
      <c r="A1" t="s">
        <v>333</v>
      </c>
      <c r="H1" t="s">
        <v>58</v>
      </c>
    </row>
    <row r="2" spans="1:8" x14ac:dyDescent="0.35">
      <c r="A2">
        <v>1</v>
      </c>
      <c r="B2">
        <v>1</v>
      </c>
      <c r="C2" t="s">
        <v>236</v>
      </c>
      <c r="D2" s="4">
        <v>0.15</v>
      </c>
      <c r="E2" s="4">
        <v>0.26</v>
      </c>
      <c r="F2" s="4">
        <v>0.6</v>
      </c>
      <c r="H2" s="4">
        <v>0.11</v>
      </c>
    </row>
    <row r="3" spans="1:8" x14ac:dyDescent="0.35">
      <c r="A3">
        <v>1</v>
      </c>
      <c r="B3">
        <v>2</v>
      </c>
      <c r="C3" t="s">
        <v>237</v>
      </c>
      <c r="D3" s="4">
        <v>15.75</v>
      </c>
      <c r="E3" s="4">
        <v>17.3</v>
      </c>
      <c r="F3" s="4">
        <v>18.5</v>
      </c>
      <c r="H3" s="4">
        <v>15.4</v>
      </c>
    </row>
    <row r="4" spans="1:8" x14ac:dyDescent="0.35">
      <c r="A4">
        <v>1</v>
      </c>
      <c r="B4">
        <v>3</v>
      </c>
      <c r="C4" t="s">
        <v>238</v>
      </c>
      <c r="D4" s="4">
        <v>0.1</v>
      </c>
      <c r="E4" s="4">
        <v>0.25</v>
      </c>
      <c r="F4" s="4">
        <v>0.4</v>
      </c>
      <c r="H4" s="4">
        <v>0.30399999999999999</v>
      </c>
    </row>
    <row r="5" spans="1:8" x14ac:dyDescent="0.35">
      <c r="A5">
        <v>1</v>
      </c>
      <c r="B5">
        <v>4</v>
      </c>
      <c r="C5" t="s">
        <v>239</v>
      </c>
      <c r="D5" s="4">
        <v>2</v>
      </c>
      <c r="E5" s="4">
        <v>16</v>
      </c>
      <c r="F5" s="4">
        <v>52</v>
      </c>
      <c r="H5" s="4">
        <v>3</v>
      </c>
    </row>
    <row r="6" spans="1:8" x14ac:dyDescent="0.35">
      <c r="A6">
        <v>1</v>
      </c>
      <c r="B6">
        <v>5</v>
      </c>
      <c r="C6" t="s">
        <v>240</v>
      </c>
      <c r="D6" s="4">
        <v>0.4</v>
      </c>
      <c r="E6" s="4">
        <v>1</v>
      </c>
      <c r="F6" s="4">
        <v>2.5</v>
      </c>
      <c r="H6" s="4">
        <v>1.46</v>
      </c>
    </row>
    <row r="7" spans="1:8" x14ac:dyDescent="0.35">
      <c r="A7">
        <v>1</v>
      </c>
      <c r="B7">
        <v>6</v>
      </c>
      <c r="C7" t="s">
        <v>241</v>
      </c>
      <c r="D7" s="4">
        <v>1.5</v>
      </c>
      <c r="E7" s="4">
        <v>3</v>
      </c>
      <c r="F7" s="4">
        <v>5</v>
      </c>
      <c r="H7" s="4">
        <v>2.2599999999999998</v>
      </c>
    </row>
    <row r="8" spans="1:8" x14ac:dyDescent="0.35">
      <c r="A8">
        <v>1</v>
      </c>
      <c r="B8">
        <v>7</v>
      </c>
      <c r="C8" t="s">
        <v>242</v>
      </c>
      <c r="D8" s="4">
        <v>113</v>
      </c>
      <c r="E8" s="4">
        <v>677</v>
      </c>
      <c r="F8" s="4">
        <v>1015</v>
      </c>
      <c r="H8" s="4">
        <v>200</v>
      </c>
    </row>
    <row r="9" spans="1:8" x14ac:dyDescent="0.35">
      <c r="A9">
        <v>1</v>
      </c>
      <c r="B9">
        <v>8</v>
      </c>
      <c r="C9" t="s">
        <v>243</v>
      </c>
      <c r="D9" s="4">
        <v>0.25</v>
      </c>
      <c r="E9" s="4">
        <v>0.6</v>
      </c>
      <c r="F9" s="4">
        <v>0.65</v>
      </c>
      <c r="H9" s="4">
        <v>0.82</v>
      </c>
    </row>
    <row r="10" spans="1:8" x14ac:dyDescent="0.35">
      <c r="A10">
        <v>1</v>
      </c>
      <c r="B10">
        <v>9</v>
      </c>
      <c r="C10" t="s">
        <v>244</v>
      </c>
      <c r="D10" s="4">
        <v>0.17</v>
      </c>
      <c r="E10" s="4">
        <v>0.21</v>
      </c>
      <c r="F10" s="4">
        <v>0.26</v>
      </c>
      <c r="H10" s="4">
        <v>0.27</v>
      </c>
    </row>
    <row r="11" spans="1:8" x14ac:dyDescent="0.35">
      <c r="A11">
        <v>1</v>
      </c>
      <c r="B11">
        <v>10</v>
      </c>
      <c r="C11" t="s">
        <v>245</v>
      </c>
      <c r="D11" s="4">
        <v>0.01</v>
      </c>
      <c r="E11" s="4">
        <v>0.25</v>
      </c>
      <c r="F11" s="4">
        <v>0.4</v>
      </c>
      <c r="H11" s="4">
        <v>0.03</v>
      </c>
    </row>
    <row r="12" spans="1:8" x14ac:dyDescent="0.35">
      <c r="A12">
        <v>1</v>
      </c>
      <c r="B12">
        <v>11</v>
      </c>
      <c r="C12" t="s">
        <v>246</v>
      </c>
      <c r="D12" s="4">
        <v>86</v>
      </c>
      <c r="E12" s="4">
        <v>173</v>
      </c>
      <c r="F12" s="4">
        <v>254</v>
      </c>
      <c r="H12" s="4">
        <v>23</v>
      </c>
    </row>
    <row r="13" spans="1:8" x14ac:dyDescent="0.35">
      <c r="A13">
        <v>1</v>
      </c>
      <c r="B13">
        <v>12</v>
      </c>
      <c r="C13" t="s">
        <v>247</v>
      </c>
      <c r="D13" s="4">
        <v>650</v>
      </c>
      <c r="E13" s="4">
        <v>750</v>
      </c>
      <c r="F13" s="4">
        <v>850</v>
      </c>
      <c r="H13" s="4">
        <v>707</v>
      </c>
    </row>
    <row r="14" spans="1:8" x14ac:dyDescent="0.35">
      <c r="A14">
        <v>1</v>
      </c>
      <c r="B14">
        <v>13</v>
      </c>
      <c r="C14" t="s">
        <v>248</v>
      </c>
      <c r="D14" s="4">
        <v>40</v>
      </c>
      <c r="E14" s="4">
        <v>56</v>
      </c>
      <c r="F14" s="4">
        <v>80</v>
      </c>
      <c r="H14" s="4">
        <v>21</v>
      </c>
    </row>
    <row r="15" spans="1:8" x14ac:dyDescent="0.35">
      <c r="A15">
        <v>1</v>
      </c>
      <c r="B15">
        <v>14</v>
      </c>
      <c r="C15" t="s">
        <v>249</v>
      </c>
      <c r="D15" s="4">
        <v>0.8</v>
      </c>
      <c r="E15" s="4">
        <v>0.9</v>
      </c>
      <c r="F15" s="4">
        <v>0.95</v>
      </c>
      <c r="H15" s="4">
        <v>0.41099999999999998</v>
      </c>
    </row>
    <row r="16" spans="1:8" x14ac:dyDescent="0.35">
      <c r="A16">
        <v>2</v>
      </c>
      <c r="B16">
        <v>1</v>
      </c>
      <c r="C16" t="s">
        <v>236</v>
      </c>
      <c r="D16" s="4">
        <v>0.06</v>
      </c>
      <c r="E16" s="4">
        <v>0.15</v>
      </c>
      <c r="F16" s="4">
        <v>0.4</v>
      </c>
    </row>
    <row r="17" spans="1:6" x14ac:dyDescent="0.35">
      <c r="A17">
        <v>2</v>
      </c>
      <c r="B17">
        <v>2</v>
      </c>
      <c r="C17" t="s">
        <v>237</v>
      </c>
      <c r="D17" s="4">
        <v>11</v>
      </c>
      <c r="E17" s="4">
        <v>16.5</v>
      </c>
      <c r="F17" s="4">
        <v>20.399999999999999</v>
      </c>
    </row>
    <row r="18" spans="1:6" x14ac:dyDescent="0.35">
      <c r="A18">
        <v>2</v>
      </c>
      <c r="B18">
        <v>3</v>
      </c>
      <c r="C18" t="s">
        <v>238</v>
      </c>
      <c r="D18" s="4">
        <v>0.02</v>
      </c>
      <c r="E18" s="4">
        <v>0.09</v>
      </c>
      <c r="F18" s="4">
        <v>0.2</v>
      </c>
    </row>
    <row r="19" spans="1:6" x14ac:dyDescent="0.35">
      <c r="A19">
        <v>2</v>
      </c>
      <c r="B19">
        <v>4</v>
      </c>
      <c r="C19" t="s">
        <v>239</v>
      </c>
      <c r="D19" s="4">
        <v>5</v>
      </c>
      <c r="E19" s="4">
        <v>20</v>
      </c>
      <c r="F19" s="4">
        <v>50</v>
      </c>
    </row>
    <row r="20" spans="1:6" x14ac:dyDescent="0.35">
      <c r="A20">
        <v>2</v>
      </c>
      <c r="B20">
        <v>5</v>
      </c>
      <c r="C20" t="s">
        <v>240</v>
      </c>
      <c r="D20" s="4">
        <v>1.5</v>
      </c>
      <c r="E20" s="4">
        <v>2.5</v>
      </c>
      <c r="F20" s="4">
        <v>5</v>
      </c>
    </row>
    <row r="21" spans="1:6" x14ac:dyDescent="0.35">
      <c r="A21">
        <v>2</v>
      </c>
      <c r="B21">
        <v>6</v>
      </c>
      <c r="C21" t="s">
        <v>241</v>
      </c>
      <c r="D21" s="4">
        <v>1</v>
      </c>
      <c r="E21" s="4">
        <v>2</v>
      </c>
      <c r="F21" s="4">
        <v>6</v>
      </c>
    </row>
    <row r="22" spans="1:6" x14ac:dyDescent="0.35">
      <c r="A22">
        <v>2</v>
      </c>
      <c r="B22">
        <v>7</v>
      </c>
      <c r="C22" t="s">
        <v>242</v>
      </c>
      <c r="D22" s="4">
        <v>30</v>
      </c>
      <c r="E22" s="4">
        <v>120</v>
      </c>
      <c r="F22" s="4">
        <v>600</v>
      </c>
    </row>
    <row r="23" spans="1:6" x14ac:dyDescent="0.35">
      <c r="A23">
        <v>2</v>
      </c>
      <c r="B23">
        <v>8</v>
      </c>
      <c r="C23" t="s">
        <v>243</v>
      </c>
      <c r="D23" s="4">
        <v>9.9999999999999995E-7</v>
      </c>
      <c r="E23" s="4">
        <v>0.02</v>
      </c>
      <c r="F23" s="4">
        <v>0.08</v>
      </c>
    </row>
    <row r="24" spans="1:6" x14ac:dyDescent="0.35">
      <c r="A24">
        <v>2</v>
      </c>
      <c r="B24">
        <v>9</v>
      </c>
      <c r="C24" t="s">
        <v>244</v>
      </c>
      <c r="D24" s="4">
        <v>0.01</v>
      </c>
      <c r="E24" s="4">
        <v>0.06</v>
      </c>
      <c r="F24" s="4">
        <v>0.18</v>
      </c>
    </row>
    <row r="25" spans="1:6" x14ac:dyDescent="0.35">
      <c r="A25">
        <v>2</v>
      </c>
      <c r="B25">
        <v>10</v>
      </c>
      <c r="C25" t="s">
        <v>245</v>
      </c>
      <c r="D25" s="4">
        <v>0.01</v>
      </c>
      <c r="E25" s="4">
        <v>0.05</v>
      </c>
      <c r="F25" s="4">
        <v>0.15</v>
      </c>
    </row>
    <row r="26" spans="1:6" x14ac:dyDescent="0.35">
      <c r="A26">
        <v>2</v>
      </c>
      <c r="B26">
        <v>11</v>
      </c>
      <c r="C26" t="s">
        <v>246</v>
      </c>
      <c r="D26" s="4">
        <v>86</v>
      </c>
      <c r="E26" s="4">
        <v>172</v>
      </c>
      <c r="F26" s="4">
        <v>345</v>
      </c>
    </row>
    <row r="27" spans="1:6" x14ac:dyDescent="0.35">
      <c r="A27">
        <v>2</v>
      </c>
      <c r="B27">
        <v>12</v>
      </c>
      <c r="C27" t="s">
        <v>247</v>
      </c>
      <c r="D27" s="4">
        <v>500</v>
      </c>
      <c r="E27" s="4">
        <v>725</v>
      </c>
      <c r="F27" s="4">
        <v>900</v>
      </c>
    </row>
    <row r="28" spans="1:6" x14ac:dyDescent="0.35">
      <c r="A28">
        <v>2</v>
      </c>
      <c r="B28">
        <v>13</v>
      </c>
      <c r="C28" t="s">
        <v>248</v>
      </c>
      <c r="D28" s="4">
        <v>12</v>
      </c>
      <c r="E28" s="4">
        <v>25</v>
      </c>
      <c r="F28" s="4">
        <v>40</v>
      </c>
    </row>
    <row r="29" spans="1:6" x14ac:dyDescent="0.35">
      <c r="A29">
        <v>2</v>
      </c>
      <c r="B29">
        <v>14</v>
      </c>
      <c r="C29" t="s">
        <v>249</v>
      </c>
      <c r="D29" s="4">
        <v>0.25</v>
      </c>
      <c r="E29" s="4">
        <v>0.37</v>
      </c>
      <c r="F29" s="4">
        <v>0.56000000000000005</v>
      </c>
    </row>
    <row r="30" spans="1:6" x14ac:dyDescent="0.35">
      <c r="A30">
        <v>3</v>
      </c>
      <c r="B30">
        <v>1</v>
      </c>
      <c r="C30" t="s">
        <v>236</v>
      </c>
      <c r="D30" s="4">
        <v>0.1</v>
      </c>
      <c r="E30" s="4">
        <v>0.2</v>
      </c>
      <c r="F30" s="4">
        <v>1</v>
      </c>
    </row>
    <row r="31" spans="1:6" x14ac:dyDescent="0.35">
      <c r="A31">
        <v>3</v>
      </c>
      <c r="B31">
        <v>2</v>
      </c>
      <c r="C31" t="s">
        <v>237</v>
      </c>
      <c r="D31" s="4">
        <v>14</v>
      </c>
      <c r="E31" s="4">
        <v>15.5</v>
      </c>
      <c r="F31" s="4">
        <v>17</v>
      </c>
    </row>
    <row r="32" spans="1:6" x14ac:dyDescent="0.35">
      <c r="A32">
        <v>3</v>
      </c>
      <c r="B32">
        <v>3</v>
      </c>
      <c r="C32" t="s">
        <v>238</v>
      </c>
      <c r="D32" s="4">
        <v>0.02</v>
      </c>
      <c r="E32" s="4">
        <v>0.08</v>
      </c>
      <c r="F32" s="4">
        <v>0.15</v>
      </c>
    </row>
    <row r="33" spans="1:6" x14ac:dyDescent="0.35">
      <c r="A33">
        <v>3</v>
      </c>
      <c r="B33">
        <v>4</v>
      </c>
      <c r="C33" t="s">
        <v>239</v>
      </c>
      <c r="D33" s="4">
        <v>2</v>
      </c>
      <c r="E33" s="4">
        <v>15</v>
      </c>
      <c r="F33" s="4">
        <v>50</v>
      </c>
    </row>
    <row r="34" spans="1:6" x14ac:dyDescent="0.35">
      <c r="A34">
        <v>3</v>
      </c>
      <c r="B34">
        <v>5</v>
      </c>
      <c r="C34" t="s">
        <v>240</v>
      </c>
      <c r="D34" s="4">
        <v>0.2</v>
      </c>
      <c r="E34" s="4">
        <v>0.7</v>
      </c>
      <c r="F34" s="4">
        <v>1.3</v>
      </c>
    </row>
    <row r="35" spans="1:6" x14ac:dyDescent="0.35">
      <c r="A35">
        <v>3</v>
      </c>
      <c r="B35">
        <v>6</v>
      </c>
      <c r="C35" t="s">
        <v>241</v>
      </c>
      <c r="D35" s="4">
        <v>0.7</v>
      </c>
      <c r="E35" s="4">
        <v>1.4</v>
      </c>
      <c r="F35" s="4">
        <v>2</v>
      </c>
    </row>
    <row r="36" spans="1:6" x14ac:dyDescent="0.35">
      <c r="A36">
        <v>3</v>
      </c>
      <c r="B36">
        <v>7</v>
      </c>
      <c r="C36" t="s">
        <v>242</v>
      </c>
      <c r="D36" s="4">
        <v>10</v>
      </c>
      <c r="E36" s="4">
        <v>100</v>
      </c>
      <c r="F36" s="4">
        <v>400</v>
      </c>
    </row>
    <row r="37" spans="1:6" x14ac:dyDescent="0.35">
      <c r="A37">
        <v>3</v>
      </c>
      <c r="B37">
        <v>8</v>
      </c>
      <c r="C37" t="s">
        <v>243</v>
      </c>
      <c r="D37" s="4">
        <v>0.5</v>
      </c>
      <c r="E37" s="4">
        <v>0.75</v>
      </c>
      <c r="F37" s="4">
        <v>0.9</v>
      </c>
    </row>
    <row r="38" spans="1:6" x14ac:dyDescent="0.35">
      <c r="A38">
        <v>3</v>
      </c>
      <c r="B38">
        <v>9</v>
      </c>
      <c r="C38" t="s">
        <v>244</v>
      </c>
      <c r="D38" s="4">
        <v>0.01</v>
      </c>
      <c r="E38" s="4">
        <v>0.04</v>
      </c>
      <c r="F38" s="4">
        <v>0.1</v>
      </c>
    </row>
    <row r="39" spans="1:6" x14ac:dyDescent="0.35">
      <c r="A39">
        <v>3</v>
      </c>
      <c r="B39">
        <v>10</v>
      </c>
      <c r="C39" t="s">
        <v>245</v>
      </c>
      <c r="D39" s="4">
        <v>0.01</v>
      </c>
      <c r="E39" s="4">
        <v>0.04</v>
      </c>
      <c r="F39" s="4">
        <v>0.08</v>
      </c>
    </row>
    <row r="40" spans="1:6" x14ac:dyDescent="0.35">
      <c r="A40">
        <v>3</v>
      </c>
      <c r="B40">
        <v>11</v>
      </c>
      <c r="C40" t="s">
        <v>246</v>
      </c>
      <c r="D40" s="4">
        <v>75</v>
      </c>
      <c r="E40" s="4">
        <v>115</v>
      </c>
      <c r="F40" s="4">
        <v>200</v>
      </c>
    </row>
    <row r="41" spans="1:6" x14ac:dyDescent="0.35">
      <c r="A41">
        <v>3</v>
      </c>
      <c r="B41">
        <v>12</v>
      </c>
      <c r="C41" t="s">
        <v>247</v>
      </c>
      <c r="D41" s="4">
        <v>500</v>
      </c>
      <c r="E41" s="4">
        <v>750</v>
      </c>
      <c r="F41" s="4">
        <v>1000</v>
      </c>
    </row>
    <row r="42" spans="1:6" x14ac:dyDescent="0.35">
      <c r="A42">
        <v>3</v>
      </c>
      <c r="B42">
        <v>13</v>
      </c>
      <c r="C42" t="s">
        <v>248</v>
      </c>
      <c r="D42" s="4">
        <v>10</v>
      </c>
      <c r="E42" s="4">
        <v>20</v>
      </c>
      <c r="F42" s="4">
        <v>30</v>
      </c>
    </row>
    <row r="43" spans="1:6" x14ac:dyDescent="0.35">
      <c r="A43">
        <v>3</v>
      </c>
      <c r="B43">
        <v>14</v>
      </c>
      <c r="C43" t="s">
        <v>249</v>
      </c>
      <c r="D43" s="4">
        <v>0.5</v>
      </c>
      <c r="E43" s="4">
        <v>0.56999999999999995</v>
      </c>
      <c r="F43" s="4">
        <v>0.69</v>
      </c>
    </row>
    <row r="44" spans="1:6" x14ac:dyDescent="0.35">
      <c r="A44">
        <v>4</v>
      </c>
      <c r="B44">
        <v>1</v>
      </c>
      <c r="C44" t="s">
        <v>236</v>
      </c>
      <c r="D44" s="4">
        <v>0.09</v>
      </c>
      <c r="E44" s="4">
        <v>0.1</v>
      </c>
      <c r="F44" s="4">
        <v>0.3</v>
      </c>
    </row>
    <row r="45" spans="1:6" x14ac:dyDescent="0.35">
      <c r="A45">
        <v>4</v>
      </c>
      <c r="B45">
        <v>2</v>
      </c>
      <c r="C45" t="s">
        <v>237</v>
      </c>
      <c r="D45" s="4">
        <v>15.74</v>
      </c>
      <c r="E45" s="4">
        <v>16.100000000000001</v>
      </c>
      <c r="F45" s="4">
        <v>17</v>
      </c>
    </row>
    <row r="46" spans="1:6" x14ac:dyDescent="0.35">
      <c r="A46">
        <v>4</v>
      </c>
      <c r="B46">
        <v>3</v>
      </c>
      <c r="C46" t="s">
        <v>238</v>
      </c>
      <c r="D46" s="4">
        <v>2.5000000000000001E-2</v>
      </c>
      <c r="E46" s="4">
        <v>0.05</v>
      </c>
      <c r="F46" s="4">
        <v>0.1</v>
      </c>
    </row>
    <row r="47" spans="1:6" x14ac:dyDescent="0.35">
      <c r="A47">
        <v>4</v>
      </c>
      <c r="B47">
        <v>4</v>
      </c>
      <c r="C47" t="s">
        <v>239</v>
      </c>
      <c r="D47" s="4">
        <v>50</v>
      </c>
      <c r="E47" s="4">
        <v>100</v>
      </c>
      <c r="F47" s="4">
        <v>250</v>
      </c>
    </row>
    <row r="48" spans="1:6" x14ac:dyDescent="0.35">
      <c r="A48">
        <v>4</v>
      </c>
      <c r="B48">
        <v>5</v>
      </c>
      <c r="C48" t="s">
        <v>240</v>
      </c>
      <c r="D48" s="4">
        <v>0.5</v>
      </c>
      <c r="E48" s="4">
        <v>1</v>
      </c>
      <c r="F48" s="4">
        <v>2</v>
      </c>
    </row>
    <row r="49" spans="1:6" x14ac:dyDescent="0.35">
      <c r="A49">
        <v>4</v>
      </c>
      <c r="B49">
        <v>6</v>
      </c>
      <c r="C49" t="s">
        <v>241</v>
      </c>
      <c r="D49" s="4">
        <v>0.5</v>
      </c>
      <c r="E49" s="4">
        <v>1.5</v>
      </c>
      <c r="F49" s="4">
        <v>3</v>
      </c>
    </row>
    <row r="50" spans="1:6" x14ac:dyDescent="0.35">
      <c r="A50">
        <v>4</v>
      </c>
      <c r="B50">
        <v>7</v>
      </c>
      <c r="C50" t="s">
        <v>242</v>
      </c>
      <c r="D50" s="4">
        <v>10</v>
      </c>
      <c r="E50" s="4">
        <v>25</v>
      </c>
      <c r="F50" s="4">
        <v>50</v>
      </c>
    </row>
    <row r="51" spans="1:6" x14ac:dyDescent="0.35">
      <c r="A51">
        <v>4</v>
      </c>
      <c r="B51">
        <v>8</v>
      </c>
      <c r="C51" t="s">
        <v>243</v>
      </c>
      <c r="D51" s="4">
        <v>9.9999999999999995E-8</v>
      </c>
      <c r="E51" s="4">
        <v>9.9999999999999995E-7</v>
      </c>
      <c r="F51" s="4">
        <v>1.0000000000000001E-5</v>
      </c>
    </row>
    <row r="52" spans="1:6" x14ac:dyDescent="0.35">
      <c r="A52">
        <v>4</v>
      </c>
      <c r="B52">
        <v>9</v>
      </c>
      <c r="C52" t="s">
        <v>244</v>
      </c>
      <c r="D52" s="4">
        <v>0.1</v>
      </c>
      <c r="E52" s="4">
        <v>0.2</v>
      </c>
      <c r="F52" s="4">
        <v>0.4</v>
      </c>
    </row>
    <row r="53" spans="1:6" x14ac:dyDescent="0.35">
      <c r="A53">
        <v>4</v>
      </c>
      <c r="B53">
        <v>10</v>
      </c>
      <c r="C53" t="s">
        <v>245</v>
      </c>
      <c r="D53" s="4">
        <v>5.0000000000000001E-3</v>
      </c>
      <c r="E53" s="4">
        <v>0.01</v>
      </c>
      <c r="F53" s="4">
        <v>0.02</v>
      </c>
    </row>
    <row r="54" spans="1:6" x14ac:dyDescent="0.35">
      <c r="A54">
        <v>4</v>
      </c>
      <c r="B54">
        <v>11</v>
      </c>
      <c r="C54" t="s">
        <v>246</v>
      </c>
      <c r="D54" s="4">
        <v>25</v>
      </c>
      <c r="E54" s="4">
        <v>50</v>
      </c>
      <c r="F54" s="4">
        <v>80</v>
      </c>
    </row>
    <row r="55" spans="1:6" x14ac:dyDescent="0.35">
      <c r="A55">
        <v>4</v>
      </c>
      <c r="B55">
        <v>12</v>
      </c>
      <c r="C55" t="s">
        <v>247</v>
      </c>
      <c r="D55" s="4">
        <v>720</v>
      </c>
      <c r="E55" s="4">
        <v>820</v>
      </c>
      <c r="F55" s="4">
        <v>920</v>
      </c>
    </row>
    <row r="56" spans="1:6" x14ac:dyDescent="0.35">
      <c r="A56">
        <v>4</v>
      </c>
      <c r="B56">
        <v>13</v>
      </c>
      <c r="C56" t="s">
        <v>248</v>
      </c>
      <c r="D56" s="4">
        <v>10</v>
      </c>
      <c r="E56" s="4">
        <v>15</v>
      </c>
      <c r="F56" s="4">
        <v>20</v>
      </c>
    </row>
    <row r="57" spans="1:6" x14ac:dyDescent="0.35">
      <c r="A57">
        <v>4</v>
      </c>
      <c r="B57">
        <v>14</v>
      </c>
      <c r="C57" t="s">
        <v>249</v>
      </c>
      <c r="D57" s="4">
        <v>0.2</v>
      </c>
      <c r="E57" s="4">
        <v>0.3</v>
      </c>
      <c r="F57" s="4">
        <v>0.6</v>
      </c>
    </row>
    <row r="58" spans="1:6" x14ac:dyDescent="0.35">
      <c r="A58">
        <v>5</v>
      </c>
      <c r="B58">
        <v>1</v>
      </c>
      <c r="C58" t="s">
        <v>236</v>
      </c>
      <c r="D58" s="4">
        <v>0.02</v>
      </c>
      <c r="E58" s="4">
        <v>0.13</v>
      </c>
      <c r="F58" s="4">
        <v>2</v>
      </c>
    </row>
    <row r="59" spans="1:6" x14ac:dyDescent="0.35">
      <c r="A59">
        <v>5</v>
      </c>
      <c r="B59">
        <v>2</v>
      </c>
      <c r="C59" t="s">
        <v>237</v>
      </c>
      <c r="D59" s="4">
        <v>9</v>
      </c>
      <c r="E59" s="4">
        <v>15.74</v>
      </c>
      <c r="F59" s="4">
        <v>25</v>
      </c>
    </row>
    <row r="60" spans="1:6" x14ac:dyDescent="0.35">
      <c r="A60">
        <v>5</v>
      </c>
      <c r="B60">
        <v>3</v>
      </c>
      <c r="C60" t="s">
        <v>238</v>
      </c>
      <c r="D60" s="4">
        <v>9.9999999999999995E-7</v>
      </c>
      <c r="E60" s="4">
        <v>0.1</v>
      </c>
      <c r="F60" s="4">
        <v>0.25</v>
      </c>
    </row>
    <row r="61" spans="1:6" x14ac:dyDescent="0.35">
      <c r="A61">
        <v>5</v>
      </c>
      <c r="B61">
        <v>4</v>
      </c>
      <c r="C61" t="s">
        <v>239</v>
      </c>
      <c r="D61" s="4">
        <v>1</v>
      </c>
      <c r="E61" s="4">
        <v>5</v>
      </c>
      <c r="F61" s="4">
        <v>100</v>
      </c>
    </row>
    <row r="62" spans="1:6" x14ac:dyDescent="0.35">
      <c r="A62">
        <v>5</v>
      </c>
      <c r="B62">
        <v>5</v>
      </c>
      <c r="C62" t="s">
        <v>240</v>
      </c>
      <c r="D62" s="4">
        <v>0.25</v>
      </c>
      <c r="E62" s="4">
        <v>0.8</v>
      </c>
      <c r="F62" s="4">
        <v>2</v>
      </c>
    </row>
    <row r="63" spans="1:6" x14ac:dyDescent="0.35">
      <c r="A63">
        <v>5</v>
      </c>
      <c r="B63">
        <v>6</v>
      </c>
      <c r="C63" t="s">
        <v>241</v>
      </c>
      <c r="D63" s="4">
        <v>0.2</v>
      </c>
      <c r="E63" s="4">
        <v>1</v>
      </c>
      <c r="F63" s="4">
        <v>2.8</v>
      </c>
    </row>
    <row r="64" spans="1:6" x14ac:dyDescent="0.35">
      <c r="A64">
        <v>5</v>
      </c>
      <c r="B64">
        <v>7</v>
      </c>
      <c r="C64" t="s">
        <v>242</v>
      </c>
      <c r="D64" s="4">
        <v>50</v>
      </c>
      <c r="E64" s="4">
        <v>550</v>
      </c>
      <c r="F64" s="4">
        <v>4000</v>
      </c>
    </row>
    <row r="65" spans="1:6" x14ac:dyDescent="0.35">
      <c r="A65">
        <v>5</v>
      </c>
      <c r="B65">
        <v>8</v>
      </c>
      <c r="C65" t="s">
        <v>243</v>
      </c>
      <c r="D65" s="4">
        <v>0.1</v>
      </c>
      <c r="E65" s="4">
        <v>0.3</v>
      </c>
      <c r="F65" s="4">
        <v>0.8</v>
      </c>
    </row>
    <row r="66" spans="1:6" x14ac:dyDescent="0.35">
      <c r="A66">
        <v>5</v>
      </c>
      <c r="B66">
        <v>9</v>
      </c>
      <c r="C66" t="s">
        <v>244</v>
      </c>
      <c r="D66" s="4">
        <v>0.01</v>
      </c>
      <c r="E66" s="4">
        <v>0.05</v>
      </c>
      <c r="F66" s="4">
        <v>0.25</v>
      </c>
    </row>
    <row r="67" spans="1:6" x14ac:dyDescent="0.35">
      <c r="A67">
        <v>5</v>
      </c>
      <c r="B67">
        <v>10</v>
      </c>
      <c r="C67" t="s">
        <v>245</v>
      </c>
      <c r="D67" s="4">
        <v>0.01</v>
      </c>
      <c r="E67" s="4">
        <v>0.05</v>
      </c>
      <c r="F67" s="4">
        <v>0.5</v>
      </c>
    </row>
    <row r="68" spans="1:6" x14ac:dyDescent="0.35">
      <c r="A68">
        <v>5</v>
      </c>
      <c r="B68">
        <v>11</v>
      </c>
      <c r="C68" t="s">
        <v>246</v>
      </c>
      <c r="D68" s="4">
        <v>20</v>
      </c>
      <c r="E68" s="4">
        <v>100</v>
      </c>
      <c r="F68" s="4">
        <v>220</v>
      </c>
    </row>
    <row r="69" spans="1:6" x14ac:dyDescent="0.35">
      <c r="A69">
        <v>5</v>
      </c>
      <c r="B69">
        <v>12</v>
      </c>
      <c r="C69" t="s">
        <v>247</v>
      </c>
      <c r="D69" s="4">
        <v>400</v>
      </c>
      <c r="E69" s="4">
        <v>725</v>
      </c>
      <c r="F69" s="4">
        <v>1000</v>
      </c>
    </row>
    <row r="70" spans="1:6" x14ac:dyDescent="0.35">
      <c r="A70">
        <v>5</v>
      </c>
      <c r="B70">
        <v>13</v>
      </c>
      <c r="C70" t="s">
        <v>248</v>
      </c>
      <c r="D70" s="4">
        <v>30</v>
      </c>
      <c r="E70" s="4">
        <v>60</v>
      </c>
      <c r="F70" s="4">
        <v>80</v>
      </c>
    </row>
    <row r="71" spans="1:6" x14ac:dyDescent="0.35">
      <c r="A71">
        <v>5</v>
      </c>
      <c r="B71">
        <v>14</v>
      </c>
      <c r="C71" t="s">
        <v>249</v>
      </c>
      <c r="D71" s="4">
        <v>0.05</v>
      </c>
      <c r="E71" s="4">
        <v>0.2</v>
      </c>
      <c r="F71" s="4">
        <v>0.5</v>
      </c>
    </row>
    <row r="72" spans="1:6" x14ac:dyDescent="0.35">
      <c r="A72">
        <v>6</v>
      </c>
      <c r="B72">
        <v>1</v>
      </c>
      <c r="C72" t="s">
        <v>236</v>
      </c>
      <c r="D72" s="4">
        <v>0.05</v>
      </c>
      <c r="E72" s="4">
        <v>0.13</v>
      </c>
      <c r="F72" s="4">
        <v>3</v>
      </c>
    </row>
    <row r="73" spans="1:6" x14ac:dyDescent="0.35">
      <c r="A73">
        <v>6</v>
      </c>
      <c r="B73">
        <v>2</v>
      </c>
      <c r="C73" t="s">
        <v>237</v>
      </c>
      <c r="D73" s="4">
        <v>9</v>
      </c>
      <c r="E73" s="4">
        <v>15.74</v>
      </c>
      <c r="F73" s="4">
        <v>125</v>
      </c>
    </row>
    <row r="74" spans="1:6" x14ac:dyDescent="0.35">
      <c r="A74">
        <v>6</v>
      </c>
      <c r="B74">
        <v>3</v>
      </c>
      <c r="C74" t="s">
        <v>238</v>
      </c>
      <c r="D74" s="4">
        <v>0.15</v>
      </c>
      <c r="E74" s="4">
        <v>0.32</v>
      </c>
      <c r="F74" s="4">
        <v>0.75</v>
      </c>
    </row>
    <row r="75" spans="1:6" x14ac:dyDescent="0.35">
      <c r="A75">
        <v>6</v>
      </c>
      <c r="B75">
        <v>4</v>
      </c>
      <c r="C75" t="s">
        <v>239</v>
      </c>
      <c r="D75" s="4">
        <v>2</v>
      </c>
      <c r="E75" s="4">
        <v>5</v>
      </c>
      <c r="F75" s="4">
        <v>20</v>
      </c>
    </row>
    <row r="76" spans="1:6" x14ac:dyDescent="0.35">
      <c r="A76">
        <v>6</v>
      </c>
      <c r="B76">
        <v>5</v>
      </c>
      <c r="C76" t="s">
        <v>240</v>
      </c>
      <c r="D76" s="4">
        <v>0.2</v>
      </c>
      <c r="E76" s="4">
        <v>1.2</v>
      </c>
      <c r="F76" s="4">
        <v>3</v>
      </c>
    </row>
    <row r="77" spans="1:6" x14ac:dyDescent="0.35">
      <c r="A77">
        <v>6</v>
      </c>
      <c r="B77">
        <v>6</v>
      </c>
      <c r="C77" t="s">
        <v>241</v>
      </c>
      <c r="D77" s="4">
        <v>0.75</v>
      </c>
      <c r="E77" s="4">
        <v>2.5</v>
      </c>
      <c r="F77" s="4">
        <v>5</v>
      </c>
    </row>
    <row r="78" spans="1:6" x14ac:dyDescent="0.35">
      <c r="A78">
        <v>6</v>
      </c>
      <c r="B78">
        <v>7</v>
      </c>
      <c r="C78" t="s">
        <v>242</v>
      </c>
      <c r="D78" s="4">
        <v>20</v>
      </c>
      <c r="E78" s="4">
        <v>113</v>
      </c>
      <c r="F78" s="4">
        <v>2000</v>
      </c>
    </row>
    <row r="79" spans="1:6" x14ac:dyDescent="0.35">
      <c r="A79">
        <v>6</v>
      </c>
      <c r="B79">
        <v>8</v>
      </c>
      <c r="C79" t="s">
        <v>243</v>
      </c>
      <c r="D79" s="4">
        <v>0.25</v>
      </c>
      <c r="E79" s="4">
        <v>0.7</v>
      </c>
      <c r="F79" s="4">
        <v>0.85</v>
      </c>
    </row>
    <row r="80" spans="1:6" x14ac:dyDescent="0.35">
      <c r="A80">
        <v>6</v>
      </c>
      <c r="B80">
        <v>9</v>
      </c>
      <c r="C80" t="s">
        <v>244</v>
      </c>
      <c r="D80" s="4">
        <v>0.01</v>
      </c>
      <c r="E80" s="4">
        <v>0.04</v>
      </c>
      <c r="F80" s="4">
        <v>0.4</v>
      </c>
    </row>
    <row r="81" spans="1:6" x14ac:dyDescent="0.35">
      <c r="A81">
        <v>6</v>
      </c>
      <c r="B81">
        <v>10</v>
      </c>
      <c r="C81" t="s">
        <v>245</v>
      </c>
      <c r="D81" s="4">
        <v>0.02</v>
      </c>
      <c r="E81" s="4">
        <v>0.06</v>
      </c>
      <c r="F81" s="4">
        <v>0.34</v>
      </c>
    </row>
    <row r="82" spans="1:6" x14ac:dyDescent="0.35">
      <c r="A82">
        <v>6</v>
      </c>
      <c r="B82">
        <v>11</v>
      </c>
      <c r="C82" t="s">
        <v>246</v>
      </c>
      <c r="D82" s="4">
        <v>40</v>
      </c>
      <c r="E82" s="4">
        <v>160</v>
      </c>
      <c r="F82" s="4">
        <v>302</v>
      </c>
    </row>
    <row r="83" spans="1:6" x14ac:dyDescent="0.35">
      <c r="A83">
        <v>6</v>
      </c>
      <c r="B83">
        <v>12</v>
      </c>
      <c r="C83" t="s">
        <v>247</v>
      </c>
      <c r="D83" s="4">
        <v>200</v>
      </c>
      <c r="E83" s="4">
        <v>712</v>
      </c>
      <c r="F83" s="4">
        <v>1500</v>
      </c>
    </row>
    <row r="84" spans="1:6" x14ac:dyDescent="0.35">
      <c r="A84">
        <v>6</v>
      </c>
      <c r="B84">
        <v>13</v>
      </c>
      <c r="C84" t="s">
        <v>248</v>
      </c>
      <c r="D84" s="4">
        <v>15</v>
      </c>
      <c r="E84" s="4">
        <v>35</v>
      </c>
      <c r="F84" s="4">
        <v>45</v>
      </c>
    </row>
    <row r="85" spans="1:6" x14ac:dyDescent="0.35">
      <c r="A85">
        <v>6</v>
      </c>
      <c r="B85">
        <v>14</v>
      </c>
      <c r="C85" t="s">
        <v>249</v>
      </c>
      <c r="D85" s="4">
        <v>0.35</v>
      </c>
      <c r="E85" s="4">
        <v>0.45</v>
      </c>
      <c r="F85" s="4">
        <v>0.55000000000000004</v>
      </c>
    </row>
    <row r="86" spans="1:6" x14ac:dyDescent="0.35">
      <c r="A86">
        <v>7</v>
      </c>
      <c r="B86">
        <v>1</v>
      </c>
      <c r="C86" t="s">
        <v>236</v>
      </c>
      <c r="D86" s="4">
        <v>0.04</v>
      </c>
      <c r="E86" s="4">
        <v>0.14000000000000001</v>
      </c>
      <c r="F86" s="4">
        <v>0.25</v>
      </c>
    </row>
    <row r="87" spans="1:6" x14ac:dyDescent="0.35">
      <c r="A87">
        <v>7</v>
      </c>
      <c r="B87">
        <v>2</v>
      </c>
      <c r="C87" t="s">
        <v>237</v>
      </c>
      <c r="D87" s="4">
        <v>12</v>
      </c>
      <c r="E87" s="4">
        <v>15</v>
      </c>
      <c r="F87" s="4">
        <v>23</v>
      </c>
    </row>
    <row r="88" spans="1:6" x14ac:dyDescent="0.35">
      <c r="A88">
        <v>7</v>
      </c>
      <c r="B88">
        <v>3</v>
      </c>
      <c r="C88" t="s">
        <v>238</v>
      </c>
      <c r="D88" s="4">
        <v>0.02</v>
      </c>
      <c r="E88" s="4">
        <v>0.05</v>
      </c>
      <c r="F88" s="4">
        <v>0.4</v>
      </c>
    </row>
    <row r="89" spans="1:6" x14ac:dyDescent="0.35">
      <c r="A89">
        <v>7</v>
      </c>
      <c r="B89">
        <v>4</v>
      </c>
      <c r="C89" t="s">
        <v>239</v>
      </c>
      <c r="D89" s="4">
        <v>10</v>
      </c>
      <c r="E89" s="4">
        <v>85</v>
      </c>
      <c r="F89" s="4">
        <v>261</v>
      </c>
    </row>
    <row r="90" spans="1:6" x14ac:dyDescent="0.35">
      <c r="A90">
        <v>7</v>
      </c>
      <c r="B90">
        <v>5</v>
      </c>
      <c r="C90" t="s">
        <v>240</v>
      </c>
      <c r="D90" s="4">
        <v>0.25</v>
      </c>
      <c r="E90" s="4">
        <v>1</v>
      </c>
      <c r="F90" s="4">
        <v>5</v>
      </c>
    </row>
    <row r="91" spans="1:6" x14ac:dyDescent="0.35">
      <c r="A91">
        <v>7</v>
      </c>
      <c r="B91">
        <v>6</v>
      </c>
      <c r="C91" t="s">
        <v>241</v>
      </c>
      <c r="D91" s="4">
        <v>0.01</v>
      </c>
      <c r="E91" s="4">
        <v>1.5</v>
      </c>
      <c r="F91" s="4">
        <v>5</v>
      </c>
    </row>
    <row r="92" spans="1:6" x14ac:dyDescent="0.35">
      <c r="A92">
        <v>7</v>
      </c>
      <c r="B92">
        <v>7</v>
      </c>
      <c r="C92" t="s">
        <v>242</v>
      </c>
      <c r="D92" s="4">
        <v>250</v>
      </c>
      <c r="E92" s="4">
        <v>1353</v>
      </c>
      <c r="F92" s="4">
        <v>3300</v>
      </c>
    </row>
    <row r="93" spans="1:6" x14ac:dyDescent="0.35">
      <c r="A93">
        <v>7</v>
      </c>
      <c r="B93">
        <v>8</v>
      </c>
      <c r="C93" t="s">
        <v>243</v>
      </c>
      <c r="D93" s="4">
        <v>0.65</v>
      </c>
      <c r="E93" s="4">
        <v>0.8</v>
      </c>
      <c r="F93" s="4">
        <v>0.9</v>
      </c>
    </row>
    <row r="94" spans="1:6" x14ac:dyDescent="0.35">
      <c r="A94">
        <v>7</v>
      </c>
      <c r="B94">
        <v>9</v>
      </c>
      <c r="C94" t="s">
        <v>244</v>
      </c>
      <c r="D94" s="4">
        <v>0.02</v>
      </c>
      <c r="E94" s="4">
        <v>7.0000000000000007E-2</v>
      </c>
      <c r="F94" s="4">
        <v>0.25</v>
      </c>
    </row>
    <row r="95" spans="1:6" x14ac:dyDescent="0.35">
      <c r="A95">
        <v>7</v>
      </c>
      <c r="B95">
        <v>10</v>
      </c>
      <c r="C95" t="s">
        <v>245</v>
      </c>
      <c r="D95" s="4">
        <v>0.01</v>
      </c>
      <c r="E95" s="4">
        <v>0.2</v>
      </c>
      <c r="F95" s="4">
        <v>0.5</v>
      </c>
    </row>
    <row r="96" spans="1:6" x14ac:dyDescent="0.35">
      <c r="A96">
        <v>7</v>
      </c>
      <c r="B96">
        <v>11</v>
      </c>
      <c r="C96" t="s">
        <v>246</v>
      </c>
      <c r="D96" s="4">
        <v>15</v>
      </c>
      <c r="E96" s="4">
        <v>25</v>
      </c>
      <c r="F96" s="4">
        <v>100</v>
      </c>
    </row>
    <row r="97" spans="1:6" x14ac:dyDescent="0.35">
      <c r="A97">
        <v>7</v>
      </c>
      <c r="B97">
        <v>12</v>
      </c>
      <c r="C97" t="s">
        <v>247</v>
      </c>
      <c r="D97" s="4">
        <v>600</v>
      </c>
      <c r="E97" s="4">
        <v>750</v>
      </c>
      <c r="F97" s="4">
        <v>900</v>
      </c>
    </row>
    <row r="98" spans="1:6" x14ac:dyDescent="0.35">
      <c r="A98">
        <v>7</v>
      </c>
      <c r="B98">
        <v>13</v>
      </c>
      <c r="C98" t="s">
        <v>248</v>
      </c>
      <c r="D98" s="4">
        <v>8</v>
      </c>
      <c r="E98" s="4">
        <v>40</v>
      </c>
      <c r="F98" s="4">
        <v>60</v>
      </c>
    </row>
    <row r="99" spans="1:6" x14ac:dyDescent="0.35">
      <c r="A99">
        <v>7</v>
      </c>
      <c r="B99">
        <v>14</v>
      </c>
      <c r="C99" t="s">
        <v>249</v>
      </c>
      <c r="D99" s="4">
        <v>0.2</v>
      </c>
      <c r="E99" s="4">
        <v>0.6</v>
      </c>
      <c r="F99" s="4">
        <v>0.75</v>
      </c>
    </row>
    <row r="100" spans="1:6" x14ac:dyDescent="0.35">
      <c r="A100">
        <v>8</v>
      </c>
      <c r="B100">
        <v>1</v>
      </c>
      <c r="C100" t="s">
        <v>236</v>
      </c>
      <c r="D100" s="4">
        <v>0.03</v>
      </c>
      <c r="E100" s="4">
        <v>0.14599999999999999</v>
      </c>
      <c r="F100" s="4">
        <v>0.21</v>
      </c>
    </row>
    <row r="101" spans="1:6" x14ac:dyDescent="0.35">
      <c r="A101">
        <v>8</v>
      </c>
      <c r="B101">
        <v>2</v>
      </c>
      <c r="C101" t="s">
        <v>237</v>
      </c>
      <c r="D101" s="4">
        <v>13.25</v>
      </c>
      <c r="E101" s="4">
        <v>16.5</v>
      </c>
      <c r="F101" s="4">
        <v>18.149999999999999</v>
      </c>
    </row>
    <row r="102" spans="1:6" x14ac:dyDescent="0.35">
      <c r="A102">
        <v>8</v>
      </c>
      <c r="B102">
        <v>3</v>
      </c>
      <c r="C102" t="s">
        <v>238</v>
      </c>
      <c r="D102" s="4">
        <v>9.9999999999999995E-7</v>
      </c>
      <c r="E102" s="4">
        <v>6.6000000000000003E-2</v>
      </c>
      <c r="F102" s="4">
        <v>0.36</v>
      </c>
    </row>
    <row r="103" spans="1:6" x14ac:dyDescent="0.35">
      <c r="A103">
        <v>8</v>
      </c>
      <c r="B103">
        <v>4</v>
      </c>
      <c r="C103" t="s">
        <v>239</v>
      </c>
      <c r="D103" s="4">
        <v>10</v>
      </c>
      <c r="E103" s="4">
        <v>21</v>
      </c>
      <c r="F103" s="4">
        <v>65</v>
      </c>
    </row>
    <row r="104" spans="1:6" x14ac:dyDescent="0.35">
      <c r="A104">
        <v>8</v>
      </c>
      <c r="B104">
        <v>5</v>
      </c>
      <c r="C104" t="s">
        <v>240</v>
      </c>
      <c r="D104" s="4">
        <v>0.25</v>
      </c>
      <c r="E104" s="4">
        <v>0.5</v>
      </c>
      <c r="F104" s="4">
        <v>2</v>
      </c>
    </row>
    <row r="105" spans="1:6" x14ac:dyDescent="0.35">
      <c r="A105">
        <v>8</v>
      </c>
      <c r="B105">
        <v>6</v>
      </c>
      <c r="C105" t="s">
        <v>241</v>
      </c>
      <c r="D105" s="4">
        <v>1</v>
      </c>
      <c r="E105" s="4">
        <v>3</v>
      </c>
      <c r="F105" s="4">
        <v>5</v>
      </c>
    </row>
    <row r="106" spans="1:6" x14ac:dyDescent="0.35">
      <c r="A106">
        <v>8</v>
      </c>
      <c r="B106">
        <v>7</v>
      </c>
      <c r="C106" t="s">
        <v>242</v>
      </c>
      <c r="D106" s="4">
        <v>9.9999999999999995E-7</v>
      </c>
      <c r="E106" s="4">
        <v>1130</v>
      </c>
      <c r="F106" s="4">
        <v>4511</v>
      </c>
    </row>
    <row r="107" spans="1:6" x14ac:dyDescent="0.35">
      <c r="A107">
        <v>8</v>
      </c>
      <c r="B107">
        <v>8</v>
      </c>
      <c r="C107" t="s">
        <v>243</v>
      </c>
      <c r="D107" s="4">
        <v>2.5000000000000001E-3</v>
      </c>
      <c r="E107" s="4">
        <v>0.5</v>
      </c>
      <c r="F107" s="4">
        <v>0.99750000000000005</v>
      </c>
    </row>
    <row r="108" spans="1:6" x14ac:dyDescent="0.35">
      <c r="A108">
        <v>8</v>
      </c>
      <c r="B108">
        <v>9</v>
      </c>
      <c r="C108" t="s">
        <v>244</v>
      </c>
      <c r="D108" s="4">
        <v>0.02</v>
      </c>
      <c r="E108" s="4">
        <v>0.1</v>
      </c>
      <c r="F108" s="4">
        <v>0.5</v>
      </c>
    </row>
    <row r="109" spans="1:6" x14ac:dyDescent="0.35">
      <c r="A109">
        <v>8</v>
      </c>
      <c r="B109">
        <v>10</v>
      </c>
      <c r="C109" t="s">
        <v>245</v>
      </c>
      <c r="D109" s="4">
        <v>0.02</v>
      </c>
      <c r="E109" s="4">
        <v>0.3</v>
      </c>
      <c r="F109" s="4">
        <v>0.95</v>
      </c>
    </row>
    <row r="110" spans="1:6" x14ac:dyDescent="0.35">
      <c r="A110">
        <v>8</v>
      </c>
      <c r="B110">
        <v>11</v>
      </c>
      <c r="C110" t="s">
        <v>246</v>
      </c>
      <c r="D110" s="4">
        <v>216</v>
      </c>
      <c r="E110" s="4">
        <v>432</v>
      </c>
      <c r="F110" s="4">
        <v>735</v>
      </c>
    </row>
    <row r="111" spans="1:6" x14ac:dyDescent="0.35">
      <c r="A111">
        <v>8</v>
      </c>
      <c r="B111">
        <v>12</v>
      </c>
      <c r="C111" t="s">
        <v>247</v>
      </c>
      <c r="D111" s="4">
        <v>500</v>
      </c>
      <c r="E111" s="4">
        <v>730</v>
      </c>
      <c r="F111" s="4">
        <v>920</v>
      </c>
    </row>
    <row r="112" spans="1:6" x14ac:dyDescent="0.35">
      <c r="A112">
        <v>8</v>
      </c>
      <c r="B112">
        <v>13</v>
      </c>
      <c r="C112" t="s">
        <v>248</v>
      </c>
      <c r="D112" s="4">
        <v>4</v>
      </c>
      <c r="E112" s="4">
        <v>24</v>
      </c>
      <c r="F112" s="4">
        <v>49</v>
      </c>
    </row>
    <row r="113" spans="1:6" x14ac:dyDescent="0.35">
      <c r="A113">
        <v>8</v>
      </c>
      <c r="B113">
        <v>14</v>
      </c>
      <c r="C113" t="s">
        <v>249</v>
      </c>
      <c r="D113" s="4">
        <v>0.15</v>
      </c>
      <c r="E113" s="4">
        <v>0.5</v>
      </c>
      <c r="F113" s="4">
        <v>0.6</v>
      </c>
    </row>
    <row r="114" spans="1:6" x14ac:dyDescent="0.35">
      <c r="A114">
        <v>9</v>
      </c>
      <c r="B114">
        <v>1</v>
      </c>
      <c r="C114" t="s">
        <v>236</v>
      </c>
      <c r="D114" s="4">
        <v>0.05</v>
      </c>
      <c r="E114" s="4">
        <v>0.12</v>
      </c>
      <c r="F114" s="4">
        <v>0.25</v>
      </c>
    </row>
    <row r="115" spans="1:6" x14ac:dyDescent="0.35">
      <c r="A115">
        <v>9</v>
      </c>
      <c r="B115">
        <v>2</v>
      </c>
      <c r="C115" t="s">
        <v>237</v>
      </c>
      <c r="D115" s="4">
        <v>8</v>
      </c>
      <c r="E115" s="4">
        <v>16</v>
      </c>
      <c r="F115" s="4">
        <v>25</v>
      </c>
    </row>
    <row r="116" spans="1:6" x14ac:dyDescent="0.35">
      <c r="A116">
        <v>9</v>
      </c>
      <c r="B116">
        <v>3</v>
      </c>
      <c r="C116" t="s">
        <v>238</v>
      </c>
      <c r="D116" s="4">
        <v>0.03</v>
      </c>
      <c r="E116" s="4">
        <v>0.1</v>
      </c>
      <c r="F116" s="4">
        <v>0.5</v>
      </c>
    </row>
    <row r="117" spans="1:6" x14ac:dyDescent="0.35">
      <c r="A117">
        <v>9</v>
      </c>
      <c r="B117">
        <v>4</v>
      </c>
      <c r="C117" t="s">
        <v>239</v>
      </c>
      <c r="D117" s="4">
        <v>8</v>
      </c>
      <c r="E117" s="4">
        <v>50</v>
      </c>
      <c r="F117" s="4">
        <v>350</v>
      </c>
    </row>
    <row r="118" spans="1:6" x14ac:dyDescent="0.35">
      <c r="A118">
        <v>9</v>
      </c>
      <c r="B118">
        <v>5</v>
      </c>
      <c r="C118" t="s">
        <v>240</v>
      </c>
      <c r="D118" s="4">
        <v>9.9999999999999995E-7</v>
      </c>
      <c r="E118" s="4">
        <v>2</v>
      </c>
      <c r="F118" s="4">
        <v>10</v>
      </c>
    </row>
    <row r="119" spans="1:6" x14ac:dyDescent="0.35">
      <c r="A119">
        <v>9</v>
      </c>
      <c r="B119">
        <v>6</v>
      </c>
      <c r="C119" t="s">
        <v>241</v>
      </c>
      <c r="D119" s="4">
        <v>9.9999999999999995E-7</v>
      </c>
      <c r="E119" s="4">
        <v>1</v>
      </c>
      <c r="F119" s="4">
        <v>6</v>
      </c>
    </row>
    <row r="120" spans="1:6" x14ac:dyDescent="0.35">
      <c r="A120">
        <v>9</v>
      </c>
      <c r="B120">
        <v>7</v>
      </c>
      <c r="C120" t="s">
        <v>242</v>
      </c>
      <c r="D120" s="4">
        <v>5</v>
      </c>
      <c r="E120" s="4">
        <v>20</v>
      </c>
      <c r="F120" s="4">
        <v>100</v>
      </c>
    </row>
    <row r="121" spans="1:6" x14ac:dyDescent="0.35">
      <c r="A121">
        <v>9</v>
      </c>
      <c r="B121">
        <v>8</v>
      </c>
      <c r="C121" t="s">
        <v>243</v>
      </c>
      <c r="D121" s="4">
        <v>0.05</v>
      </c>
      <c r="E121" s="4">
        <v>0.3</v>
      </c>
      <c r="F121" s="4">
        <v>0.7</v>
      </c>
    </row>
    <row r="122" spans="1:6" x14ac:dyDescent="0.35">
      <c r="A122">
        <v>9</v>
      </c>
      <c r="B122">
        <v>9</v>
      </c>
      <c r="C122" t="s">
        <v>244</v>
      </c>
      <c r="D122" s="4">
        <v>0.1</v>
      </c>
      <c r="E122" s="4">
        <v>0.25</v>
      </c>
      <c r="F122" s="4">
        <v>0.8</v>
      </c>
    </row>
    <row r="123" spans="1:6" x14ac:dyDescent="0.35">
      <c r="A123">
        <v>9</v>
      </c>
      <c r="B123">
        <v>10</v>
      </c>
      <c r="C123" t="s">
        <v>245</v>
      </c>
      <c r="D123" s="4">
        <v>0.02</v>
      </c>
      <c r="E123" s="4">
        <v>0.1</v>
      </c>
      <c r="F123" s="4">
        <v>0.3</v>
      </c>
    </row>
    <row r="124" spans="1:6" x14ac:dyDescent="0.35">
      <c r="A124">
        <v>9</v>
      </c>
      <c r="B124">
        <v>11</v>
      </c>
      <c r="C124" t="s">
        <v>246</v>
      </c>
      <c r="D124" s="4">
        <v>8</v>
      </c>
      <c r="E124" s="4">
        <v>40</v>
      </c>
      <c r="F124" s="4">
        <v>120</v>
      </c>
    </row>
    <row r="125" spans="1:6" x14ac:dyDescent="0.35">
      <c r="A125">
        <v>9</v>
      </c>
      <c r="B125">
        <v>12</v>
      </c>
      <c r="C125" t="s">
        <v>247</v>
      </c>
      <c r="D125" s="4">
        <v>500</v>
      </c>
      <c r="E125" s="4">
        <v>700</v>
      </c>
      <c r="F125" s="4">
        <v>900</v>
      </c>
    </row>
    <row r="126" spans="1:6" x14ac:dyDescent="0.35">
      <c r="A126">
        <v>9</v>
      </c>
      <c r="B126">
        <v>13</v>
      </c>
      <c r="C126" t="s">
        <v>248</v>
      </c>
      <c r="D126" s="4">
        <v>15</v>
      </c>
      <c r="E126" s="4">
        <v>40</v>
      </c>
      <c r="F126" s="4">
        <v>60</v>
      </c>
    </row>
    <row r="127" spans="1:6" x14ac:dyDescent="0.35">
      <c r="A127">
        <v>9</v>
      </c>
      <c r="B127">
        <v>14</v>
      </c>
      <c r="C127" t="s">
        <v>249</v>
      </c>
      <c r="D127" s="4">
        <v>0.15</v>
      </c>
      <c r="E127" s="4">
        <v>0.4</v>
      </c>
      <c r="F127" s="4">
        <v>0.7</v>
      </c>
    </row>
    <row r="128" spans="1:6" x14ac:dyDescent="0.35">
      <c r="A128">
        <v>10</v>
      </c>
      <c r="B128">
        <v>1</v>
      </c>
      <c r="C128" t="s">
        <v>236</v>
      </c>
      <c r="D128" s="4">
        <v>1E-3</v>
      </c>
      <c r="E128" s="4">
        <v>0.12</v>
      </c>
      <c r="F128" s="4">
        <v>1</v>
      </c>
    </row>
    <row r="129" spans="1:6" x14ac:dyDescent="0.35">
      <c r="A129">
        <v>10</v>
      </c>
      <c r="B129">
        <v>2</v>
      </c>
      <c r="C129" t="s">
        <v>237</v>
      </c>
      <c r="D129" s="4">
        <v>0.1</v>
      </c>
      <c r="E129" s="4">
        <v>14</v>
      </c>
      <c r="F129" s="4">
        <v>20</v>
      </c>
    </row>
    <row r="130" spans="1:6" x14ac:dyDescent="0.35">
      <c r="A130">
        <v>10</v>
      </c>
      <c r="B130">
        <v>3</v>
      </c>
      <c r="C130" t="s">
        <v>238</v>
      </c>
      <c r="D130" s="4">
        <v>0.01</v>
      </c>
      <c r="E130" s="4">
        <v>0.2</v>
      </c>
      <c r="F130" s="4">
        <v>0.5</v>
      </c>
    </row>
    <row r="131" spans="1:6" x14ac:dyDescent="0.35">
      <c r="A131">
        <v>10</v>
      </c>
      <c r="B131">
        <v>4</v>
      </c>
      <c r="C131" t="s">
        <v>239</v>
      </c>
      <c r="D131" s="4">
        <v>10</v>
      </c>
      <c r="E131" s="4">
        <v>52</v>
      </c>
      <c r="F131" s="4">
        <v>104</v>
      </c>
    </row>
    <row r="132" spans="1:6" x14ac:dyDescent="0.35">
      <c r="A132">
        <v>10</v>
      </c>
      <c r="B132">
        <v>5</v>
      </c>
      <c r="C132" t="s">
        <v>240</v>
      </c>
      <c r="D132" s="4">
        <v>0.4</v>
      </c>
      <c r="E132" s="4">
        <v>1.65</v>
      </c>
      <c r="F132" s="4">
        <v>5</v>
      </c>
    </row>
    <row r="133" spans="1:6" x14ac:dyDescent="0.35">
      <c r="A133">
        <v>10</v>
      </c>
      <c r="B133">
        <v>6</v>
      </c>
      <c r="C133" t="s">
        <v>241</v>
      </c>
      <c r="D133" s="4">
        <v>0.5</v>
      </c>
      <c r="E133" s="4">
        <v>1.75</v>
      </c>
      <c r="F133" s="4">
        <v>2.2000000000000002</v>
      </c>
    </row>
    <row r="134" spans="1:6" x14ac:dyDescent="0.35">
      <c r="A134">
        <v>10</v>
      </c>
      <c r="B134">
        <v>7</v>
      </c>
      <c r="C134" t="s">
        <v>242</v>
      </c>
      <c r="D134" s="4">
        <v>12</v>
      </c>
      <c r="E134" s="4">
        <v>113</v>
      </c>
      <c r="F134" s="4">
        <v>564</v>
      </c>
    </row>
    <row r="135" spans="1:6" x14ac:dyDescent="0.35">
      <c r="A135">
        <v>10</v>
      </c>
      <c r="B135">
        <v>8</v>
      </c>
      <c r="C135" t="s">
        <v>243</v>
      </c>
      <c r="D135" s="4">
        <v>0.1</v>
      </c>
      <c r="E135" s="4">
        <v>0.4</v>
      </c>
      <c r="F135" s="4">
        <v>0.8</v>
      </c>
    </row>
    <row r="136" spans="1:6" x14ac:dyDescent="0.35">
      <c r="A136">
        <v>10</v>
      </c>
      <c r="B136">
        <v>9</v>
      </c>
      <c r="C136" t="s">
        <v>244</v>
      </c>
      <c r="D136" s="4">
        <v>0.05</v>
      </c>
      <c r="E136" s="4">
        <v>0.3</v>
      </c>
      <c r="F136" s="4">
        <v>0.8</v>
      </c>
    </row>
    <row r="137" spans="1:6" x14ac:dyDescent="0.35">
      <c r="A137">
        <v>10</v>
      </c>
      <c r="B137">
        <v>10</v>
      </c>
      <c r="C137" t="s">
        <v>245</v>
      </c>
      <c r="D137" s="4">
        <v>5.0000000000000001E-3</v>
      </c>
      <c r="E137" s="4">
        <v>0.03</v>
      </c>
      <c r="F137" s="4">
        <v>0.08</v>
      </c>
    </row>
    <row r="138" spans="1:6" x14ac:dyDescent="0.35">
      <c r="A138">
        <v>10</v>
      </c>
      <c r="B138">
        <v>11</v>
      </c>
      <c r="C138" t="s">
        <v>246</v>
      </c>
      <c r="D138" s="4">
        <v>15</v>
      </c>
      <c r="E138" s="4">
        <v>30</v>
      </c>
      <c r="F138" s="4">
        <v>80</v>
      </c>
    </row>
    <row r="139" spans="1:6" x14ac:dyDescent="0.35">
      <c r="A139">
        <v>10</v>
      </c>
      <c r="B139">
        <v>12</v>
      </c>
      <c r="C139" t="s">
        <v>247</v>
      </c>
      <c r="D139" s="4">
        <v>545</v>
      </c>
      <c r="E139" s="4">
        <v>682</v>
      </c>
      <c r="F139" s="4">
        <v>850</v>
      </c>
    </row>
    <row r="140" spans="1:6" x14ac:dyDescent="0.35">
      <c r="A140">
        <v>10</v>
      </c>
      <c r="B140">
        <v>13</v>
      </c>
      <c r="C140" t="s">
        <v>248</v>
      </c>
      <c r="D140" s="4">
        <v>10</v>
      </c>
      <c r="E140" s="4">
        <v>30</v>
      </c>
      <c r="F140" s="4">
        <v>40</v>
      </c>
    </row>
    <row r="141" spans="1:6" x14ac:dyDescent="0.35">
      <c r="A141">
        <v>10</v>
      </c>
      <c r="B141">
        <v>14</v>
      </c>
      <c r="C141" t="s">
        <v>249</v>
      </c>
      <c r="D141" s="4">
        <v>0.5</v>
      </c>
      <c r="E141" s="4">
        <v>0.62</v>
      </c>
      <c r="F141" s="4">
        <v>0.8</v>
      </c>
    </row>
    <row r="142" spans="1:6" x14ac:dyDescent="0.35">
      <c r="A142">
        <v>11</v>
      </c>
      <c r="B142">
        <v>1</v>
      </c>
      <c r="C142" t="s">
        <v>236</v>
      </c>
      <c r="D142" s="4">
        <v>0.05</v>
      </c>
      <c r="E142" s="4">
        <v>0.15</v>
      </c>
      <c r="F142" s="4">
        <v>0.25</v>
      </c>
    </row>
    <row r="143" spans="1:6" x14ac:dyDescent="0.35">
      <c r="A143">
        <v>11</v>
      </c>
      <c r="B143">
        <v>2</v>
      </c>
      <c r="C143" t="s">
        <v>237</v>
      </c>
      <c r="D143" s="4">
        <v>12</v>
      </c>
      <c r="E143" s="4">
        <v>15</v>
      </c>
      <c r="F143" s="4">
        <v>20</v>
      </c>
    </row>
    <row r="144" spans="1:6" x14ac:dyDescent="0.35">
      <c r="A144">
        <v>11</v>
      </c>
      <c r="B144">
        <v>3</v>
      </c>
      <c r="C144" t="s">
        <v>238</v>
      </c>
      <c r="D144" s="4">
        <v>0.02</v>
      </c>
      <c r="E144" s="4">
        <v>0.05</v>
      </c>
      <c r="F144" s="4">
        <v>0.1</v>
      </c>
    </row>
    <row r="145" spans="1:6" x14ac:dyDescent="0.35">
      <c r="A145">
        <v>11</v>
      </c>
      <c r="B145">
        <v>4</v>
      </c>
      <c r="C145" t="s">
        <v>239</v>
      </c>
      <c r="D145" s="4">
        <v>10</v>
      </c>
      <c r="E145" s="4">
        <v>100</v>
      </c>
      <c r="F145" s="4">
        <v>250</v>
      </c>
    </row>
    <row r="146" spans="1:6" x14ac:dyDescent="0.35">
      <c r="A146">
        <v>11</v>
      </c>
      <c r="B146">
        <v>5</v>
      </c>
      <c r="C146" t="s">
        <v>240</v>
      </c>
      <c r="D146" s="4">
        <v>50</v>
      </c>
      <c r="E146" s="4">
        <v>100</v>
      </c>
      <c r="F146" s="4">
        <v>250</v>
      </c>
    </row>
    <row r="147" spans="1:6" x14ac:dyDescent="0.35">
      <c r="A147">
        <v>11</v>
      </c>
      <c r="B147">
        <v>6</v>
      </c>
      <c r="C147" t="s">
        <v>241</v>
      </c>
      <c r="D147" s="4">
        <v>50</v>
      </c>
      <c r="E147" s="4">
        <v>250</v>
      </c>
      <c r="F147" s="4">
        <v>500</v>
      </c>
    </row>
    <row r="148" spans="1:6" x14ac:dyDescent="0.35">
      <c r="A148">
        <v>11</v>
      </c>
      <c r="B148">
        <v>7</v>
      </c>
      <c r="C148" t="s">
        <v>242</v>
      </c>
      <c r="D148" s="4">
        <v>100</v>
      </c>
      <c r="E148" s="4">
        <v>200</v>
      </c>
      <c r="F148" s="4">
        <v>1000</v>
      </c>
    </row>
    <row r="149" spans="1:6" x14ac:dyDescent="0.35">
      <c r="A149">
        <v>11</v>
      </c>
      <c r="B149">
        <v>8</v>
      </c>
      <c r="C149" t="s">
        <v>243</v>
      </c>
      <c r="D149" s="4">
        <v>0.01</v>
      </c>
      <c r="E149" s="4">
        <v>0.05</v>
      </c>
      <c r="F149" s="4">
        <v>0.5</v>
      </c>
    </row>
    <row r="150" spans="1:6" x14ac:dyDescent="0.35">
      <c r="A150">
        <v>11</v>
      </c>
      <c r="B150">
        <v>9</v>
      </c>
      <c r="C150" t="s">
        <v>244</v>
      </c>
      <c r="D150" s="4">
        <v>0.05</v>
      </c>
      <c r="E150" s="4">
        <v>0.1</v>
      </c>
      <c r="F150" s="4">
        <v>0.2</v>
      </c>
    </row>
    <row r="151" spans="1:6" x14ac:dyDescent="0.35">
      <c r="A151">
        <v>11</v>
      </c>
      <c r="B151">
        <v>10</v>
      </c>
      <c r="C151" t="s">
        <v>245</v>
      </c>
      <c r="D151" s="4">
        <v>0.05</v>
      </c>
      <c r="E151" s="4">
        <v>0.2</v>
      </c>
      <c r="F151" s="4">
        <v>0.5</v>
      </c>
    </row>
    <row r="152" spans="1:6" x14ac:dyDescent="0.35">
      <c r="A152">
        <v>11</v>
      </c>
      <c r="B152">
        <v>11</v>
      </c>
      <c r="C152" t="s">
        <v>246</v>
      </c>
      <c r="D152" s="4">
        <v>50</v>
      </c>
      <c r="E152" s="4">
        <v>200</v>
      </c>
      <c r="F152" s="4">
        <v>500</v>
      </c>
    </row>
    <row r="153" spans="1:6" x14ac:dyDescent="0.35">
      <c r="A153">
        <v>11</v>
      </c>
      <c r="B153">
        <v>12</v>
      </c>
      <c r="C153" t="s">
        <v>247</v>
      </c>
      <c r="D153" s="4">
        <v>500</v>
      </c>
      <c r="E153" s="4">
        <v>750</v>
      </c>
      <c r="F153" s="4">
        <v>1000</v>
      </c>
    </row>
    <row r="154" spans="1:6" x14ac:dyDescent="0.35">
      <c r="A154">
        <v>11</v>
      </c>
      <c r="B154">
        <v>13</v>
      </c>
      <c r="C154" t="s">
        <v>248</v>
      </c>
      <c r="D154" s="4">
        <v>25</v>
      </c>
      <c r="E154" s="4">
        <v>50</v>
      </c>
      <c r="F154" s="4">
        <v>100</v>
      </c>
    </row>
    <row r="155" spans="1:6" x14ac:dyDescent="0.35">
      <c r="A155">
        <v>11</v>
      </c>
      <c r="B155">
        <v>14</v>
      </c>
      <c r="C155" t="s">
        <v>249</v>
      </c>
      <c r="D155" s="4">
        <v>0.15</v>
      </c>
      <c r="E155" s="4">
        <v>0.25</v>
      </c>
      <c r="F155" s="4">
        <v>0.4</v>
      </c>
    </row>
    <row r="156" spans="1:6" x14ac:dyDescent="0.35">
      <c r="A156">
        <v>12</v>
      </c>
      <c r="B156">
        <v>1</v>
      </c>
      <c r="C156" t="s">
        <v>236</v>
      </c>
      <c r="D156" s="4">
        <v>0.1</v>
      </c>
      <c r="E156" s="4">
        <v>0.11</v>
      </c>
      <c r="F156" s="4">
        <v>0.16</v>
      </c>
    </row>
    <row r="157" spans="1:6" x14ac:dyDescent="0.35">
      <c r="A157">
        <v>12</v>
      </c>
      <c r="B157">
        <v>2</v>
      </c>
      <c r="C157" t="s">
        <v>237</v>
      </c>
      <c r="D157" s="4">
        <v>13</v>
      </c>
      <c r="E157" s="4">
        <v>16</v>
      </c>
      <c r="F157" s="4">
        <v>20</v>
      </c>
    </row>
    <row r="158" spans="1:6" x14ac:dyDescent="0.35">
      <c r="A158">
        <v>12</v>
      </c>
      <c r="B158">
        <v>3</v>
      </c>
      <c r="C158" t="s">
        <v>238</v>
      </c>
      <c r="D158" s="4">
        <v>0.05</v>
      </c>
      <c r="E158" s="4">
        <v>0.14000000000000001</v>
      </c>
      <c r="F158" s="4">
        <v>0.2</v>
      </c>
    </row>
    <row r="159" spans="1:6" x14ac:dyDescent="0.35">
      <c r="A159">
        <v>12</v>
      </c>
      <c r="B159">
        <v>4</v>
      </c>
      <c r="C159" t="s">
        <v>239</v>
      </c>
      <c r="D159" s="4">
        <v>627</v>
      </c>
      <c r="E159" s="4">
        <v>836</v>
      </c>
      <c r="F159" s="4">
        <v>889</v>
      </c>
    </row>
    <row r="160" spans="1:6" x14ac:dyDescent="0.35">
      <c r="A160">
        <v>12</v>
      </c>
      <c r="B160">
        <v>5</v>
      </c>
      <c r="C160" t="s">
        <v>240</v>
      </c>
      <c r="D160" s="4">
        <v>9.9999999999999995E-7</v>
      </c>
      <c r="E160" s="4">
        <v>1</v>
      </c>
      <c r="F160" s="4">
        <v>2.5</v>
      </c>
    </row>
    <row r="161" spans="1:6" x14ac:dyDescent="0.35">
      <c r="A161">
        <v>12</v>
      </c>
      <c r="B161">
        <v>6</v>
      </c>
      <c r="C161" t="s">
        <v>241</v>
      </c>
      <c r="D161" s="4">
        <v>2</v>
      </c>
      <c r="E161" s="4">
        <v>7</v>
      </c>
      <c r="F161" s="4">
        <v>10</v>
      </c>
    </row>
    <row r="162" spans="1:6" x14ac:dyDescent="0.35">
      <c r="A162">
        <v>12</v>
      </c>
      <c r="B162">
        <v>7</v>
      </c>
      <c r="C162" t="s">
        <v>242</v>
      </c>
      <c r="D162" s="4">
        <v>789</v>
      </c>
      <c r="E162" s="4">
        <v>1692</v>
      </c>
      <c r="F162" s="4">
        <v>4511</v>
      </c>
    </row>
    <row r="163" spans="1:6" x14ac:dyDescent="0.35">
      <c r="A163">
        <v>12</v>
      </c>
      <c r="B163">
        <v>8</v>
      </c>
      <c r="C163" t="s">
        <v>243</v>
      </c>
      <c r="D163" s="4">
        <v>0.2</v>
      </c>
      <c r="E163" s="4">
        <v>0.35</v>
      </c>
      <c r="F163" s="4">
        <v>0.95</v>
      </c>
    </row>
    <row r="164" spans="1:6" x14ac:dyDescent="0.35">
      <c r="A164">
        <v>12</v>
      </c>
      <c r="B164">
        <v>9</v>
      </c>
      <c r="C164" t="s">
        <v>244</v>
      </c>
      <c r="D164" s="4">
        <v>0.1</v>
      </c>
      <c r="E164" s="4">
        <v>0.5</v>
      </c>
      <c r="F164" s="4">
        <v>0.8</v>
      </c>
    </row>
    <row r="165" spans="1:6" x14ac:dyDescent="0.35">
      <c r="A165">
        <v>12</v>
      </c>
      <c r="B165">
        <v>10</v>
      </c>
      <c r="C165" t="s">
        <v>245</v>
      </c>
      <c r="D165" s="4">
        <v>0.02</v>
      </c>
      <c r="E165" s="4">
        <v>0.05</v>
      </c>
      <c r="F165" s="4">
        <v>0.15</v>
      </c>
    </row>
    <row r="166" spans="1:6" x14ac:dyDescent="0.35">
      <c r="A166">
        <v>12</v>
      </c>
      <c r="B166">
        <v>11</v>
      </c>
      <c r="C166" t="s">
        <v>246</v>
      </c>
      <c r="D166" s="4">
        <v>20</v>
      </c>
      <c r="E166" s="4">
        <v>40</v>
      </c>
      <c r="F166" s="4">
        <v>100</v>
      </c>
    </row>
    <row r="167" spans="1:6" x14ac:dyDescent="0.35">
      <c r="A167">
        <v>12</v>
      </c>
      <c r="B167">
        <v>12</v>
      </c>
      <c r="C167" t="s">
        <v>247</v>
      </c>
      <c r="D167" s="4">
        <v>500</v>
      </c>
      <c r="E167" s="4">
        <v>800</v>
      </c>
      <c r="F167" s="4">
        <v>1000</v>
      </c>
    </row>
    <row r="168" spans="1:6" x14ac:dyDescent="0.35">
      <c r="A168">
        <v>12</v>
      </c>
      <c r="B168">
        <v>13</v>
      </c>
      <c r="C168" t="s">
        <v>248</v>
      </c>
      <c r="D168" s="4">
        <v>15</v>
      </c>
      <c r="E168" s="4">
        <v>25</v>
      </c>
      <c r="F168" s="4">
        <v>30</v>
      </c>
    </row>
    <row r="169" spans="1:6" x14ac:dyDescent="0.35">
      <c r="A169">
        <v>12</v>
      </c>
      <c r="B169">
        <v>14</v>
      </c>
      <c r="C169" t="s">
        <v>249</v>
      </c>
      <c r="D169" s="4">
        <v>0.45</v>
      </c>
      <c r="E169" s="4">
        <v>0.5</v>
      </c>
      <c r="F169" s="4">
        <v>0.6</v>
      </c>
    </row>
    <row r="170" spans="1:6" x14ac:dyDescent="0.35">
      <c r="A170">
        <v>13</v>
      </c>
      <c r="B170">
        <v>1</v>
      </c>
      <c r="C170" t="s">
        <v>236</v>
      </c>
      <c r="D170" s="4">
        <v>0.13</v>
      </c>
      <c r="E170" s="4">
        <v>0.18</v>
      </c>
      <c r="F170" s="4">
        <v>0.3</v>
      </c>
    </row>
    <row r="171" spans="1:6" x14ac:dyDescent="0.35">
      <c r="A171">
        <v>13</v>
      </c>
      <c r="B171">
        <v>2</v>
      </c>
      <c r="C171" t="s">
        <v>237</v>
      </c>
      <c r="D171" s="4">
        <v>15</v>
      </c>
      <c r="E171" s="4">
        <v>18</v>
      </c>
      <c r="F171" s="4">
        <v>19</v>
      </c>
    </row>
    <row r="172" spans="1:6" x14ac:dyDescent="0.35">
      <c r="A172">
        <v>13</v>
      </c>
      <c r="B172">
        <v>3</v>
      </c>
      <c r="C172" t="s">
        <v>238</v>
      </c>
      <c r="D172" s="4">
        <v>0.2</v>
      </c>
      <c r="E172" s="4">
        <v>0.27400000000000002</v>
      </c>
      <c r="F172" s="4">
        <v>0.3</v>
      </c>
    </row>
    <row r="173" spans="1:6" x14ac:dyDescent="0.35">
      <c r="A173">
        <v>13</v>
      </c>
      <c r="B173">
        <v>4</v>
      </c>
      <c r="C173" t="s">
        <v>239</v>
      </c>
      <c r="D173" s="4">
        <v>100</v>
      </c>
      <c r="E173" s="4">
        <v>500</v>
      </c>
      <c r="F173" s="4">
        <v>999</v>
      </c>
    </row>
    <row r="174" spans="1:6" x14ac:dyDescent="0.35">
      <c r="A174">
        <v>13</v>
      </c>
      <c r="B174">
        <v>5</v>
      </c>
      <c r="C174" t="s">
        <v>240</v>
      </c>
      <c r="D174" s="4">
        <v>0.1</v>
      </c>
      <c r="E174" s="4">
        <v>0.39</v>
      </c>
      <c r="F174" s="4">
        <v>2</v>
      </c>
    </row>
    <row r="175" spans="1:6" x14ac:dyDescent="0.35">
      <c r="A175">
        <v>13</v>
      </c>
      <c r="B175">
        <v>6</v>
      </c>
      <c r="C175" t="s">
        <v>241</v>
      </c>
      <c r="D175" s="4">
        <v>0.1</v>
      </c>
      <c r="E175" s="4">
        <v>1.5</v>
      </c>
      <c r="F175" s="4">
        <v>4</v>
      </c>
    </row>
    <row r="176" spans="1:6" x14ac:dyDescent="0.35">
      <c r="A176">
        <v>13</v>
      </c>
      <c r="B176">
        <v>7</v>
      </c>
      <c r="C176" t="s">
        <v>242</v>
      </c>
      <c r="D176" s="4">
        <v>200</v>
      </c>
      <c r="E176" s="4">
        <v>300</v>
      </c>
      <c r="F176" s="4">
        <v>650</v>
      </c>
    </row>
    <row r="177" spans="1:6" x14ac:dyDescent="0.35">
      <c r="A177">
        <v>13</v>
      </c>
      <c r="B177">
        <v>8</v>
      </c>
      <c r="C177" t="s">
        <v>243</v>
      </c>
      <c r="D177" s="4">
        <v>0.4</v>
      </c>
      <c r="E177" s="4">
        <v>0.6</v>
      </c>
      <c r="F177" s="4">
        <v>0.8</v>
      </c>
    </row>
    <row r="178" spans="1:6" x14ac:dyDescent="0.35">
      <c r="A178">
        <v>13</v>
      </c>
      <c r="B178">
        <v>9</v>
      </c>
      <c r="C178" t="s">
        <v>244</v>
      </c>
      <c r="D178" s="4">
        <v>0.2</v>
      </c>
      <c r="E178" s="4">
        <v>0.4</v>
      </c>
      <c r="F178" s="4">
        <v>0.5</v>
      </c>
    </row>
    <row r="179" spans="1:6" x14ac:dyDescent="0.35">
      <c r="A179">
        <v>13</v>
      </c>
      <c r="B179">
        <v>10</v>
      </c>
      <c r="C179" t="s">
        <v>245</v>
      </c>
      <c r="D179" s="4">
        <v>0.02</v>
      </c>
      <c r="E179" s="4">
        <v>0.05</v>
      </c>
      <c r="F179" s="4">
        <v>0.25</v>
      </c>
    </row>
    <row r="180" spans="1:6" x14ac:dyDescent="0.35">
      <c r="A180">
        <v>13</v>
      </c>
      <c r="B180">
        <v>11</v>
      </c>
      <c r="C180" t="s">
        <v>246</v>
      </c>
      <c r="D180" s="4">
        <v>100</v>
      </c>
      <c r="E180" s="4">
        <v>250</v>
      </c>
      <c r="F180" s="4">
        <v>380</v>
      </c>
    </row>
    <row r="181" spans="1:6" x14ac:dyDescent="0.35">
      <c r="A181">
        <v>13</v>
      </c>
      <c r="B181">
        <v>12</v>
      </c>
      <c r="C181" t="s">
        <v>247</v>
      </c>
      <c r="D181" s="4">
        <v>600</v>
      </c>
      <c r="E181" s="4">
        <v>800</v>
      </c>
      <c r="F181" s="4">
        <v>900</v>
      </c>
    </row>
    <row r="182" spans="1:6" x14ac:dyDescent="0.35">
      <c r="A182">
        <v>13</v>
      </c>
      <c r="B182">
        <v>13</v>
      </c>
      <c r="C182" t="s">
        <v>248</v>
      </c>
      <c r="D182" s="4">
        <v>10</v>
      </c>
      <c r="E182" s="4">
        <v>30</v>
      </c>
      <c r="F182" s="4">
        <v>50</v>
      </c>
    </row>
    <row r="183" spans="1:6" x14ac:dyDescent="0.35">
      <c r="A183">
        <v>13</v>
      </c>
      <c r="B183">
        <v>14</v>
      </c>
      <c r="C183" t="s">
        <v>249</v>
      </c>
      <c r="D183" s="4">
        <v>0.25</v>
      </c>
      <c r="E183" s="4">
        <v>0.39</v>
      </c>
      <c r="F183" s="4">
        <v>0.65</v>
      </c>
    </row>
    <row r="184" spans="1:6" x14ac:dyDescent="0.35">
      <c r="A184">
        <v>14</v>
      </c>
      <c r="B184">
        <v>1</v>
      </c>
      <c r="C184" t="s">
        <v>236</v>
      </c>
      <c r="D184" s="4">
        <v>7.0000000000000007E-2</v>
      </c>
      <c r="E184" s="4">
        <v>0.15</v>
      </c>
      <c r="F184" s="4">
        <v>0.22</v>
      </c>
    </row>
    <row r="185" spans="1:6" x14ac:dyDescent="0.35">
      <c r="A185">
        <v>14</v>
      </c>
      <c r="B185">
        <v>2</v>
      </c>
      <c r="C185" t="s">
        <v>237</v>
      </c>
      <c r="D185" s="4">
        <v>9.6199999999999992</v>
      </c>
      <c r="E185" s="4">
        <v>18.41</v>
      </c>
      <c r="F185" s="4">
        <v>23.3</v>
      </c>
    </row>
    <row r="186" spans="1:6" x14ac:dyDescent="0.35">
      <c r="A186">
        <v>14</v>
      </c>
      <c r="B186">
        <v>3</v>
      </c>
      <c r="C186" t="s">
        <v>238</v>
      </c>
      <c r="D186" s="4">
        <v>0.05</v>
      </c>
      <c r="E186" s="4">
        <v>0.15</v>
      </c>
      <c r="F186" s="4">
        <v>0.47</v>
      </c>
    </row>
    <row r="187" spans="1:6" x14ac:dyDescent="0.35">
      <c r="A187">
        <v>14</v>
      </c>
      <c r="B187">
        <v>4</v>
      </c>
      <c r="C187" t="s">
        <v>239</v>
      </c>
      <c r="D187" s="4">
        <v>50</v>
      </c>
      <c r="E187" s="4">
        <v>123</v>
      </c>
      <c r="F187" s="4">
        <v>673</v>
      </c>
    </row>
    <row r="188" spans="1:6" x14ac:dyDescent="0.35">
      <c r="A188">
        <v>14</v>
      </c>
      <c r="B188">
        <v>5</v>
      </c>
      <c r="C188" t="s">
        <v>240</v>
      </c>
      <c r="D188" s="4">
        <v>0.5</v>
      </c>
      <c r="E188" s="4">
        <v>3</v>
      </c>
      <c r="F188" s="4">
        <v>5</v>
      </c>
    </row>
    <row r="189" spans="1:6" x14ac:dyDescent="0.35">
      <c r="A189">
        <v>14</v>
      </c>
      <c r="B189">
        <v>6</v>
      </c>
      <c r="C189" t="s">
        <v>241</v>
      </c>
      <c r="D189" s="4">
        <v>0.5</v>
      </c>
      <c r="E189" s="4">
        <v>2</v>
      </c>
      <c r="F189" s="4">
        <v>4</v>
      </c>
    </row>
    <row r="190" spans="1:6" x14ac:dyDescent="0.35">
      <c r="A190">
        <v>14</v>
      </c>
      <c r="B190">
        <v>7</v>
      </c>
      <c r="C190" t="s">
        <v>242</v>
      </c>
      <c r="D190" s="4">
        <v>35</v>
      </c>
      <c r="E190" s="4">
        <v>1354</v>
      </c>
      <c r="F190" s="4">
        <v>6124</v>
      </c>
    </row>
    <row r="191" spans="1:6" x14ac:dyDescent="0.35">
      <c r="A191">
        <v>14</v>
      </c>
      <c r="B191">
        <v>8</v>
      </c>
      <c r="C191" t="s">
        <v>243</v>
      </c>
      <c r="D191" s="4">
        <v>7.0000000000000007E-2</v>
      </c>
      <c r="E191" s="4">
        <v>0.63</v>
      </c>
      <c r="F191" s="4">
        <v>0.84</v>
      </c>
    </row>
    <row r="192" spans="1:6" x14ac:dyDescent="0.35">
      <c r="A192">
        <v>14</v>
      </c>
      <c r="B192">
        <v>9</v>
      </c>
      <c r="C192" t="s">
        <v>244</v>
      </c>
      <c r="D192" s="4">
        <v>3.0000000000000001E-3</v>
      </c>
      <c r="E192" s="4">
        <v>0.04</v>
      </c>
      <c r="F192" s="4">
        <v>0.21</v>
      </c>
    </row>
    <row r="193" spans="1:6" x14ac:dyDescent="0.35">
      <c r="A193">
        <v>14</v>
      </c>
      <c r="B193">
        <v>10</v>
      </c>
      <c r="C193" t="s">
        <v>245</v>
      </c>
      <c r="D193" s="4">
        <v>0.15</v>
      </c>
      <c r="E193" s="4">
        <v>0.47</v>
      </c>
      <c r="F193" s="4">
        <v>0.9</v>
      </c>
    </row>
    <row r="194" spans="1:6" x14ac:dyDescent="0.35">
      <c r="A194">
        <v>14</v>
      </c>
      <c r="B194">
        <v>11</v>
      </c>
      <c r="C194" t="s">
        <v>246</v>
      </c>
      <c r="D194" s="4">
        <v>35</v>
      </c>
      <c r="E194" s="4">
        <v>81</v>
      </c>
      <c r="F194" s="4">
        <v>174</v>
      </c>
    </row>
    <row r="195" spans="1:6" x14ac:dyDescent="0.35">
      <c r="A195">
        <v>14</v>
      </c>
      <c r="B195">
        <v>12</v>
      </c>
      <c r="C195" t="s">
        <v>247</v>
      </c>
      <c r="D195" s="4">
        <v>401</v>
      </c>
      <c r="E195" s="4">
        <v>804</v>
      </c>
      <c r="F195" s="4">
        <v>965</v>
      </c>
    </row>
    <row r="196" spans="1:6" x14ac:dyDescent="0.35">
      <c r="A196">
        <v>14</v>
      </c>
      <c r="B196">
        <v>13</v>
      </c>
      <c r="C196" t="s">
        <v>248</v>
      </c>
      <c r="D196" s="4">
        <v>4</v>
      </c>
      <c r="E196" s="4">
        <v>10</v>
      </c>
      <c r="F196" s="4">
        <v>20</v>
      </c>
    </row>
    <row r="197" spans="1:6" x14ac:dyDescent="0.35">
      <c r="A197">
        <v>14</v>
      </c>
      <c r="B197">
        <v>14</v>
      </c>
      <c r="C197" t="s">
        <v>249</v>
      </c>
      <c r="D197" s="4">
        <v>0.44</v>
      </c>
      <c r="E197" s="4">
        <v>0.5</v>
      </c>
      <c r="F197" s="4">
        <v>0.65</v>
      </c>
    </row>
    <row r="198" spans="1:6" x14ac:dyDescent="0.35">
      <c r="A198">
        <v>15</v>
      </c>
      <c r="B198">
        <v>1</v>
      </c>
      <c r="C198" t="s">
        <v>236</v>
      </c>
      <c r="D198" s="4">
        <v>7.0000000000000007E-2</v>
      </c>
      <c r="E198" s="4">
        <v>0.15</v>
      </c>
      <c r="F198" s="4">
        <v>0.3</v>
      </c>
    </row>
    <row r="199" spans="1:6" x14ac:dyDescent="0.35">
      <c r="A199">
        <v>15</v>
      </c>
      <c r="B199">
        <v>2</v>
      </c>
      <c r="C199" t="s">
        <v>237</v>
      </c>
      <c r="D199" s="4">
        <v>7</v>
      </c>
      <c r="E199" s="4">
        <v>17</v>
      </c>
      <c r="F199" s="4">
        <v>27</v>
      </c>
    </row>
    <row r="200" spans="1:6" x14ac:dyDescent="0.35">
      <c r="A200">
        <v>15</v>
      </c>
      <c r="B200">
        <v>3</v>
      </c>
      <c r="C200" t="s">
        <v>238</v>
      </c>
      <c r="D200" s="4">
        <v>0.02</v>
      </c>
      <c r="E200" s="4">
        <v>0.1</v>
      </c>
      <c r="F200" s="4">
        <v>0.2</v>
      </c>
    </row>
    <row r="201" spans="1:6" x14ac:dyDescent="0.35">
      <c r="A201">
        <v>15</v>
      </c>
      <c r="B201">
        <v>4</v>
      </c>
      <c r="C201" t="s">
        <v>239</v>
      </c>
      <c r="D201" s="4">
        <v>50</v>
      </c>
      <c r="E201" s="4">
        <v>100</v>
      </c>
      <c r="F201" s="4">
        <v>200</v>
      </c>
    </row>
    <row r="202" spans="1:6" x14ac:dyDescent="0.35">
      <c r="A202">
        <v>15</v>
      </c>
      <c r="B202">
        <v>5</v>
      </c>
      <c r="C202" t="s">
        <v>240</v>
      </c>
      <c r="D202" s="4">
        <v>0.5</v>
      </c>
      <c r="E202" s="4">
        <v>3</v>
      </c>
      <c r="F202" s="4">
        <v>9</v>
      </c>
    </row>
    <row r="203" spans="1:6" x14ac:dyDescent="0.35">
      <c r="A203">
        <v>15</v>
      </c>
      <c r="B203">
        <v>6</v>
      </c>
      <c r="C203" t="s">
        <v>241</v>
      </c>
      <c r="D203" s="4">
        <v>1</v>
      </c>
      <c r="E203" s="4">
        <v>3</v>
      </c>
      <c r="F203" s="4">
        <v>6</v>
      </c>
    </row>
    <row r="204" spans="1:6" x14ac:dyDescent="0.35">
      <c r="A204">
        <v>15</v>
      </c>
      <c r="B204">
        <v>7</v>
      </c>
      <c r="C204" t="s">
        <v>242</v>
      </c>
      <c r="D204" s="4">
        <v>500</v>
      </c>
      <c r="E204" s="4">
        <v>3000</v>
      </c>
      <c r="F204" s="4">
        <v>6000</v>
      </c>
    </row>
    <row r="205" spans="1:6" x14ac:dyDescent="0.35">
      <c r="A205">
        <v>15</v>
      </c>
      <c r="B205">
        <v>8</v>
      </c>
      <c r="C205" t="s">
        <v>243</v>
      </c>
      <c r="D205" s="4">
        <v>0.05</v>
      </c>
      <c r="E205" s="4">
        <v>0.2</v>
      </c>
      <c r="F205" s="4">
        <v>0.4</v>
      </c>
    </row>
    <row r="206" spans="1:6" x14ac:dyDescent="0.35">
      <c r="A206">
        <v>15</v>
      </c>
      <c r="B206">
        <v>9</v>
      </c>
      <c r="C206" t="s">
        <v>244</v>
      </c>
      <c r="D206" s="4">
        <v>0.05</v>
      </c>
      <c r="E206" s="4">
        <v>0.2</v>
      </c>
      <c r="F206" s="4">
        <v>0.4</v>
      </c>
    </row>
    <row r="207" spans="1:6" x14ac:dyDescent="0.35">
      <c r="A207">
        <v>15</v>
      </c>
      <c r="B207">
        <v>10</v>
      </c>
      <c r="C207" t="s">
        <v>245</v>
      </c>
      <c r="D207" s="4">
        <v>0.01</v>
      </c>
      <c r="E207" s="4">
        <v>0.2</v>
      </c>
      <c r="F207" s="4">
        <v>0.3</v>
      </c>
    </row>
    <row r="208" spans="1:6" x14ac:dyDescent="0.35">
      <c r="A208">
        <v>15</v>
      </c>
      <c r="B208">
        <v>11</v>
      </c>
      <c r="C208" t="s">
        <v>246</v>
      </c>
      <c r="D208" s="4">
        <v>5</v>
      </c>
      <c r="E208" s="4">
        <v>25</v>
      </c>
      <c r="F208" s="4">
        <v>50</v>
      </c>
    </row>
    <row r="209" spans="1:6" x14ac:dyDescent="0.35">
      <c r="A209">
        <v>15</v>
      </c>
      <c r="B209">
        <v>12</v>
      </c>
      <c r="C209" t="s">
        <v>247</v>
      </c>
      <c r="D209" s="4">
        <v>250</v>
      </c>
      <c r="E209" s="4">
        <v>750</v>
      </c>
      <c r="F209" s="4">
        <v>1500</v>
      </c>
    </row>
    <row r="210" spans="1:6" x14ac:dyDescent="0.35">
      <c r="A210">
        <v>15</v>
      </c>
      <c r="B210">
        <v>13</v>
      </c>
      <c r="C210" t="s">
        <v>248</v>
      </c>
      <c r="D210" s="4">
        <v>20</v>
      </c>
      <c r="E210" s="4">
        <v>40</v>
      </c>
      <c r="F210" s="4">
        <v>60</v>
      </c>
    </row>
    <row r="211" spans="1:6" x14ac:dyDescent="0.35">
      <c r="A211">
        <v>15</v>
      </c>
      <c r="B211">
        <v>14</v>
      </c>
      <c r="C211" t="s">
        <v>249</v>
      </c>
      <c r="D211" s="4">
        <v>0.1</v>
      </c>
      <c r="E211" s="4">
        <v>0.3</v>
      </c>
      <c r="F211" s="4">
        <v>0.6</v>
      </c>
    </row>
    <row r="212" spans="1:6" x14ac:dyDescent="0.35">
      <c r="A212">
        <v>16</v>
      </c>
      <c r="B212">
        <v>1</v>
      </c>
      <c r="C212" t="s">
        <v>236</v>
      </c>
      <c r="D212" s="4">
        <v>0.05</v>
      </c>
      <c r="E212" s="4">
        <v>0.2</v>
      </c>
      <c r="F212" s="4">
        <v>0.3</v>
      </c>
    </row>
    <row r="213" spans="1:6" x14ac:dyDescent="0.35">
      <c r="A213">
        <v>16</v>
      </c>
      <c r="B213">
        <v>2</v>
      </c>
      <c r="C213" t="s">
        <v>237</v>
      </c>
      <c r="D213" s="4">
        <v>11</v>
      </c>
      <c r="E213" s="4">
        <v>15</v>
      </c>
      <c r="F213" s="4">
        <v>25</v>
      </c>
    </row>
    <row r="214" spans="1:6" x14ac:dyDescent="0.35">
      <c r="A214">
        <v>16</v>
      </c>
      <c r="B214">
        <v>3</v>
      </c>
      <c r="C214" t="s">
        <v>238</v>
      </c>
      <c r="D214" s="4">
        <v>9.9999999999999995E-7</v>
      </c>
      <c r="E214" s="4">
        <v>0.05</v>
      </c>
      <c r="F214" s="4">
        <v>0.2</v>
      </c>
    </row>
    <row r="215" spans="1:6" x14ac:dyDescent="0.35">
      <c r="A215">
        <v>16</v>
      </c>
      <c r="B215">
        <v>4</v>
      </c>
      <c r="C215" t="s">
        <v>239</v>
      </c>
      <c r="D215" s="4">
        <v>5</v>
      </c>
      <c r="E215" s="4">
        <v>20</v>
      </c>
      <c r="F215" s="4">
        <v>25</v>
      </c>
    </row>
    <row r="216" spans="1:6" x14ac:dyDescent="0.35">
      <c r="A216">
        <v>16</v>
      </c>
      <c r="B216">
        <v>5</v>
      </c>
      <c r="C216" t="s">
        <v>240</v>
      </c>
      <c r="D216" s="4">
        <v>0.4</v>
      </c>
      <c r="E216" s="4">
        <v>0.8</v>
      </c>
      <c r="F216" s="4">
        <v>1.25</v>
      </c>
    </row>
    <row r="217" spans="1:6" x14ac:dyDescent="0.35">
      <c r="A217">
        <v>16</v>
      </c>
      <c r="B217">
        <v>6</v>
      </c>
      <c r="C217" t="s">
        <v>241</v>
      </c>
      <c r="D217" s="4">
        <v>0.25</v>
      </c>
      <c r="E217" s="4">
        <v>0.75</v>
      </c>
      <c r="F217" s="4">
        <v>1.5</v>
      </c>
    </row>
    <row r="218" spans="1:6" x14ac:dyDescent="0.35">
      <c r="A218">
        <v>16</v>
      </c>
      <c r="B218">
        <v>7</v>
      </c>
      <c r="C218" t="s">
        <v>242</v>
      </c>
      <c r="D218" s="4">
        <v>200</v>
      </c>
      <c r="E218" s="4">
        <v>700</v>
      </c>
      <c r="F218" s="4">
        <v>3000</v>
      </c>
    </row>
    <row r="219" spans="1:6" x14ac:dyDescent="0.35">
      <c r="A219">
        <v>16</v>
      </c>
      <c r="B219">
        <v>8</v>
      </c>
      <c r="C219" t="s">
        <v>243</v>
      </c>
      <c r="D219" s="4">
        <v>0.2</v>
      </c>
      <c r="E219" s="4">
        <v>0.7</v>
      </c>
      <c r="F219" s="4">
        <v>0.9</v>
      </c>
    </row>
    <row r="220" spans="1:6" x14ac:dyDescent="0.35">
      <c r="A220">
        <v>16</v>
      </c>
      <c r="B220">
        <v>9</v>
      </c>
      <c r="C220" t="s">
        <v>244</v>
      </c>
      <c r="D220" s="4">
        <v>0.01</v>
      </c>
      <c r="E220" s="4">
        <v>0.05</v>
      </c>
      <c r="F220" s="4">
        <v>0.1</v>
      </c>
    </row>
    <row r="221" spans="1:6" x14ac:dyDescent="0.35">
      <c r="A221">
        <v>16</v>
      </c>
      <c r="B221">
        <v>10</v>
      </c>
      <c r="C221" t="s">
        <v>245</v>
      </c>
      <c r="D221" s="4">
        <v>0.01</v>
      </c>
      <c r="E221" s="4">
        <v>0.1</v>
      </c>
      <c r="F221" s="4">
        <v>0.3</v>
      </c>
    </row>
    <row r="222" spans="1:6" x14ac:dyDescent="0.35">
      <c r="A222">
        <v>16</v>
      </c>
      <c r="B222">
        <v>11</v>
      </c>
      <c r="C222" t="s">
        <v>246</v>
      </c>
      <c r="D222" s="4">
        <v>50</v>
      </c>
      <c r="E222" s="4">
        <v>100</v>
      </c>
      <c r="F222" s="4">
        <v>200</v>
      </c>
    </row>
    <row r="223" spans="1:6" x14ac:dyDescent="0.35">
      <c r="A223">
        <v>16</v>
      </c>
      <c r="B223">
        <v>12</v>
      </c>
      <c r="C223" t="s">
        <v>247</v>
      </c>
      <c r="D223" s="4">
        <v>550</v>
      </c>
      <c r="E223" s="4">
        <v>710</v>
      </c>
      <c r="F223" s="4">
        <v>900</v>
      </c>
    </row>
    <row r="224" spans="1:6" x14ac:dyDescent="0.35">
      <c r="A224">
        <v>16</v>
      </c>
      <c r="B224">
        <v>13</v>
      </c>
      <c r="C224" t="s">
        <v>248</v>
      </c>
      <c r="D224" s="4">
        <v>10</v>
      </c>
      <c r="E224" s="4">
        <v>20</v>
      </c>
      <c r="F224" s="4">
        <v>40</v>
      </c>
    </row>
    <row r="225" spans="1:6" x14ac:dyDescent="0.35">
      <c r="A225">
        <v>16</v>
      </c>
      <c r="B225">
        <v>14</v>
      </c>
      <c r="C225" t="s">
        <v>249</v>
      </c>
      <c r="D225" s="4">
        <v>0.05</v>
      </c>
      <c r="E225" s="4">
        <v>0.3</v>
      </c>
      <c r="F225" s="4">
        <v>0.6</v>
      </c>
    </row>
    <row r="226" spans="1:6" x14ac:dyDescent="0.35">
      <c r="A226">
        <v>17</v>
      </c>
      <c r="B226">
        <v>1</v>
      </c>
      <c r="C226" t="s">
        <v>236</v>
      </c>
      <c r="D226" s="4">
        <v>0.02</v>
      </c>
      <c r="E226" s="4">
        <v>0.11</v>
      </c>
      <c r="F226" s="4">
        <v>0.3</v>
      </c>
    </row>
    <row r="227" spans="1:6" x14ac:dyDescent="0.35">
      <c r="A227">
        <v>17</v>
      </c>
      <c r="B227">
        <v>2</v>
      </c>
      <c r="C227" t="s">
        <v>237</v>
      </c>
      <c r="D227" s="4">
        <v>0.05</v>
      </c>
      <c r="E227" s="4">
        <v>0.18</v>
      </c>
      <c r="F227" s="4">
        <v>0.4</v>
      </c>
    </row>
    <row r="228" spans="1:6" x14ac:dyDescent="0.35">
      <c r="A228">
        <v>17</v>
      </c>
      <c r="B228">
        <v>3</v>
      </c>
      <c r="C228" t="s">
        <v>238</v>
      </c>
      <c r="D228" s="4">
        <v>0.01</v>
      </c>
      <c r="E228" s="4">
        <v>0.08</v>
      </c>
      <c r="F228" s="4">
        <v>0.25</v>
      </c>
    </row>
    <row r="229" spans="1:6" x14ac:dyDescent="0.35">
      <c r="A229">
        <v>17</v>
      </c>
      <c r="B229">
        <v>4</v>
      </c>
      <c r="C229" t="s">
        <v>239</v>
      </c>
      <c r="D229" s="4">
        <v>10</v>
      </c>
      <c r="E229" s="4">
        <v>100</v>
      </c>
      <c r="F229" s="4">
        <v>300</v>
      </c>
    </row>
    <row r="230" spans="1:6" x14ac:dyDescent="0.35">
      <c r="A230">
        <v>17</v>
      </c>
      <c r="B230">
        <v>5</v>
      </c>
      <c r="C230" t="s">
        <v>240</v>
      </c>
      <c r="D230" s="4">
        <v>0.15</v>
      </c>
      <c r="E230" s="4">
        <v>0.55000000000000004</v>
      </c>
      <c r="F230" s="4">
        <v>1.85</v>
      </c>
    </row>
    <row r="231" spans="1:6" x14ac:dyDescent="0.35">
      <c r="A231">
        <v>17</v>
      </c>
      <c r="B231">
        <v>6</v>
      </c>
      <c r="C231" t="s">
        <v>241</v>
      </c>
      <c r="D231" s="4">
        <v>0.25</v>
      </c>
      <c r="E231" s="4">
        <v>0.95</v>
      </c>
      <c r="F231" s="4">
        <v>3.15</v>
      </c>
    </row>
    <row r="232" spans="1:6" x14ac:dyDescent="0.35">
      <c r="A232">
        <v>17</v>
      </c>
      <c r="B232">
        <v>7</v>
      </c>
      <c r="C232" t="s">
        <v>242</v>
      </c>
      <c r="D232" s="4">
        <v>18</v>
      </c>
      <c r="E232" s="4">
        <v>120</v>
      </c>
      <c r="F232" s="4">
        <v>450</v>
      </c>
    </row>
    <row r="233" spans="1:6" x14ac:dyDescent="0.35">
      <c r="A233">
        <v>17</v>
      </c>
      <c r="B233">
        <v>8</v>
      </c>
      <c r="C233" t="s">
        <v>243</v>
      </c>
      <c r="D233" s="4">
        <v>0.4</v>
      </c>
      <c r="E233" s="4">
        <v>0.8</v>
      </c>
      <c r="F233" s="4">
        <v>0.97</v>
      </c>
    </row>
    <row r="234" spans="1:6" x14ac:dyDescent="0.35">
      <c r="A234">
        <v>17</v>
      </c>
      <c r="B234">
        <v>9</v>
      </c>
      <c r="C234" t="s">
        <v>244</v>
      </c>
      <c r="D234" s="4">
        <v>0.02</v>
      </c>
      <c r="E234" s="4">
        <v>0.08</v>
      </c>
      <c r="F234" s="4">
        <v>0.23</v>
      </c>
    </row>
    <row r="235" spans="1:6" x14ac:dyDescent="0.35">
      <c r="A235">
        <v>17</v>
      </c>
      <c r="B235">
        <v>10</v>
      </c>
      <c r="C235" t="s">
        <v>245</v>
      </c>
      <c r="D235" s="4">
        <v>0.01</v>
      </c>
      <c r="E235" s="4">
        <v>7.0000000000000007E-2</v>
      </c>
      <c r="F235" s="4">
        <v>0.18</v>
      </c>
    </row>
    <row r="236" spans="1:6" x14ac:dyDescent="0.35">
      <c r="A236">
        <v>17</v>
      </c>
      <c r="B236">
        <v>11</v>
      </c>
      <c r="C236" t="s">
        <v>246</v>
      </c>
      <c r="D236" s="4">
        <v>100</v>
      </c>
      <c r="E236" s="4">
        <v>320</v>
      </c>
      <c r="F236" s="4">
        <v>550</v>
      </c>
    </row>
    <row r="237" spans="1:6" x14ac:dyDescent="0.35">
      <c r="A237">
        <v>17</v>
      </c>
      <c r="B237">
        <v>12</v>
      </c>
      <c r="C237" t="s">
        <v>247</v>
      </c>
      <c r="D237" s="4">
        <v>550</v>
      </c>
      <c r="E237" s="4">
        <v>770</v>
      </c>
      <c r="F237" s="4">
        <v>1000</v>
      </c>
    </row>
    <row r="238" spans="1:6" x14ac:dyDescent="0.35">
      <c r="A238">
        <v>17</v>
      </c>
      <c r="B238">
        <v>13</v>
      </c>
      <c r="C238" t="s">
        <v>248</v>
      </c>
      <c r="D238" s="4">
        <v>20</v>
      </c>
      <c r="E238" s="4">
        <v>40</v>
      </c>
      <c r="F238" s="4">
        <v>62</v>
      </c>
    </row>
    <row r="239" spans="1:6" x14ac:dyDescent="0.35">
      <c r="A239">
        <v>17</v>
      </c>
      <c r="B239">
        <v>14</v>
      </c>
      <c r="C239" t="s">
        <v>249</v>
      </c>
      <c r="D239" s="4">
        <v>0.1</v>
      </c>
      <c r="E239" s="4">
        <v>0.28000000000000003</v>
      </c>
      <c r="F239" s="4">
        <v>0.69</v>
      </c>
    </row>
    <row r="240" spans="1:6" x14ac:dyDescent="0.35">
      <c r="A240">
        <v>18</v>
      </c>
      <c r="B240">
        <v>1</v>
      </c>
      <c r="C240" t="s">
        <v>236</v>
      </c>
      <c r="D240" s="4">
        <v>0.04</v>
      </c>
      <c r="E240" s="4">
        <v>0.12</v>
      </c>
      <c r="F240" s="4">
        <v>0.2</v>
      </c>
    </row>
    <row r="241" spans="1:6" x14ac:dyDescent="0.35">
      <c r="A241">
        <v>18</v>
      </c>
      <c r="B241">
        <v>2</v>
      </c>
      <c r="C241" t="s">
        <v>237</v>
      </c>
      <c r="D241" s="4">
        <v>5</v>
      </c>
      <c r="E241" s="4">
        <v>15</v>
      </c>
      <c r="F241" s="4">
        <v>25</v>
      </c>
    </row>
    <row r="242" spans="1:6" x14ac:dyDescent="0.35">
      <c r="A242">
        <v>18</v>
      </c>
      <c r="B242">
        <v>3</v>
      </c>
      <c r="C242" t="s">
        <v>238</v>
      </c>
      <c r="D242" s="4">
        <v>9.9999999999999995E-7</v>
      </c>
      <c r="E242" s="4">
        <v>0.1</v>
      </c>
      <c r="F242" s="4">
        <v>0.25</v>
      </c>
    </row>
    <row r="243" spans="1:6" x14ac:dyDescent="0.35">
      <c r="A243">
        <v>18</v>
      </c>
      <c r="B243">
        <v>4</v>
      </c>
      <c r="C243" t="s">
        <v>239</v>
      </c>
      <c r="D243" s="4">
        <v>10</v>
      </c>
      <c r="E243" s="4">
        <v>100</v>
      </c>
      <c r="F243" s="4">
        <v>500</v>
      </c>
    </row>
    <row r="244" spans="1:6" x14ac:dyDescent="0.35">
      <c r="A244">
        <v>18</v>
      </c>
      <c r="B244">
        <v>5</v>
      </c>
      <c r="C244" t="s">
        <v>240</v>
      </c>
      <c r="D244" s="4">
        <v>9.9999999999999995E-7</v>
      </c>
      <c r="E244" s="4">
        <v>1</v>
      </c>
      <c r="F244" s="4">
        <v>4</v>
      </c>
    </row>
    <row r="245" spans="1:6" x14ac:dyDescent="0.35">
      <c r="A245">
        <v>18</v>
      </c>
      <c r="B245">
        <v>6</v>
      </c>
      <c r="C245" t="s">
        <v>241</v>
      </c>
      <c r="D245" s="4">
        <v>0.5</v>
      </c>
      <c r="E245" s="4">
        <v>1.5</v>
      </c>
      <c r="F245" s="4">
        <v>4</v>
      </c>
    </row>
    <row r="246" spans="1:6" x14ac:dyDescent="0.35">
      <c r="A246">
        <v>18</v>
      </c>
      <c r="B246">
        <v>7</v>
      </c>
      <c r="C246" t="s">
        <v>242</v>
      </c>
      <c r="D246" s="4">
        <v>20</v>
      </c>
      <c r="E246" s="4">
        <v>120</v>
      </c>
      <c r="F246" s="4">
        <v>240</v>
      </c>
    </row>
    <row r="247" spans="1:6" x14ac:dyDescent="0.35">
      <c r="A247">
        <v>18</v>
      </c>
      <c r="B247">
        <v>8</v>
      </c>
      <c r="C247" t="s">
        <v>243</v>
      </c>
      <c r="D247" s="4">
        <v>0.5</v>
      </c>
      <c r="E247" s="4">
        <v>0.7</v>
      </c>
      <c r="F247" s="4">
        <v>0.9</v>
      </c>
    </row>
    <row r="248" spans="1:6" x14ac:dyDescent="0.35">
      <c r="A248">
        <v>18</v>
      </c>
      <c r="B248">
        <v>9</v>
      </c>
      <c r="C248" t="s">
        <v>244</v>
      </c>
      <c r="D248" s="4">
        <v>0.05</v>
      </c>
      <c r="E248" s="4">
        <v>0.2</v>
      </c>
      <c r="F248" s="4">
        <v>0.5</v>
      </c>
    </row>
    <row r="249" spans="1:6" x14ac:dyDescent="0.35">
      <c r="A249">
        <v>18</v>
      </c>
      <c r="B249">
        <v>10</v>
      </c>
      <c r="C249" t="s">
        <v>245</v>
      </c>
      <c r="D249" s="4">
        <v>9.9999999999999995E-7</v>
      </c>
      <c r="E249" s="4">
        <v>0.05</v>
      </c>
      <c r="F249" s="4">
        <v>0.25</v>
      </c>
    </row>
    <row r="250" spans="1:6" x14ac:dyDescent="0.35">
      <c r="A250">
        <v>18</v>
      </c>
      <c r="B250">
        <v>11</v>
      </c>
      <c r="C250" t="s">
        <v>246</v>
      </c>
      <c r="D250" s="4">
        <v>25</v>
      </c>
      <c r="E250" s="4">
        <v>75</v>
      </c>
      <c r="F250" s="4">
        <v>150</v>
      </c>
    </row>
    <row r="251" spans="1:6" x14ac:dyDescent="0.35">
      <c r="A251">
        <v>18</v>
      </c>
      <c r="B251">
        <v>12</v>
      </c>
      <c r="C251" t="s">
        <v>247</v>
      </c>
      <c r="D251" s="4">
        <v>500</v>
      </c>
      <c r="E251" s="4">
        <v>750</v>
      </c>
      <c r="F251" s="4">
        <v>1000</v>
      </c>
    </row>
    <row r="252" spans="1:6" x14ac:dyDescent="0.35">
      <c r="A252">
        <v>18</v>
      </c>
      <c r="B252">
        <v>13</v>
      </c>
      <c r="C252" t="s">
        <v>248</v>
      </c>
      <c r="D252" s="4">
        <v>15</v>
      </c>
      <c r="E252" s="4">
        <v>40</v>
      </c>
      <c r="F252" s="4">
        <v>65</v>
      </c>
    </row>
    <row r="253" spans="1:6" x14ac:dyDescent="0.35">
      <c r="A253">
        <v>18</v>
      </c>
      <c r="B253">
        <v>14</v>
      </c>
      <c r="C253" t="s">
        <v>249</v>
      </c>
      <c r="D253" s="4">
        <v>0.25</v>
      </c>
      <c r="E253" s="4">
        <v>0.5</v>
      </c>
      <c r="F253" s="4">
        <v>0.75</v>
      </c>
    </row>
    <row r="254" spans="1:6" x14ac:dyDescent="0.35">
      <c r="A254">
        <v>19</v>
      </c>
      <c r="B254">
        <v>1</v>
      </c>
      <c r="C254" t="s">
        <v>236</v>
      </c>
      <c r="D254" s="4">
        <v>9.9999999999999995E-7</v>
      </c>
      <c r="E254" s="4">
        <v>0.1</v>
      </c>
      <c r="F254" s="4">
        <v>1</v>
      </c>
    </row>
    <row r="255" spans="1:6" x14ac:dyDescent="0.35">
      <c r="A255">
        <v>19</v>
      </c>
      <c r="B255">
        <v>2</v>
      </c>
      <c r="C255" t="s">
        <v>237</v>
      </c>
      <c r="D255" s="4">
        <v>5</v>
      </c>
      <c r="E255" s="4">
        <v>16</v>
      </c>
      <c r="F255" s="4">
        <v>50</v>
      </c>
    </row>
    <row r="256" spans="1:6" x14ac:dyDescent="0.35">
      <c r="A256">
        <v>19</v>
      </c>
      <c r="B256">
        <v>3</v>
      </c>
      <c r="C256" t="s">
        <v>238</v>
      </c>
      <c r="D256" s="4">
        <v>0.05</v>
      </c>
      <c r="E256" s="4">
        <v>0.5</v>
      </c>
      <c r="F256" s="4">
        <v>0.9</v>
      </c>
    </row>
    <row r="257" spans="1:6" x14ac:dyDescent="0.35">
      <c r="A257">
        <v>19</v>
      </c>
      <c r="B257">
        <v>4</v>
      </c>
      <c r="C257" t="s">
        <v>239</v>
      </c>
      <c r="D257" s="4">
        <v>5</v>
      </c>
      <c r="E257" s="4">
        <v>40</v>
      </c>
      <c r="F257" s="4">
        <v>200</v>
      </c>
    </row>
    <row r="258" spans="1:6" x14ac:dyDescent="0.35">
      <c r="A258">
        <v>19</v>
      </c>
      <c r="B258">
        <v>5</v>
      </c>
      <c r="C258" t="s">
        <v>240</v>
      </c>
      <c r="D258" s="4">
        <v>9.9999999999999995E-7</v>
      </c>
      <c r="E258" s="4">
        <v>2</v>
      </c>
      <c r="F258" s="4">
        <v>5</v>
      </c>
    </row>
    <row r="259" spans="1:6" x14ac:dyDescent="0.35">
      <c r="A259">
        <v>19</v>
      </c>
      <c r="B259">
        <v>6</v>
      </c>
      <c r="C259" t="s">
        <v>241</v>
      </c>
      <c r="D259" s="4">
        <v>9.9999999999999995E-7</v>
      </c>
      <c r="E259" s="4">
        <v>2</v>
      </c>
      <c r="F259" s="4">
        <v>8</v>
      </c>
    </row>
    <row r="260" spans="1:6" x14ac:dyDescent="0.35">
      <c r="A260">
        <v>19</v>
      </c>
      <c r="B260">
        <v>7</v>
      </c>
      <c r="C260" t="s">
        <v>242</v>
      </c>
      <c r="D260" s="4">
        <v>100</v>
      </c>
      <c r="E260" s="4">
        <v>1000</v>
      </c>
      <c r="F260" s="4">
        <v>6000</v>
      </c>
    </row>
    <row r="261" spans="1:6" x14ac:dyDescent="0.35">
      <c r="A261">
        <v>19</v>
      </c>
      <c r="B261">
        <v>8</v>
      </c>
      <c r="C261" t="s">
        <v>243</v>
      </c>
      <c r="D261" s="4">
        <v>0.01</v>
      </c>
      <c r="E261" s="4">
        <v>0.1</v>
      </c>
      <c r="F261" s="4">
        <v>0.75</v>
      </c>
    </row>
    <row r="262" spans="1:6" x14ac:dyDescent="0.35">
      <c r="A262">
        <v>19</v>
      </c>
      <c r="B262">
        <v>9</v>
      </c>
      <c r="C262" t="s">
        <v>244</v>
      </c>
      <c r="D262" s="4">
        <v>0.01</v>
      </c>
      <c r="E262" s="4">
        <v>0.05</v>
      </c>
      <c r="F262" s="4">
        <v>0.9</v>
      </c>
    </row>
    <row r="263" spans="1:6" x14ac:dyDescent="0.35">
      <c r="A263">
        <v>19</v>
      </c>
      <c r="B263">
        <v>10</v>
      </c>
      <c r="C263" t="s">
        <v>245</v>
      </c>
      <c r="D263" s="4">
        <v>0.01</v>
      </c>
      <c r="E263" s="4">
        <v>0.4</v>
      </c>
      <c r="F263" s="4">
        <v>0.9</v>
      </c>
    </row>
    <row r="264" spans="1:6" x14ac:dyDescent="0.35">
      <c r="A264">
        <v>19</v>
      </c>
      <c r="B264">
        <v>11</v>
      </c>
      <c r="C264" t="s">
        <v>246</v>
      </c>
      <c r="D264" s="4">
        <v>50</v>
      </c>
      <c r="E264" s="4">
        <v>300</v>
      </c>
      <c r="F264" s="4">
        <v>800</v>
      </c>
    </row>
    <row r="265" spans="1:6" x14ac:dyDescent="0.35">
      <c r="A265">
        <v>19</v>
      </c>
      <c r="B265">
        <v>12</v>
      </c>
      <c r="C265" t="s">
        <v>247</v>
      </c>
      <c r="D265" s="4">
        <v>300</v>
      </c>
      <c r="E265" s="4">
        <v>700</v>
      </c>
      <c r="F265" s="4">
        <v>2000</v>
      </c>
    </row>
    <row r="266" spans="1:6" x14ac:dyDescent="0.35">
      <c r="A266">
        <v>19</v>
      </c>
      <c r="B266">
        <v>13</v>
      </c>
      <c r="C266" t="s">
        <v>248</v>
      </c>
      <c r="D266" s="4">
        <v>5</v>
      </c>
      <c r="E266" s="4">
        <v>40</v>
      </c>
      <c r="F266" s="4">
        <v>80</v>
      </c>
    </row>
    <row r="267" spans="1:6" x14ac:dyDescent="0.35">
      <c r="A267">
        <v>19</v>
      </c>
      <c r="B267">
        <v>14</v>
      </c>
      <c r="C267" t="s">
        <v>249</v>
      </c>
      <c r="D267" s="4">
        <v>0.05</v>
      </c>
      <c r="E267" s="4">
        <v>0.25</v>
      </c>
      <c r="F267" s="4">
        <v>0.6</v>
      </c>
    </row>
    <row r="268" spans="1:6" x14ac:dyDescent="0.35">
      <c r="A268">
        <v>20</v>
      </c>
      <c r="B268">
        <v>1</v>
      </c>
      <c r="C268" t="s">
        <v>236</v>
      </c>
      <c r="D268" s="4">
        <v>0.01</v>
      </c>
      <c r="E268" s="4">
        <v>0.13</v>
      </c>
      <c r="F268" s="4">
        <v>0.65</v>
      </c>
    </row>
    <row r="269" spans="1:6" x14ac:dyDescent="0.35">
      <c r="A269">
        <v>20</v>
      </c>
      <c r="B269">
        <v>2</v>
      </c>
      <c r="C269" t="s">
        <v>237</v>
      </c>
      <c r="D269" s="4">
        <v>10</v>
      </c>
      <c r="E269" s="4">
        <v>16</v>
      </c>
      <c r="F269" s="4">
        <v>48</v>
      </c>
    </row>
    <row r="270" spans="1:6" x14ac:dyDescent="0.35">
      <c r="A270">
        <v>20</v>
      </c>
      <c r="B270">
        <v>3</v>
      </c>
      <c r="C270" t="s">
        <v>238</v>
      </c>
      <c r="D270" s="4">
        <v>1E-4</v>
      </c>
      <c r="E270" s="4">
        <v>5.0000000000000001E-3</v>
      </c>
      <c r="F270" s="4">
        <v>0.05</v>
      </c>
    </row>
    <row r="271" spans="1:6" x14ac:dyDescent="0.35">
      <c r="A271">
        <v>20</v>
      </c>
      <c r="B271">
        <v>4</v>
      </c>
      <c r="C271" t="s">
        <v>239</v>
      </c>
      <c r="D271" s="4">
        <v>10</v>
      </c>
      <c r="E271" s="4">
        <v>50</v>
      </c>
      <c r="F271" s="4">
        <v>200</v>
      </c>
    </row>
    <row r="272" spans="1:6" x14ac:dyDescent="0.35">
      <c r="A272">
        <v>20</v>
      </c>
      <c r="B272">
        <v>5</v>
      </c>
      <c r="C272" t="s">
        <v>240</v>
      </c>
      <c r="D272" s="4">
        <v>9.9999999999999995E-7</v>
      </c>
      <c r="E272" s="4">
        <v>0.25</v>
      </c>
      <c r="F272" s="4">
        <v>10</v>
      </c>
    </row>
    <row r="273" spans="1:6" x14ac:dyDescent="0.35">
      <c r="A273">
        <v>20</v>
      </c>
      <c r="B273">
        <v>6</v>
      </c>
      <c r="C273" t="s">
        <v>241</v>
      </c>
      <c r="D273" s="4">
        <v>9.9999999999999995E-7</v>
      </c>
      <c r="E273" s="4">
        <v>1.5</v>
      </c>
      <c r="F273" s="4">
        <v>10</v>
      </c>
    </row>
    <row r="274" spans="1:6" x14ac:dyDescent="0.35">
      <c r="A274">
        <v>20</v>
      </c>
      <c r="B274">
        <v>7</v>
      </c>
      <c r="C274" t="s">
        <v>242</v>
      </c>
      <c r="D274" s="4">
        <v>9.9999999999999995E-7</v>
      </c>
      <c r="E274" s="4">
        <v>10</v>
      </c>
      <c r="F274" s="4">
        <v>75</v>
      </c>
    </row>
    <row r="275" spans="1:6" x14ac:dyDescent="0.35">
      <c r="A275">
        <v>20</v>
      </c>
      <c r="B275">
        <v>8</v>
      </c>
      <c r="C275" t="s">
        <v>243</v>
      </c>
      <c r="D275" s="4">
        <v>9.9999999999999995E-7</v>
      </c>
      <c r="E275" s="4">
        <v>0.3</v>
      </c>
      <c r="F275" s="4">
        <v>0.7</v>
      </c>
    </row>
    <row r="276" spans="1:6" x14ac:dyDescent="0.35">
      <c r="A276">
        <v>20</v>
      </c>
      <c r="B276">
        <v>9</v>
      </c>
      <c r="C276" t="s">
        <v>244</v>
      </c>
      <c r="D276" s="4">
        <v>0.02</v>
      </c>
      <c r="E276" s="4">
        <v>0.1</v>
      </c>
      <c r="F276" s="4">
        <v>0.7</v>
      </c>
    </row>
    <row r="277" spans="1:6" x14ac:dyDescent="0.35">
      <c r="A277">
        <v>20</v>
      </c>
      <c r="B277">
        <v>10</v>
      </c>
      <c r="C277" t="s">
        <v>245</v>
      </c>
      <c r="D277" s="4">
        <v>9.9999999999999995E-7</v>
      </c>
      <c r="E277" s="4">
        <v>0.05</v>
      </c>
      <c r="F277" s="4">
        <v>0.6</v>
      </c>
    </row>
    <row r="278" spans="1:6" x14ac:dyDescent="0.35">
      <c r="A278">
        <v>20</v>
      </c>
      <c r="B278">
        <v>11</v>
      </c>
      <c r="C278" t="s">
        <v>246</v>
      </c>
      <c r="D278" s="4">
        <v>25</v>
      </c>
      <c r="E278" s="4">
        <v>90</v>
      </c>
      <c r="F278" s="4">
        <v>400</v>
      </c>
    </row>
    <row r="279" spans="1:6" x14ac:dyDescent="0.35">
      <c r="A279">
        <v>20</v>
      </c>
      <c r="B279">
        <v>12</v>
      </c>
      <c r="C279" t="s">
        <v>247</v>
      </c>
      <c r="D279" s="4">
        <v>250</v>
      </c>
      <c r="E279" s="4">
        <v>700</v>
      </c>
      <c r="F279" s="4">
        <v>2800</v>
      </c>
    </row>
    <row r="280" spans="1:6" x14ac:dyDescent="0.35">
      <c r="A280">
        <v>20</v>
      </c>
      <c r="B280">
        <v>13</v>
      </c>
      <c r="C280" t="s">
        <v>248</v>
      </c>
      <c r="D280" s="4">
        <v>3</v>
      </c>
      <c r="E280" s="4">
        <v>30</v>
      </c>
      <c r="F280" s="4">
        <v>60</v>
      </c>
    </row>
    <row r="281" spans="1:6" x14ac:dyDescent="0.35">
      <c r="A281">
        <v>20</v>
      </c>
      <c r="B281">
        <v>14</v>
      </c>
      <c r="C281" t="s">
        <v>249</v>
      </c>
      <c r="D281" s="4">
        <v>0.4</v>
      </c>
      <c r="E281" s="4">
        <v>0.75</v>
      </c>
      <c r="F281" s="4">
        <v>0.95</v>
      </c>
    </row>
    <row r="282" spans="1:6" x14ac:dyDescent="0.35">
      <c r="A282">
        <v>21</v>
      </c>
      <c r="B282">
        <v>1</v>
      </c>
      <c r="C282" t="s">
        <v>236</v>
      </c>
      <c r="D282" s="4">
        <v>40</v>
      </c>
      <c r="E282" s="4">
        <v>55</v>
      </c>
      <c r="F282" s="4">
        <v>75</v>
      </c>
    </row>
    <row r="283" spans="1:6" x14ac:dyDescent="0.35">
      <c r="A283">
        <v>21</v>
      </c>
      <c r="B283">
        <v>2</v>
      </c>
      <c r="C283" t="s">
        <v>237</v>
      </c>
      <c r="D283" s="4">
        <v>6500</v>
      </c>
      <c r="E283" s="4">
        <v>8000</v>
      </c>
      <c r="F283" s="4">
        <v>10000</v>
      </c>
    </row>
    <row r="284" spans="1:6" x14ac:dyDescent="0.35">
      <c r="A284">
        <v>21</v>
      </c>
      <c r="B284">
        <v>3</v>
      </c>
      <c r="C284" t="s">
        <v>238</v>
      </c>
      <c r="D284" s="4">
        <v>0.02</v>
      </c>
      <c r="E284" s="4">
        <v>0.05</v>
      </c>
      <c r="F284" s="4">
        <v>0.1</v>
      </c>
    </row>
    <row r="285" spans="1:6" x14ac:dyDescent="0.35">
      <c r="A285">
        <v>21</v>
      </c>
      <c r="B285">
        <v>4</v>
      </c>
      <c r="C285" t="s">
        <v>239</v>
      </c>
      <c r="D285" s="4">
        <v>50</v>
      </c>
      <c r="E285" s="4">
        <v>100</v>
      </c>
      <c r="F285" s="4">
        <v>250</v>
      </c>
    </row>
    <row r="286" spans="1:6" x14ac:dyDescent="0.35">
      <c r="A286">
        <v>21</v>
      </c>
      <c r="B286">
        <v>5</v>
      </c>
      <c r="C286" t="s">
        <v>240</v>
      </c>
      <c r="D286" s="4">
        <v>0.3</v>
      </c>
      <c r="E286" s="4">
        <v>0.75</v>
      </c>
      <c r="F286" s="4">
        <v>1</v>
      </c>
    </row>
    <row r="287" spans="1:6" x14ac:dyDescent="0.35">
      <c r="A287">
        <v>21</v>
      </c>
      <c r="B287">
        <v>6</v>
      </c>
      <c r="C287" t="s">
        <v>241</v>
      </c>
      <c r="D287" s="4">
        <v>1</v>
      </c>
      <c r="E287" s="4">
        <v>1.5</v>
      </c>
      <c r="F287" s="4">
        <v>2.5</v>
      </c>
    </row>
    <row r="288" spans="1:6" x14ac:dyDescent="0.35">
      <c r="A288">
        <v>21</v>
      </c>
      <c r="B288">
        <v>7</v>
      </c>
      <c r="C288" t="s">
        <v>242</v>
      </c>
      <c r="D288" s="4">
        <v>2000</v>
      </c>
      <c r="E288" s="4">
        <v>4000</v>
      </c>
      <c r="F288" s="4">
        <v>8000</v>
      </c>
    </row>
    <row r="289" spans="1:6" x14ac:dyDescent="0.35">
      <c r="A289">
        <v>21</v>
      </c>
      <c r="B289">
        <v>8</v>
      </c>
      <c r="C289" t="s">
        <v>243</v>
      </c>
      <c r="D289" s="4">
        <v>0.05</v>
      </c>
      <c r="E289" s="4">
        <v>0.15</v>
      </c>
      <c r="F289" s="4">
        <v>0.25</v>
      </c>
    </row>
    <row r="290" spans="1:6" x14ac:dyDescent="0.35">
      <c r="A290">
        <v>21</v>
      </c>
      <c r="B290">
        <v>9</v>
      </c>
      <c r="C290" t="s">
        <v>244</v>
      </c>
      <c r="D290" s="4">
        <v>0.1</v>
      </c>
      <c r="E290" s="4">
        <v>0.25</v>
      </c>
      <c r="F290" s="4">
        <v>0.4</v>
      </c>
    </row>
    <row r="291" spans="1:6" x14ac:dyDescent="0.35">
      <c r="A291">
        <v>21</v>
      </c>
      <c r="B291">
        <v>10</v>
      </c>
      <c r="C291" t="s">
        <v>245</v>
      </c>
      <c r="D291" s="4">
        <v>0.3</v>
      </c>
      <c r="E291" s="4">
        <v>0.4</v>
      </c>
      <c r="F291" s="4">
        <v>0.6</v>
      </c>
    </row>
    <row r="292" spans="1:6" x14ac:dyDescent="0.35">
      <c r="A292">
        <v>21</v>
      </c>
      <c r="B292">
        <v>11</v>
      </c>
      <c r="C292" t="s">
        <v>246</v>
      </c>
      <c r="D292" s="4">
        <v>20</v>
      </c>
      <c r="E292" s="4">
        <v>25</v>
      </c>
      <c r="F292" s="4">
        <v>40</v>
      </c>
    </row>
    <row r="293" spans="1:6" x14ac:dyDescent="0.35">
      <c r="A293">
        <v>21</v>
      </c>
      <c r="B293">
        <v>12</v>
      </c>
      <c r="C293" t="s">
        <v>247</v>
      </c>
      <c r="D293" s="4">
        <v>650</v>
      </c>
      <c r="E293" s="4">
        <v>800</v>
      </c>
      <c r="F293" s="4">
        <v>1000</v>
      </c>
    </row>
    <row r="294" spans="1:6" x14ac:dyDescent="0.35">
      <c r="A294">
        <v>21</v>
      </c>
      <c r="B294">
        <v>13</v>
      </c>
      <c r="C294" t="s">
        <v>248</v>
      </c>
      <c r="D294" s="4">
        <v>25</v>
      </c>
      <c r="E294" s="4">
        <v>30</v>
      </c>
      <c r="F294" s="4">
        <v>35</v>
      </c>
    </row>
    <row r="295" spans="1:6" x14ac:dyDescent="0.35">
      <c r="A295">
        <v>21</v>
      </c>
      <c r="B295">
        <v>14</v>
      </c>
      <c r="C295" t="s">
        <v>249</v>
      </c>
      <c r="D295" s="4">
        <v>0.7</v>
      </c>
      <c r="E295" s="4">
        <v>0.75</v>
      </c>
      <c r="F295" s="4">
        <v>0.8</v>
      </c>
    </row>
    <row r="296" spans="1:6" x14ac:dyDescent="0.35">
      <c r="A296">
        <v>22</v>
      </c>
      <c r="B296">
        <v>1</v>
      </c>
      <c r="C296" t="s">
        <v>236</v>
      </c>
      <c r="D296" s="4">
        <v>0.05</v>
      </c>
      <c r="E296" s="4">
        <v>0.1</v>
      </c>
      <c r="F296" s="4">
        <v>0.2</v>
      </c>
    </row>
    <row r="297" spans="1:6" x14ac:dyDescent="0.35">
      <c r="A297">
        <v>22</v>
      </c>
      <c r="B297">
        <v>2</v>
      </c>
      <c r="C297" t="s">
        <v>237</v>
      </c>
      <c r="D297" s="4">
        <v>14.5</v>
      </c>
      <c r="E297" s="4">
        <v>15.8</v>
      </c>
      <c r="F297" s="4">
        <v>16.2</v>
      </c>
    </row>
    <row r="298" spans="1:6" x14ac:dyDescent="0.35">
      <c r="A298">
        <v>22</v>
      </c>
      <c r="B298">
        <v>3</v>
      </c>
      <c r="C298" t="s">
        <v>238</v>
      </c>
      <c r="D298" s="4">
        <v>5.0000000000000001E-3</v>
      </c>
      <c r="E298" s="4">
        <v>0.05</v>
      </c>
      <c r="F298" s="4">
        <v>0.14000000000000001</v>
      </c>
    </row>
    <row r="299" spans="1:6" x14ac:dyDescent="0.35">
      <c r="A299">
        <v>22</v>
      </c>
      <c r="B299">
        <v>4</v>
      </c>
      <c r="C299" t="s">
        <v>239</v>
      </c>
      <c r="D299" s="4">
        <v>50</v>
      </c>
      <c r="E299" s="4">
        <v>105</v>
      </c>
      <c r="F299" s="4">
        <v>320</v>
      </c>
    </row>
    <row r="300" spans="1:6" x14ac:dyDescent="0.35">
      <c r="A300">
        <v>22</v>
      </c>
      <c r="B300">
        <v>5</v>
      </c>
      <c r="C300" t="s">
        <v>240</v>
      </c>
      <c r="D300" s="4">
        <v>1</v>
      </c>
      <c r="E300" s="4">
        <v>2</v>
      </c>
      <c r="F300" s="4">
        <v>4</v>
      </c>
    </row>
    <row r="301" spans="1:6" x14ac:dyDescent="0.35">
      <c r="A301">
        <v>22</v>
      </c>
      <c r="B301">
        <v>6</v>
      </c>
      <c r="C301" t="s">
        <v>241</v>
      </c>
      <c r="D301" s="4">
        <v>1</v>
      </c>
      <c r="E301" s="4">
        <v>2.5</v>
      </c>
      <c r="F301" s="4">
        <v>4</v>
      </c>
    </row>
    <row r="302" spans="1:6" x14ac:dyDescent="0.35">
      <c r="A302">
        <v>22</v>
      </c>
      <c r="B302">
        <v>7</v>
      </c>
      <c r="C302" t="s">
        <v>242</v>
      </c>
      <c r="D302" s="4">
        <v>56</v>
      </c>
      <c r="E302" s="4">
        <v>113</v>
      </c>
      <c r="F302" s="4">
        <v>560</v>
      </c>
    </row>
    <row r="303" spans="1:6" x14ac:dyDescent="0.35">
      <c r="A303">
        <v>22</v>
      </c>
      <c r="B303">
        <v>8</v>
      </c>
      <c r="C303" t="s">
        <v>243</v>
      </c>
      <c r="D303" s="4">
        <v>0.1</v>
      </c>
      <c r="E303" s="4">
        <v>0.2</v>
      </c>
      <c r="F303" s="4">
        <v>0.4</v>
      </c>
    </row>
    <row r="304" spans="1:6" x14ac:dyDescent="0.35">
      <c r="A304">
        <v>22</v>
      </c>
      <c r="B304">
        <v>9</v>
      </c>
      <c r="C304" t="s">
        <v>244</v>
      </c>
      <c r="D304" s="4">
        <v>0.05</v>
      </c>
      <c r="E304" s="4">
        <v>0.1</v>
      </c>
      <c r="F304" s="4">
        <v>0.3</v>
      </c>
    </row>
    <row r="305" spans="1:6" x14ac:dyDescent="0.35">
      <c r="A305">
        <v>22</v>
      </c>
      <c r="B305">
        <v>10</v>
      </c>
      <c r="C305" t="s">
        <v>245</v>
      </c>
      <c r="D305" s="4">
        <v>0.1</v>
      </c>
      <c r="E305" s="4">
        <v>0.25</v>
      </c>
      <c r="F305" s="4">
        <v>0.5</v>
      </c>
    </row>
    <row r="306" spans="1:6" x14ac:dyDescent="0.35">
      <c r="A306">
        <v>22</v>
      </c>
      <c r="B306">
        <v>11</v>
      </c>
      <c r="C306" t="s">
        <v>246</v>
      </c>
      <c r="D306" s="4">
        <v>150</v>
      </c>
      <c r="E306" s="4">
        <v>320</v>
      </c>
      <c r="F306" s="4">
        <v>400</v>
      </c>
    </row>
    <row r="307" spans="1:6" x14ac:dyDescent="0.35">
      <c r="A307">
        <v>22</v>
      </c>
      <c r="B307">
        <v>12</v>
      </c>
      <c r="C307" t="s">
        <v>247</v>
      </c>
      <c r="D307" s="4">
        <v>550</v>
      </c>
      <c r="E307" s="4">
        <v>712</v>
      </c>
      <c r="F307" s="4">
        <v>850</v>
      </c>
    </row>
    <row r="308" spans="1:6" x14ac:dyDescent="0.35">
      <c r="A308">
        <v>22</v>
      </c>
      <c r="B308">
        <v>13</v>
      </c>
      <c r="C308" t="s">
        <v>248</v>
      </c>
      <c r="D308" s="4">
        <v>50</v>
      </c>
      <c r="E308" s="4">
        <v>65</v>
      </c>
      <c r="F308" s="4">
        <v>80</v>
      </c>
    </row>
    <row r="309" spans="1:6" x14ac:dyDescent="0.35">
      <c r="A309">
        <v>22</v>
      </c>
      <c r="B309">
        <v>14</v>
      </c>
      <c r="C309" t="s">
        <v>249</v>
      </c>
      <c r="D309" s="4">
        <v>0.4</v>
      </c>
      <c r="E309" s="4">
        <v>0.5</v>
      </c>
      <c r="F309" s="4">
        <v>0.8</v>
      </c>
    </row>
    <row r="310" spans="1:6" x14ac:dyDescent="0.35">
      <c r="A310">
        <v>23</v>
      </c>
      <c r="B310">
        <v>1</v>
      </c>
      <c r="C310" t="s">
        <v>236</v>
      </c>
      <c r="D310" s="4">
        <v>0.13</v>
      </c>
      <c r="E310" s="4">
        <v>0.25</v>
      </c>
      <c r="F310" s="4">
        <v>1.3</v>
      </c>
    </row>
    <row r="311" spans="1:6" x14ac:dyDescent="0.35">
      <c r="A311">
        <v>23</v>
      </c>
      <c r="B311">
        <v>2</v>
      </c>
      <c r="C311" t="s">
        <v>237</v>
      </c>
      <c r="D311" s="4">
        <v>15</v>
      </c>
      <c r="E311" s="4">
        <v>15.75</v>
      </c>
      <c r="F311" s="4">
        <v>16</v>
      </c>
    </row>
    <row r="312" spans="1:6" x14ac:dyDescent="0.35">
      <c r="A312">
        <v>23</v>
      </c>
      <c r="B312">
        <v>3</v>
      </c>
      <c r="C312" t="s">
        <v>238</v>
      </c>
      <c r="D312" s="4">
        <v>0.05</v>
      </c>
      <c r="E312" s="4">
        <v>0.1</v>
      </c>
      <c r="F312" s="4">
        <v>0.5</v>
      </c>
    </row>
    <row r="313" spans="1:6" x14ac:dyDescent="0.35">
      <c r="A313">
        <v>23</v>
      </c>
      <c r="B313">
        <v>4</v>
      </c>
      <c r="C313" t="s">
        <v>239</v>
      </c>
      <c r="D313" s="4">
        <v>9.9999999999999995E-7</v>
      </c>
      <c r="E313" s="4">
        <v>50</v>
      </c>
      <c r="F313" s="4">
        <v>200</v>
      </c>
    </row>
    <row r="314" spans="1:6" x14ac:dyDescent="0.35">
      <c r="A314">
        <v>23</v>
      </c>
      <c r="B314">
        <v>5</v>
      </c>
      <c r="C314" t="s">
        <v>240</v>
      </c>
      <c r="D314" s="4">
        <v>0.5</v>
      </c>
      <c r="E314" s="4">
        <v>2</v>
      </c>
      <c r="F314" s="4">
        <v>4</v>
      </c>
    </row>
    <row r="315" spans="1:6" x14ac:dyDescent="0.35">
      <c r="A315">
        <v>23</v>
      </c>
      <c r="B315">
        <v>6</v>
      </c>
      <c r="C315" t="s">
        <v>241</v>
      </c>
      <c r="D315" s="4">
        <v>1</v>
      </c>
      <c r="E315" s="4">
        <v>3</v>
      </c>
      <c r="F315" s="4">
        <v>6</v>
      </c>
    </row>
    <row r="316" spans="1:6" x14ac:dyDescent="0.35">
      <c r="A316">
        <v>23</v>
      </c>
      <c r="B316">
        <v>7</v>
      </c>
      <c r="C316" t="s">
        <v>242</v>
      </c>
      <c r="D316" s="4">
        <v>20</v>
      </c>
      <c r="E316" s="4">
        <v>200</v>
      </c>
      <c r="F316" s="4">
        <v>400</v>
      </c>
    </row>
    <row r="317" spans="1:6" x14ac:dyDescent="0.35">
      <c r="A317">
        <v>23</v>
      </c>
      <c r="B317">
        <v>8</v>
      </c>
      <c r="C317" t="s">
        <v>243</v>
      </c>
      <c r="D317" s="4">
        <v>0.3</v>
      </c>
      <c r="E317" s="4">
        <v>0.5</v>
      </c>
      <c r="F317" s="4">
        <v>0.6</v>
      </c>
    </row>
    <row r="318" spans="1:6" x14ac:dyDescent="0.35">
      <c r="A318">
        <v>23</v>
      </c>
      <c r="B318">
        <v>9</v>
      </c>
      <c r="C318" t="s">
        <v>244</v>
      </c>
      <c r="D318" s="4">
        <v>0.15</v>
      </c>
      <c r="E318" s="4">
        <v>0.2</v>
      </c>
      <c r="F318" s="4">
        <v>0.25</v>
      </c>
    </row>
    <row r="319" spans="1:6" x14ac:dyDescent="0.35">
      <c r="A319">
        <v>23</v>
      </c>
      <c r="B319">
        <v>10</v>
      </c>
      <c r="C319" t="s">
        <v>245</v>
      </c>
      <c r="D319" s="4">
        <v>0.01</v>
      </c>
      <c r="E319" s="4">
        <v>0.05</v>
      </c>
      <c r="F319" s="4">
        <v>0.2</v>
      </c>
    </row>
    <row r="320" spans="1:6" x14ac:dyDescent="0.35">
      <c r="A320">
        <v>23</v>
      </c>
      <c r="B320">
        <v>11</v>
      </c>
      <c r="C320" t="s">
        <v>246</v>
      </c>
      <c r="D320" s="4">
        <v>9</v>
      </c>
      <c r="E320" s="4">
        <v>20</v>
      </c>
      <c r="F320" s="4">
        <v>44</v>
      </c>
    </row>
    <row r="321" spans="1:6" x14ac:dyDescent="0.35">
      <c r="A321">
        <v>23</v>
      </c>
      <c r="B321">
        <v>12</v>
      </c>
      <c r="C321" t="s">
        <v>247</v>
      </c>
      <c r="D321" s="4">
        <v>500</v>
      </c>
      <c r="E321" s="4">
        <v>750</v>
      </c>
      <c r="F321" s="4">
        <v>1000</v>
      </c>
    </row>
    <row r="322" spans="1:6" x14ac:dyDescent="0.35">
      <c r="A322">
        <v>23</v>
      </c>
      <c r="B322">
        <v>13</v>
      </c>
      <c r="C322" t="s">
        <v>248</v>
      </c>
      <c r="D322" s="4">
        <v>10</v>
      </c>
      <c r="E322" s="4">
        <v>20</v>
      </c>
      <c r="F322" s="4">
        <v>40</v>
      </c>
    </row>
    <row r="323" spans="1:6" x14ac:dyDescent="0.35">
      <c r="A323">
        <v>23</v>
      </c>
      <c r="B323">
        <v>14</v>
      </c>
      <c r="C323" t="s">
        <v>249</v>
      </c>
      <c r="D323" s="4">
        <v>0.05</v>
      </c>
      <c r="E323" s="4">
        <v>0.1</v>
      </c>
      <c r="F323" s="4">
        <v>0.2</v>
      </c>
    </row>
    <row r="324" spans="1:6" x14ac:dyDescent="0.35">
      <c r="A324">
        <v>24</v>
      </c>
      <c r="B324">
        <v>1</v>
      </c>
      <c r="C324" t="s">
        <v>236</v>
      </c>
      <c r="D324" s="4">
        <v>7.0000000000000007E-2</v>
      </c>
      <c r="E324" s="4">
        <v>0.26</v>
      </c>
      <c r="F324" s="4">
        <v>0.45</v>
      </c>
    </row>
    <row r="325" spans="1:6" x14ac:dyDescent="0.35">
      <c r="A325">
        <v>24</v>
      </c>
      <c r="B325">
        <v>2</v>
      </c>
      <c r="C325" t="s">
        <v>237</v>
      </c>
      <c r="D325" s="4">
        <v>8</v>
      </c>
      <c r="E325" s="4">
        <v>16</v>
      </c>
      <c r="F325" s="4">
        <v>25</v>
      </c>
    </row>
    <row r="326" spans="1:6" x14ac:dyDescent="0.35">
      <c r="A326">
        <v>24</v>
      </c>
      <c r="B326">
        <v>3</v>
      </c>
      <c r="C326" t="s">
        <v>238</v>
      </c>
      <c r="D326" s="4">
        <v>0.05</v>
      </c>
      <c r="E326" s="4">
        <v>0.12</v>
      </c>
      <c r="F326" s="4">
        <v>0.35</v>
      </c>
    </row>
    <row r="327" spans="1:6" x14ac:dyDescent="0.35">
      <c r="A327">
        <v>24</v>
      </c>
      <c r="B327">
        <v>4</v>
      </c>
      <c r="C327" t="s">
        <v>239</v>
      </c>
      <c r="D327" s="4">
        <v>100</v>
      </c>
      <c r="E327" s="4">
        <v>550</v>
      </c>
      <c r="F327" s="4">
        <v>800</v>
      </c>
    </row>
    <row r="328" spans="1:6" x14ac:dyDescent="0.35">
      <c r="A328">
        <v>24</v>
      </c>
      <c r="B328">
        <v>5</v>
      </c>
      <c r="C328" t="s">
        <v>240</v>
      </c>
      <c r="D328" s="4">
        <v>0.5</v>
      </c>
      <c r="E328" s="4">
        <v>3</v>
      </c>
      <c r="F328" s="4">
        <v>5</v>
      </c>
    </row>
    <row r="329" spans="1:6" x14ac:dyDescent="0.35">
      <c r="A329">
        <v>24</v>
      </c>
      <c r="B329">
        <v>6</v>
      </c>
      <c r="C329" t="s">
        <v>241</v>
      </c>
      <c r="D329" s="4">
        <v>1</v>
      </c>
      <c r="E329" s="4">
        <v>1.5</v>
      </c>
      <c r="F329" s="4">
        <v>5</v>
      </c>
    </row>
    <row r="330" spans="1:6" x14ac:dyDescent="0.35">
      <c r="A330">
        <v>24</v>
      </c>
      <c r="B330">
        <v>7</v>
      </c>
      <c r="C330" t="s">
        <v>242</v>
      </c>
      <c r="D330" s="4">
        <v>200</v>
      </c>
      <c r="E330" s="4">
        <v>500</v>
      </c>
      <c r="F330" s="4">
        <v>1000</v>
      </c>
    </row>
    <row r="331" spans="1:6" x14ac:dyDescent="0.35">
      <c r="A331">
        <v>24</v>
      </c>
      <c r="B331">
        <v>8</v>
      </c>
      <c r="C331" t="s">
        <v>243</v>
      </c>
      <c r="D331" s="4">
        <v>0.25</v>
      </c>
      <c r="E331" s="4">
        <v>0.5</v>
      </c>
      <c r="F331" s="4">
        <v>0.75</v>
      </c>
    </row>
    <row r="332" spans="1:6" x14ac:dyDescent="0.35">
      <c r="A332">
        <v>24</v>
      </c>
      <c r="B332">
        <v>9</v>
      </c>
      <c r="C332" t="s">
        <v>244</v>
      </c>
      <c r="D332" s="4">
        <v>0.1</v>
      </c>
      <c r="E332" s="4">
        <v>0.35</v>
      </c>
      <c r="F332" s="4">
        <v>0.6</v>
      </c>
    </row>
    <row r="333" spans="1:6" x14ac:dyDescent="0.35">
      <c r="A333">
        <v>24</v>
      </c>
      <c r="B333">
        <v>10</v>
      </c>
      <c r="C333" t="s">
        <v>245</v>
      </c>
      <c r="D333" s="4">
        <v>0.1</v>
      </c>
      <c r="E333" s="4">
        <v>0.4</v>
      </c>
      <c r="F333" s="4">
        <v>0.75</v>
      </c>
    </row>
    <row r="334" spans="1:6" x14ac:dyDescent="0.35">
      <c r="A334">
        <v>24</v>
      </c>
      <c r="B334">
        <v>11</v>
      </c>
      <c r="C334" t="s">
        <v>246</v>
      </c>
      <c r="D334" s="4">
        <v>10</v>
      </c>
      <c r="E334" s="4">
        <v>20</v>
      </c>
      <c r="F334" s="4">
        <v>30</v>
      </c>
    </row>
    <row r="335" spans="1:6" x14ac:dyDescent="0.35">
      <c r="A335">
        <v>24</v>
      </c>
      <c r="B335">
        <v>12</v>
      </c>
      <c r="C335" t="s">
        <v>247</v>
      </c>
      <c r="D335" s="4">
        <v>500</v>
      </c>
      <c r="E335" s="4">
        <v>750</v>
      </c>
      <c r="F335" s="4">
        <v>1000</v>
      </c>
    </row>
    <row r="336" spans="1:6" x14ac:dyDescent="0.35">
      <c r="A336">
        <v>24</v>
      </c>
      <c r="B336">
        <v>13</v>
      </c>
      <c r="C336" t="s">
        <v>248</v>
      </c>
      <c r="D336" s="4">
        <v>40</v>
      </c>
      <c r="E336" s="4">
        <v>60</v>
      </c>
      <c r="F336" s="4">
        <v>80</v>
      </c>
    </row>
    <row r="337" spans="1:6" x14ac:dyDescent="0.35">
      <c r="A337">
        <v>24</v>
      </c>
      <c r="B337">
        <v>14</v>
      </c>
      <c r="C337" t="s">
        <v>249</v>
      </c>
      <c r="D337" s="4">
        <v>0.1</v>
      </c>
      <c r="E337" s="4">
        <v>0.4</v>
      </c>
      <c r="F337" s="4">
        <v>0.7</v>
      </c>
    </row>
    <row r="338" spans="1:6" x14ac:dyDescent="0.35">
      <c r="A338">
        <v>25</v>
      </c>
      <c r="B338">
        <v>1</v>
      </c>
      <c r="C338" t="s">
        <v>236</v>
      </c>
      <c r="D338" s="4">
        <v>0.06</v>
      </c>
      <c r="E338" s="4">
        <v>0.25</v>
      </c>
      <c r="F338" s="4">
        <v>0.42</v>
      </c>
    </row>
    <row r="339" spans="1:6" x14ac:dyDescent="0.35">
      <c r="A339">
        <v>25</v>
      </c>
      <c r="B339">
        <v>2</v>
      </c>
      <c r="C339" t="s">
        <v>237</v>
      </c>
      <c r="D339" s="4">
        <v>10</v>
      </c>
      <c r="E339" s="4">
        <v>16</v>
      </c>
      <c r="F339" s="4">
        <v>24</v>
      </c>
    </row>
    <row r="340" spans="1:6" x14ac:dyDescent="0.35">
      <c r="A340">
        <v>25</v>
      </c>
      <c r="B340">
        <v>3</v>
      </c>
      <c r="C340" t="s">
        <v>238</v>
      </c>
      <c r="D340" s="4">
        <v>0.1</v>
      </c>
      <c r="E340" s="4">
        <v>0.4</v>
      </c>
      <c r="F340" s="4">
        <v>0.75</v>
      </c>
    </row>
    <row r="341" spans="1:6" x14ac:dyDescent="0.35">
      <c r="A341">
        <v>25</v>
      </c>
      <c r="B341">
        <v>4</v>
      </c>
      <c r="C341" t="s">
        <v>239</v>
      </c>
      <c r="D341" s="4">
        <v>25</v>
      </c>
      <c r="E341" s="4">
        <v>100</v>
      </c>
      <c r="F341" s="4">
        <v>250</v>
      </c>
    </row>
    <row r="342" spans="1:6" x14ac:dyDescent="0.35">
      <c r="A342">
        <v>25</v>
      </c>
      <c r="B342">
        <v>5</v>
      </c>
      <c r="C342" t="s">
        <v>240</v>
      </c>
      <c r="D342" s="4">
        <v>0.25</v>
      </c>
      <c r="E342" s="4">
        <v>0.9</v>
      </c>
      <c r="F342" s="4">
        <v>1.75</v>
      </c>
    </row>
    <row r="343" spans="1:6" x14ac:dyDescent="0.35">
      <c r="A343">
        <v>25</v>
      </c>
      <c r="B343">
        <v>6</v>
      </c>
      <c r="C343" t="s">
        <v>241</v>
      </c>
      <c r="D343" s="4">
        <v>0.25</v>
      </c>
      <c r="E343" s="4">
        <v>2</v>
      </c>
      <c r="F343" s="4">
        <v>4</v>
      </c>
    </row>
    <row r="344" spans="1:6" x14ac:dyDescent="0.35">
      <c r="A344">
        <v>25</v>
      </c>
      <c r="B344">
        <v>7</v>
      </c>
      <c r="C344" t="s">
        <v>242</v>
      </c>
      <c r="D344" s="4">
        <v>10</v>
      </c>
      <c r="E344" s="4">
        <v>100</v>
      </c>
      <c r="F344" s="4">
        <v>500</v>
      </c>
    </row>
    <row r="345" spans="1:6" x14ac:dyDescent="0.35">
      <c r="A345">
        <v>25</v>
      </c>
      <c r="B345">
        <v>8</v>
      </c>
      <c r="C345" t="s">
        <v>243</v>
      </c>
      <c r="D345" s="4">
        <v>0.3</v>
      </c>
      <c r="E345" s="4">
        <v>0.4</v>
      </c>
      <c r="F345" s="4">
        <v>0.75</v>
      </c>
    </row>
    <row r="346" spans="1:6" x14ac:dyDescent="0.35">
      <c r="A346">
        <v>25</v>
      </c>
      <c r="B346">
        <v>9</v>
      </c>
      <c r="C346" t="s">
        <v>244</v>
      </c>
      <c r="D346" s="4">
        <v>0.2</v>
      </c>
      <c r="E346" s="4">
        <v>0.4</v>
      </c>
      <c r="F346" s="4">
        <v>0.7</v>
      </c>
    </row>
    <row r="347" spans="1:6" x14ac:dyDescent="0.35">
      <c r="A347">
        <v>25</v>
      </c>
      <c r="B347">
        <v>10</v>
      </c>
      <c r="C347" t="s">
        <v>245</v>
      </c>
      <c r="D347" s="4">
        <v>0.05</v>
      </c>
      <c r="E347" s="4">
        <v>0.4</v>
      </c>
      <c r="F347" s="4">
        <v>0.7</v>
      </c>
    </row>
    <row r="348" spans="1:6" x14ac:dyDescent="0.35">
      <c r="A348">
        <v>25</v>
      </c>
      <c r="B348">
        <v>11</v>
      </c>
      <c r="C348" t="s">
        <v>246</v>
      </c>
      <c r="D348" s="4">
        <v>15</v>
      </c>
      <c r="E348" s="4">
        <v>75</v>
      </c>
      <c r="F348" s="4">
        <v>200</v>
      </c>
    </row>
    <row r="349" spans="1:6" x14ac:dyDescent="0.35">
      <c r="A349">
        <v>25</v>
      </c>
      <c r="B349">
        <v>12</v>
      </c>
      <c r="C349" t="s">
        <v>247</v>
      </c>
      <c r="D349" s="4">
        <v>500</v>
      </c>
      <c r="E349" s="4">
        <v>780</v>
      </c>
      <c r="F349" s="4">
        <v>1050</v>
      </c>
    </row>
    <row r="350" spans="1:6" x14ac:dyDescent="0.35">
      <c r="A350">
        <v>25</v>
      </c>
      <c r="B350">
        <v>13</v>
      </c>
      <c r="C350" t="s">
        <v>248</v>
      </c>
      <c r="D350" s="4">
        <v>3</v>
      </c>
      <c r="E350" s="4">
        <v>15</v>
      </c>
      <c r="F350" s="4">
        <v>30</v>
      </c>
    </row>
    <row r="351" spans="1:6" x14ac:dyDescent="0.35">
      <c r="A351">
        <v>25</v>
      </c>
      <c r="B351">
        <v>14</v>
      </c>
      <c r="C351" t="s">
        <v>249</v>
      </c>
      <c r="D351" s="4">
        <v>1E-4</v>
      </c>
      <c r="E351" s="4">
        <v>0.1</v>
      </c>
      <c r="F351" s="4">
        <v>0.33</v>
      </c>
    </row>
    <row r="352" spans="1:6" x14ac:dyDescent="0.35">
      <c r="A352">
        <v>26</v>
      </c>
      <c r="B352">
        <v>1</v>
      </c>
      <c r="C352" t="s">
        <v>236</v>
      </c>
      <c r="D352" s="4">
        <v>0.05</v>
      </c>
      <c r="E352" s="4">
        <v>0.15</v>
      </c>
      <c r="F352" s="4">
        <v>0.25</v>
      </c>
    </row>
    <row r="353" spans="1:6" x14ac:dyDescent="0.35">
      <c r="A353">
        <v>26</v>
      </c>
      <c r="B353">
        <v>2</v>
      </c>
      <c r="C353" t="s">
        <v>237</v>
      </c>
      <c r="D353" s="4">
        <v>15</v>
      </c>
      <c r="E353" s="4">
        <v>16</v>
      </c>
      <c r="F353" s="4">
        <v>17</v>
      </c>
    </row>
    <row r="354" spans="1:6" x14ac:dyDescent="0.35">
      <c r="A354">
        <v>26</v>
      </c>
      <c r="B354">
        <v>3</v>
      </c>
      <c r="C354" t="s">
        <v>238</v>
      </c>
      <c r="D354" s="4">
        <v>9.9999999999999995E-7</v>
      </c>
      <c r="E354" s="4">
        <v>0.05</v>
      </c>
      <c r="F354" s="4">
        <v>0.1</v>
      </c>
    </row>
    <row r="355" spans="1:6" x14ac:dyDescent="0.35">
      <c r="A355">
        <v>26</v>
      </c>
      <c r="B355">
        <v>4</v>
      </c>
      <c r="C355" t="s">
        <v>239</v>
      </c>
      <c r="D355" s="4">
        <v>50</v>
      </c>
      <c r="E355" s="4">
        <v>100</v>
      </c>
      <c r="F355" s="4">
        <v>300</v>
      </c>
    </row>
    <row r="356" spans="1:6" x14ac:dyDescent="0.35">
      <c r="A356">
        <v>26</v>
      </c>
      <c r="B356">
        <v>5</v>
      </c>
      <c r="C356" t="s">
        <v>240</v>
      </c>
      <c r="D356" s="4">
        <v>0.5</v>
      </c>
      <c r="E356" s="4">
        <v>1</v>
      </c>
      <c r="F356" s="4">
        <v>3</v>
      </c>
    </row>
    <row r="357" spans="1:6" x14ac:dyDescent="0.35">
      <c r="A357">
        <v>26</v>
      </c>
      <c r="B357">
        <v>6</v>
      </c>
      <c r="C357" t="s">
        <v>241</v>
      </c>
      <c r="D357" s="4">
        <v>0.5</v>
      </c>
      <c r="E357" s="4">
        <v>1.5</v>
      </c>
      <c r="F357" s="4">
        <v>4</v>
      </c>
    </row>
    <row r="358" spans="1:6" x14ac:dyDescent="0.35">
      <c r="A358">
        <v>26</v>
      </c>
      <c r="B358">
        <v>7</v>
      </c>
      <c r="C358" t="s">
        <v>242</v>
      </c>
      <c r="D358" s="4">
        <v>100</v>
      </c>
      <c r="E358" s="4">
        <v>500</v>
      </c>
      <c r="F358" s="4">
        <v>1200</v>
      </c>
    </row>
    <row r="359" spans="1:6" x14ac:dyDescent="0.35">
      <c r="A359">
        <v>26</v>
      </c>
      <c r="B359">
        <v>8</v>
      </c>
      <c r="C359" t="s">
        <v>243</v>
      </c>
      <c r="D359" s="4">
        <v>0.4</v>
      </c>
      <c r="E359" s="4">
        <v>0.6</v>
      </c>
      <c r="F359" s="4">
        <v>0.8</v>
      </c>
    </row>
    <row r="360" spans="1:6" x14ac:dyDescent="0.35">
      <c r="A360">
        <v>26</v>
      </c>
      <c r="B360">
        <v>9</v>
      </c>
      <c r="C360" t="s">
        <v>244</v>
      </c>
      <c r="D360" s="4">
        <v>0.05</v>
      </c>
      <c r="E360" s="4">
        <v>0.15</v>
      </c>
      <c r="F360" s="4">
        <v>0.4</v>
      </c>
    </row>
    <row r="361" spans="1:6" x14ac:dyDescent="0.35">
      <c r="A361">
        <v>26</v>
      </c>
      <c r="B361">
        <v>10</v>
      </c>
      <c r="C361" t="s">
        <v>245</v>
      </c>
      <c r="D361" s="4">
        <v>9.9999999999999995E-7</v>
      </c>
      <c r="E361" s="4">
        <v>0.2</v>
      </c>
      <c r="F361" s="4">
        <v>0.5</v>
      </c>
    </row>
    <row r="362" spans="1:6" x14ac:dyDescent="0.35">
      <c r="A362">
        <v>26</v>
      </c>
      <c r="B362">
        <v>11</v>
      </c>
      <c r="C362" t="s">
        <v>246</v>
      </c>
      <c r="D362" s="4">
        <v>40</v>
      </c>
      <c r="E362" s="4">
        <v>125</v>
      </c>
      <c r="F362" s="4">
        <v>250</v>
      </c>
    </row>
    <row r="363" spans="1:6" x14ac:dyDescent="0.35">
      <c r="A363">
        <v>26</v>
      </c>
      <c r="B363">
        <v>12</v>
      </c>
      <c r="C363" t="s">
        <v>247</v>
      </c>
      <c r="D363" s="4">
        <v>600</v>
      </c>
      <c r="E363" s="4">
        <v>800</v>
      </c>
      <c r="F363" s="4">
        <v>1000</v>
      </c>
    </row>
    <row r="364" spans="1:6" x14ac:dyDescent="0.35">
      <c r="A364">
        <v>26</v>
      </c>
      <c r="B364">
        <v>13</v>
      </c>
      <c r="C364" t="s">
        <v>248</v>
      </c>
      <c r="D364" s="4">
        <v>5</v>
      </c>
      <c r="E364" s="4">
        <v>30</v>
      </c>
      <c r="F364" s="4">
        <v>60</v>
      </c>
    </row>
    <row r="365" spans="1:6" x14ac:dyDescent="0.35">
      <c r="A365">
        <v>26</v>
      </c>
      <c r="B365">
        <v>14</v>
      </c>
      <c r="C365" t="s">
        <v>249</v>
      </c>
      <c r="D365" s="4">
        <v>0.1</v>
      </c>
      <c r="E365" s="4">
        <v>0.25</v>
      </c>
      <c r="F365" s="4">
        <v>0.4</v>
      </c>
    </row>
    <row r="366" spans="1:6" x14ac:dyDescent="0.35">
      <c r="A366">
        <v>27</v>
      </c>
      <c r="B366">
        <v>1</v>
      </c>
      <c r="C366" t="s">
        <v>236</v>
      </c>
      <c r="D366" s="4">
        <v>7.0000000000000007E-2</v>
      </c>
      <c r="E366" s="4">
        <v>0.14000000000000001</v>
      </c>
      <c r="F366" s="4">
        <v>0.28000000000000003</v>
      </c>
    </row>
    <row r="367" spans="1:6" x14ac:dyDescent="0.35">
      <c r="A367">
        <v>27</v>
      </c>
      <c r="B367">
        <v>2</v>
      </c>
      <c r="C367" t="s">
        <v>237</v>
      </c>
      <c r="D367" s="4">
        <v>15.6</v>
      </c>
      <c r="E367" s="4">
        <v>15.8</v>
      </c>
      <c r="F367" s="4">
        <v>16</v>
      </c>
    </row>
    <row r="368" spans="1:6" x14ac:dyDescent="0.35">
      <c r="A368">
        <v>27</v>
      </c>
      <c r="B368">
        <v>3</v>
      </c>
      <c r="C368" t="s">
        <v>238</v>
      </c>
      <c r="D368" s="4">
        <v>0.05</v>
      </c>
      <c r="E368" s="4">
        <v>0.1</v>
      </c>
      <c r="F368" s="4">
        <v>0.3</v>
      </c>
    </row>
    <row r="369" spans="1:6" x14ac:dyDescent="0.35">
      <c r="A369">
        <v>27</v>
      </c>
      <c r="B369">
        <v>4</v>
      </c>
      <c r="C369" t="s">
        <v>239</v>
      </c>
      <c r="D369" s="4">
        <v>5</v>
      </c>
      <c r="E369" s="4">
        <v>10</v>
      </c>
      <c r="F369" s="4">
        <v>50</v>
      </c>
    </row>
    <row r="370" spans="1:6" x14ac:dyDescent="0.35">
      <c r="A370">
        <v>27</v>
      </c>
      <c r="B370">
        <v>5</v>
      </c>
      <c r="C370" t="s">
        <v>240</v>
      </c>
      <c r="D370" s="4">
        <v>0.1</v>
      </c>
      <c r="E370" s="4">
        <v>0.5</v>
      </c>
      <c r="F370" s="4">
        <v>1.5</v>
      </c>
    </row>
    <row r="371" spans="1:6" x14ac:dyDescent="0.35">
      <c r="A371">
        <v>27</v>
      </c>
      <c r="B371">
        <v>6</v>
      </c>
      <c r="C371" t="s">
        <v>241</v>
      </c>
      <c r="D371" s="4">
        <v>0.5</v>
      </c>
      <c r="E371" s="4">
        <v>1.75</v>
      </c>
      <c r="F371" s="4">
        <v>3</v>
      </c>
    </row>
    <row r="372" spans="1:6" x14ac:dyDescent="0.35">
      <c r="A372">
        <v>27</v>
      </c>
      <c r="B372">
        <v>7</v>
      </c>
      <c r="C372" t="s">
        <v>242</v>
      </c>
      <c r="D372" s="4">
        <v>113</v>
      </c>
      <c r="E372" s="4">
        <v>338</v>
      </c>
      <c r="F372" s="4">
        <v>1128</v>
      </c>
    </row>
    <row r="373" spans="1:6" x14ac:dyDescent="0.35">
      <c r="A373">
        <v>27</v>
      </c>
      <c r="B373">
        <v>8</v>
      </c>
      <c r="C373" t="s">
        <v>243</v>
      </c>
      <c r="D373" s="4">
        <v>9.9999999999999995E-7</v>
      </c>
      <c r="E373" s="4">
        <v>0.05</v>
      </c>
      <c r="F373" s="4">
        <v>0.2</v>
      </c>
    </row>
    <row r="374" spans="1:6" x14ac:dyDescent="0.35">
      <c r="A374">
        <v>27</v>
      </c>
      <c r="B374">
        <v>9</v>
      </c>
      <c r="C374" t="s">
        <v>244</v>
      </c>
      <c r="D374" s="4">
        <v>0.05</v>
      </c>
      <c r="E374" s="4">
        <v>0.1</v>
      </c>
      <c r="F374" s="4">
        <v>0.3</v>
      </c>
    </row>
    <row r="375" spans="1:6" x14ac:dyDescent="0.35">
      <c r="A375">
        <v>27</v>
      </c>
      <c r="B375">
        <v>10</v>
      </c>
      <c r="C375" t="s">
        <v>245</v>
      </c>
      <c r="D375" s="4">
        <v>0.05</v>
      </c>
      <c r="E375" s="4">
        <v>0.1</v>
      </c>
      <c r="F375" s="4">
        <v>0.5</v>
      </c>
    </row>
    <row r="376" spans="1:6" x14ac:dyDescent="0.35">
      <c r="A376">
        <v>27</v>
      </c>
      <c r="B376">
        <v>11</v>
      </c>
      <c r="C376" t="s">
        <v>246</v>
      </c>
      <c r="D376" s="4">
        <v>5</v>
      </c>
      <c r="E376" s="4">
        <v>15</v>
      </c>
      <c r="F376" s="4">
        <v>40</v>
      </c>
    </row>
    <row r="377" spans="1:6" x14ac:dyDescent="0.35">
      <c r="A377">
        <v>27</v>
      </c>
      <c r="B377">
        <v>12</v>
      </c>
      <c r="C377" t="s">
        <v>247</v>
      </c>
      <c r="D377" s="4">
        <v>500</v>
      </c>
      <c r="E377" s="4">
        <v>700</v>
      </c>
      <c r="F377" s="4">
        <v>900</v>
      </c>
    </row>
    <row r="378" spans="1:6" x14ac:dyDescent="0.35">
      <c r="A378">
        <v>27</v>
      </c>
      <c r="B378">
        <v>13</v>
      </c>
      <c r="C378" t="s">
        <v>248</v>
      </c>
      <c r="D378" s="4">
        <v>20</v>
      </c>
      <c r="E378" s="4">
        <v>40</v>
      </c>
      <c r="F378" s="4">
        <v>60</v>
      </c>
    </row>
    <row r="379" spans="1:6" x14ac:dyDescent="0.35">
      <c r="A379">
        <v>27</v>
      </c>
      <c r="B379">
        <v>14</v>
      </c>
      <c r="C379" t="s">
        <v>249</v>
      </c>
      <c r="D379" s="4">
        <v>0.5</v>
      </c>
      <c r="E379" s="4">
        <v>0.9</v>
      </c>
      <c r="F379" s="4">
        <v>0.95</v>
      </c>
    </row>
    <row r="380" spans="1:6" x14ac:dyDescent="0.35">
      <c r="A380">
        <v>28</v>
      </c>
      <c r="B380">
        <v>1</v>
      </c>
      <c r="C380" t="s">
        <v>236</v>
      </c>
      <c r="D380" s="4">
        <v>7.0000000000000007E-2</v>
      </c>
      <c r="E380" s="4">
        <v>0.15</v>
      </c>
      <c r="F380" s="4">
        <v>0.25</v>
      </c>
    </row>
    <row r="381" spans="1:6" x14ac:dyDescent="0.35">
      <c r="A381">
        <v>28</v>
      </c>
      <c r="B381">
        <v>2</v>
      </c>
      <c r="C381" t="s">
        <v>237</v>
      </c>
      <c r="D381" s="4">
        <v>10</v>
      </c>
      <c r="E381" s="4">
        <v>15</v>
      </c>
      <c r="F381" s="4">
        <v>25</v>
      </c>
    </row>
    <row r="382" spans="1:6" x14ac:dyDescent="0.35">
      <c r="A382">
        <v>28</v>
      </c>
      <c r="B382">
        <v>3</v>
      </c>
      <c r="C382" t="s">
        <v>238</v>
      </c>
      <c r="D382" s="4">
        <v>0.03</v>
      </c>
      <c r="E382" s="4">
        <v>0.08</v>
      </c>
      <c r="F382" s="4">
        <v>0.15</v>
      </c>
    </row>
    <row r="383" spans="1:6" x14ac:dyDescent="0.35">
      <c r="A383">
        <v>28</v>
      </c>
      <c r="B383">
        <v>4</v>
      </c>
      <c r="C383" t="s">
        <v>239</v>
      </c>
      <c r="D383" s="4">
        <v>40</v>
      </c>
      <c r="E383" s="4">
        <v>100</v>
      </c>
      <c r="F383" s="4">
        <v>250</v>
      </c>
    </row>
    <row r="384" spans="1:6" x14ac:dyDescent="0.35">
      <c r="A384">
        <v>28</v>
      </c>
      <c r="B384">
        <v>5</v>
      </c>
      <c r="C384" t="s">
        <v>240</v>
      </c>
      <c r="D384" s="4">
        <v>2</v>
      </c>
      <c r="E384" s="4">
        <v>4</v>
      </c>
      <c r="F384" s="4">
        <v>7</v>
      </c>
    </row>
    <row r="385" spans="1:6" x14ac:dyDescent="0.35">
      <c r="A385">
        <v>28</v>
      </c>
      <c r="B385">
        <v>6</v>
      </c>
      <c r="C385" t="s">
        <v>241</v>
      </c>
      <c r="D385" s="4">
        <v>0.5</v>
      </c>
      <c r="E385" s="4">
        <v>2.5</v>
      </c>
      <c r="F385" s="4">
        <v>5</v>
      </c>
    </row>
    <row r="386" spans="1:6" x14ac:dyDescent="0.35">
      <c r="A386">
        <v>28</v>
      </c>
      <c r="B386">
        <v>7</v>
      </c>
      <c r="C386" t="s">
        <v>242</v>
      </c>
      <c r="D386" s="4">
        <v>800</v>
      </c>
      <c r="E386" s="4">
        <v>1500</v>
      </c>
      <c r="F386" s="4">
        <v>5500</v>
      </c>
    </row>
    <row r="387" spans="1:6" x14ac:dyDescent="0.35">
      <c r="A387">
        <v>28</v>
      </c>
      <c r="B387">
        <v>8</v>
      </c>
      <c r="C387" t="s">
        <v>243</v>
      </c>
      <c r="D387" s="4">
        <v>0.5</v>
      </c>
      <c r="E387" s="4">
        <v>0.6</v>
      </c>
      <c r="F387" s="4">
        <v>0.8</v>
      </c>
    </row>
    <row r="388" spans="1:6" x14ac:dyDescent="0.35">
      <c r="A388">
        <v>28</v>
      </c>
      <c r="B388">
        <v>9</v>
      </c>
      <c r="C388" t="s">
        <v>244</v>
      </c>
      <c r="D388" s="4">
        <v>0.05</v>
      </c>
      <c r="E388" s="4">
        <v>0.15</v>
      </c>
      <c r="F388" s="4">
        <v>0.4</v>
      </c>
    </row>
    <row r="389" spans="1:6" x14ac:dyDescent="0.35">
      <c r="A389">
        <v>28</v>
      </c>
      <c r="B389">
        <v>10</v>
      </c>
      <c r="C389" t="s">
        <v>245</v>
      </c>
      <c r="D389" s="4">
        <v>0.05</v>
      </c>
      <c r="E389" s="4">
        <v>0.1</v>
      </c>
      <c r="F389" s="4">
        <v>0.35</v>
      </c>
    </row>
    <row r="390" spans="1:6" x14ac:dyDescent="0.35">
      <c r="A390">
        <v>28</v>
      </c>
      <c r="B390">
        <v>11</v>
      </c>
      <c r="C390" t="s">
        <v>246</v>
      </c>
      <c r="D390" s="4">
        <v>50</v>
      </c>
      <c r="E390" s="4">
        <v>85</v>
      </c>
      <c r="F390" s="4">
        <v>200</v>
      </c>
    </row>
    <row r="391" spans="1:6" x14ac:dyDescent="0.35">
      <c r="A391">
        <v>28</v>
      </c>
      <c r="B391">
        <v>12</v>
      </c>
      <c r="C391" t="s">
        <v>247</v>
      </c>
      <c r="D391" s="4">
        <v>650</v>
      </c>
      <c r="E391" s="4">
        <v>800</v>
      </c>
      <c r="F391" s="4">
        <v>1000</v>
      </c>
    </row>
    <row r="392" spans="1:6" x14ac:dyDescent="0.35">
      <c r="A392">
        <v>28</v>
      </c>
      <c r="B392">
        <v>13</v>
      </c>
      <c r="C392" t="s">
        <v>248</v>
      </c>
      <c r="D392" s="4">
        <v>40</v>
      </c>
      <c r="E392" s="4">
        <v>60</v>
      </c>
      <c r="F392" s="4">
        <v>75</v>
      </c>
    </row>
    <row r="393" spans="1:6" x14ac:dyDescent="0.35">
      <c r="A393">
        <v>28</v>
      </c>
      <c r="B393">
        <v>14</v>
      </c>
      <c r="C393" t="s">
        <v>249</v>
      </c>
      <c r="D393" s="4">
        <v>0.2</v>
      </c>
      <c r="E393" s="4">
        <v>0.35</v>
      </c>
      <c r="F393" s="4">
        <v>0.65</v>
      </c>
    </row>
    <row r="394" spans="1:6" x14ac:dyDescent="0.35">
      <c r="A394">
        <v>29</v>
      </c>
      <c r="B394">
        <v>1</v>
      </c>
      <c r="C394" t="s">
        <v>236</v>
      </c>
      <c r="D394" s="4">
        <v>0.04</v>
      </c>
      <c r="E394" s="4">
        <v>0.13</v>
      </c>
      <c r="F394" s="4">
        <v>0.25</v>
      </c>
    </row>
    <row r="395" spans="1:6" x14ac:dyDescent="0.35">
      <c r="A395">
        <v>29</v>
      </c>
      <c r="B395">
        <v>2</v>
      </c>
      <c r="C395" t="s">
        <v>237</v>
      </c>
      <c r="D395" s="4">
        <v>12.5</v>
      </c>
      <c r="E395" s="4">
        <v>15.7</v>
      </c>
      <c r="F395" s="4">
        <v>17.5</v>
      </c>
    </row>
    <row r="396" spans="1:6" x14ac:dyDescent="0.35">
      <c r="A396">
        <v>29</v>
      </c>
      <c r="B396">
        <v>3</v>
      </c>
      <c r="C396" t="s">
        <v>238</v>
      </c>
      <c r="D396" s="4">
        <v>9.9999999999999995E-7</v>
      </c>
      <c r="E396" s="4">
        <v>0.05</v>
      </c>
      <c r="F396" s="4">
        <v>0.2</v>
      </c>
    </row>
    <row r="397" spans="1:6" x14ac:dyDescent="0.35">
      <c r="A397">
        <v>29</v>
      </c>
      <c r="B397">
        <v>4</v>
      </c>
      <c r="C397" t="s">
        <v>239</v>
      </c>
      <c r="D397" s="4">
        <v>20</v>
      </c>
      <c r="E397" s="4">
        <v>50</v>
      </c>
      <c r="F397" s="4">
        <v>250</v>
      </c>
    </row>
    <row r="398" spans="1:6" x14ac:dyDescent="0.35">
      <c r="A398">
        <v>29</v>
      </c>
      <c r="B398">
        <v>5</v>
      </c>
      <c r="C398" t="s">
        <v>240</v>
      </c>
      <c r="D398" s="4">
        <v>0.25</v>
      </c>
      <c r="E398" s="4">
        <v>1.5</v>
      </c>
      <c r="F398" s="4">
        <v>4</v>
      </c>
    </row>
    <row r="399" spans="1:6" x14ac:dyDescent="0.35">
      <c r="A399">
        <v>29</v>
      </c>
      <c r="B399">
        <v>6</v>
      </c>
      <c r="C399" t="s">
        <v>241</v>
      </c>
      <c r="D399" s="4">
        <v>0.5</v>
      </c>
      <c r="E399" s="4">
        <v>3</v>
      </c>
      <c r="F399" s="4">
        <v>5</v>
      </c>
    </row>
    <row r="400" spans="1:6" x14ac:dyDescent="0.35">
      <c r="A400">
        <v>29</v>
      </c>
      <c r="B400">
        <v>7</v>
      </c>
      <c r="C400" t="s">
        <v>242</v>
      </c>
      <c r="D400" s="4">
        <v>25</v>
      </c>
      <c r="E400" s="4">
        <v>57</v>
      </c>
      <c r="F400" s="4">
        <v>200</v>
      </c>
    </row>
    <row r="401" spans="1:6" x14ac:dyDescent="0.35">
      <c r="A401">
        <v>29</v>
      </c>
      <c r="B401">
        <v>8</v>
      </c>
      <c r="C401" t="s">
        <v>243</v>
      </c>
      <c r="D401" s="4">
        <v>0.6</v>
      </c>
      <c r="E401" s="4">
        <v>0.75</v>
      </c>
      <c r="F401" s="4">
        <v>0.95</v>
      </c>
    </row>
    <row r="402" spans="1:6" x14ac:dyDescent="0.35">
      <c r="A402">
        <v>29</v>
      </c>
      <c r="B402">
        <v>9</v>
      </c>
      <c r="C402" t="s">
        <v>244</v>
      </c>
      <c r="D402" s="4">
        <v>5.0000000000000001E-3</v>
      </c>
      <c r="E402" s="4">
        <v>0.02</v>
      </c>
      <c r="F402" s="4">
        <v>0.15</v>
      </c>
    </row>
    <row r="403" spans="1:6" x14ac:dyDescent="0.35">
      <c r="A403">
        <v>29</v>
      </c>
      <c r="B403">
        <v>10</v>
      </c>
      <c r="C403" t="s">
        <v>245</v>
      </c>
      <c r="D403" s="4">
        <v>0.01</v>
      </c>
      <c r="E403" s="4">
        <v>0.15</v>
      </c>
      <c r="F403" s="4">
        <v>0.45</v>
      </c>
    </row>
    <row r="404" spans="1:6" x14ac:dyDescent="0.35">
      <c r="A404">
        <v>29</v>
      </c>
      <c r="B404">
        <v>11</v>
      </c>
      <c r="C404" t="s">
        <v>246</v>
      </c>
      <c r="D404" s="4">
        <v>15</v>
      </c>
      <c r="E404" s="4">
        <v>43</v>
      </c>
      <c r="F404" s="4">
        <v>100</v>
      </c>
    </row>
    <row r="405" spans="1:6" x14ac:dyDescent="0.35">
      <c r="A405">
        <v>29</v>
      </c>
      <c r="B405">
        <v>12</v>
      </c>
      <c r="C405" t="s">
        <v>247</v>
      </c>
      <c r="D405" s="4">
        <v>534</v>
      </c>
      <c r="E405" s="4">
        <v>712</v>
      </c>
      <c r="F405" s="4">
        <v>890</v>
      </c>
    </row>
    <row r="406" spans="1:6" x14ac:dyDescent="0.35">
      <c r="A406">
        <v>29</v>
      </c>
      <c r="B406">
        <v>13</v>
      </c>
      <c r="C406" t="s">
        <v>248</v>
      </c>
      <c r="D406" s="4">
        <v>4</v>
      </c>
      <c r="E406" s="4">
        <v>8</v>
      </c>
      <c r="F406" s="4">
        <v>40</v>
      </c>
    </row>
    <row r="407" spans="1:6" x14ac:dyDescent="0.35">
      <c r="A407">
        <v>29</v>
      </c>
      <c r="B407">
        <v>14</v>
      </c>
      <c r="C407" t="s">
        <v>249</v>
      </c>
      <c r="D407" s="4">
        <v>0.7</v>
      </c>
      <c r="E407" s="4">
        <v>0.85</v>
      </c>
      <c r="F407" s="4">
        <v>0.95</v>
      </c>
    </row>
    <row r="408" spans="1:6" x14ac:dyDescent="0.35">
      <c r="A408">
        <v>30</v>
      </c>
      <c r="B408">
        <v>1</v>
      </c>
      <c r="C408" t="s">
        <v>236</v>
      </c>
      <c r="D408" s="4">
        <v>0.1</v>
      </c>
      <c r="E408" s="4">
        <v>0.15</v>
      </c>
      <c r="F408" s="4">
        <v>0.2</v>
      </c>
    </row>
    <row r="409" spans="1:6" x14ac:dyDescent="0.35">
      <c r="A409">
        <v>30</v>
      </c>
      <c r="B409">
        <v>2</v>
      </c>
      <c r="C409" t="s">
        <v>237</v>
      </c>
      <c r="D409" s="4">
        <v>15.3</v>
      </c>
      <c r="E409" s="4">
        <v>15.5</v>
      </c>
      <c r="F409" s="4">
        <v>16</v>
      </c>
    </row>
    <row r="410" spans="1:6" x14ac:dyDescent="0.35">
      <c r="A410">
        <v>30</v>
      </c>
      <c r="B410">
        <v>3</v>
      </c>
      <c r="C410" t="s">
        <v>238</v>
      </c>
      <c r="D410" s="4">
        <v>0.05</v>
      </c>
      <c r="E410" s="4">
        <v>0.1</v>
      </c>
      <c r="F410" s="4">
        <v>0.3</v>
      </c>
    </row>
    <row r="411" spans="1:6" x14ac:dyDescent="0.35">
      <c r="A411">
        <v>30</v>
      </c>
      <c r="B411">
        <v>4</v>
      </c>
      <c r="C411" t="s">
        <v>239</v>
      </c>
      <c r="D411" s="4">
        <v>100</v>
      </c>
      <c r="E411" s="4">
        <v>300</v>
      </c>
      <c r="F411" s="4">
        <v>600</v>
      </c>
    </row>
    <row r="412" spans="1:6" x14ac:dyDescent="0.35">
      <c r="A412">
        <v>30</v>
      </c>
      <c r="B412">
        <v>5</v>
      </c>
      <c r="C412" t="s">
        <v>240</v>
      </c>
      <c r="D412" s="4">
        <v>9.9999999999999995E-7</v>
      </c>
      <c r="E412" s="4">
        <v>1</v>
      </c>
      <c r="F412" s="4">
        <v>4</v>
      </c>
    </row>
    <row r="413" spans="1:6" x14ac:dyDescent="0.35">
      <c r="A413">
        <v>30</v>
      </c>
      <c r="B413">
        <v>6</v>
      </c>
      <c r="C413" t="s">
        <v>241</v>
      </c>
      <c r="D413" s="4">
        <v>1</v>
      </c>
      <c r="E413" s="4">
        <v>3</v>
      </c>
      <c r="F413" s="4">
        <v>6</v>
      </c>
    </row>
    <row r="414" spans="1:6" x14ac:dyDescent="0.35">
      <c r="A414">
        <v>30</v>
      </c>
      <c r="B414">
        <v>7</v>
      </c>
      <c r="C414" t="s">
        <v>242</v>
      </c>
      <c r="D414" s="4">
        <v>145</v>
      </c>
      <c r="E414" s="4">
        <v>170</v>
      </c>
      <c r="F414" s="4">
        <v>200</v>
      </c>
    </row>
    <row r="415" spans="1:6" x14ac:dyDescent="0.35">
      <c r="A415">
        <v>30</v>
      </c>
      <c r="B415">
        <v>8</v>
      </c>
      <c r="C415" t="s">
        <v>243</v>
      </c>
      <c r="D415" s="4">
        <v>0.05</v>
      </c>
      <c r="E415" s="4">
        <v>0.1</v>
      </c>
      <c r="F415" s="4">
        <v>0.5</v>
      </c>
    </row>
    <row r="416" spans="1:6" x14ac:dyDescent="0.35">
      <c r="A416">
        <v>30</v>
      </c>
      <c r="B416">
        <v>9</v>
      </c>
      <c r="C416" t="s">
        <v>244</v>
      </c>
      <c r="D416" s="4">
        <v>0.2</v>
      </c>
      <c r="E416" s="4">
        <v>0.25</v>
      </c>
      <c r="F416" s="4">
        <v>0.4</v>
      </c>
    </row>
    <row r="417" spans="1:6" x14ac:dyDescent="0.35">
      <c r="A417">
        <v>30</v>
      </c>
      <c r="B417">
        <v>10</v>
      </c>
      <c r="C417" t="s">
        <v>245</v>
      </c>
      <c r="D417" s="4">
        <v>0.05</v>
      </c>
      <c r="E417" s="4">
        <v>0.1</v>
      </c>
      <c r="F417" s="4">
        <v>0.75</v>
      </c>
    </row>
    <row r="418" spans="1:6" x14ac:dyDescent="0.35">
      <c r="A418">
        <v>30</v>
      </c>
      <c r="B418">
        <v>11</v>
      </c>
      <c r="C418" t="s">
        <v>246</v>
      </c>
      <c r="D418" s="4">
        <v>85</v>
      </c>
      <c r="E418" s="4">
        <v>130</v>
      </c>
      <c r="F418" s="4">
        <v>175</v>
      </c>
    </row>
    <row r="419" spans="1:6" x14ac:dyDescent="0.35">
      <c r="A419">
        <v>30</v>
      </c>
      <c r="B419">
        <v>12</v>
      </c>
      <c r="C419" t="s">
        <v>247</v>
      </c>
      <c r="D419" s="4">
        <v>675</v>
      </c>
      <c r="E419" s="4">
        <v>700</v>
      </c>
      <c r="F419" s="4">
        <v>850</v>
      </c>
    </row>
    <row r="420" spans="1:6" x14ac:dyDescent="0.35">
      <c r="A420">
        <v>30</v>
      </c>
      <c r="B420">
        <v>13</v>
      </c>
      <c r="C420" t="s">
        <v>248</v>
      </c>
      <c r="D420" s="4">
        <v>10</v>
      </c>
      <c r="E420" s="4">
        <v>30</v>
      </c>
      <c r="F420" s="4">
        <v>70</v>
      </c>
    </row>
    <row r="421" spans="1:6" x14ac:dyDescent="0.35">
      <c r="A421">
        <v>30</v>
      </c>
      <c r="B421">
        <v>14</v>
      </c>
      <c r="C421" t="s">
        <v>249</v>
      </c>
      <c r="D421" s="4">
        <v>0.5</v>
      </c>
      <c r="E421" s="4">
        <v>0.75</v>
      </c>
      <c r="F421" s="4">
        <v>0.95</v>
      </c>
    </row>
    <row r="422" spans="1:6" x14ac:dyDescent="0.35">
      <c r="A422">
        <v>31</v>
      </c>
      <c r="B422">
        <v>1</v>
      </c>
      <c r="C422" t="s">
        <v>236</v>
      </c>
      <c r="D422" s="4">
        <v>0.05</v>
      </c>
      <c r="E422" s="4">
        <v>0.15</v>
      </c>
      <c r="F422" s="4">
        <v>0.3</v>
      </c>
    </row>
    <row r="423" spans="1:6" x14ac:dyDescent="0.35">
      <c r="A423">
        <v>31</v>
      </c>
      <c r="B423">
        <v>2</v>
      </c>
      <c r="C423" t="s">
        <v>237</v>
      </c>
      <c r="D423" s="4">
        <v>14</v>
      </c>
      <c r="E423" s="4">
        <v>16</v>
      </c>
      <c r="F423" s="4">
        <v>18</v>
      </c>
    </row>
    <row r="424" spans="1:6" x14ac:dyDescent="0.35">
      <c r="A424">
        <v>31</v>
      </c>
      <c r="B424">
        <v>3</v>
      </c>
      <c r="C424" t="s">
        <v>238</v>
      </c>
      <c r="D424" s="4">
        <v>9.9999999999999995E-7</v>
      </c>
      <c r="E424" s="4">
        <v>1E-4</v>
      </c>
      <c r="F424" s="4">
        <v>0.05</v>
      </c>
    </row>
    <row r="425" spans="1:6" x14ac:dyDescent="0.35">
      <c r="A425">
        <v>31</v>
      </c>
      <c r="B425">
        <v>4</v>
      </c>
      <c r="C425" t="s">
        <v>239</v>
      </c>
      <c r="D425" s="4">
        <v>5</v>
      </c>
      <c r="E425" s="4">
        <v>50</v>
      </c>
      <c r="F425" s="4">
        <v>250</v>
      </c>
    </row>
    <row r="426" spans="1:6" x14ac:dyDescent="0.35">
      <c r="A426">
        <v>31</v>
      </c>
      <c r="B426">
        <v>5</v>
      </c>
      <c r="C426" t="s">
        <v>240</v>
      </c>
      <c r="D426" s="4">
        <v>0.5</v>
      </c>
      <c r="E426" s="4">
        <v>1</v>
      </c>
      <c r="F426" s="4">
        <v>2</v>
      </c>
    </row>
    <row r="427" spans="1:6" x14ac:dyDescent="0.35">
      <c r="A427">
        <v>31</v>
      </c>
      <c r="B427">
        <v>6</v>
      </c>
      <c r="C427" t="s">
        <v>241</v>
      </c>
      <c r="D427" s="4">
        <v>0.5</v>
      </c>
      <c r="E427" s="4">
        <v>1</v>
      </c>
      <c r="F427" s="4">
        <v>2</v>
      </c>
    </row>
    <row r="428" spans="1:6" x14ac:dyDescent="0.35">
      <c r="A428">
        <v>31</v>
      </c>
      <c r="B428">
        <v>7</v>
      </c>
      <c r="C428" t="s">
        <v>242</v>
      </c>
      <c r="D428" s="4">
        <v>100</v>
      </c>
      <c r="E428" s="4">
        <v>500</v>
      </c>
      <c r="F428" s="4">
        <v>1500</v>
      </c>
    </row>
    <row r="429" spans="1:6" x14ac:dyDescent="0.35">
      <c r="A429">
        <v>31</v>
      </c>
      <c r="B429">
        <v>8</v>
      </c>
      <c r="C429" t="s">
        <v>243</v>
      </c>
      <c r="D429" s="4">
        <v>0.4</v>
      </c>
      <c r="E429" s="4">
        <v>0.6</v>
      </c>
      <c r="F429" s="4">
        <v>0.8</v>
      </c>
    </row>
    <row r="430" spans="1:6" x14ac:dyDescent="0.35">
      <c r="A430">
        <v>31</v>
      </c>
      <c r="B430">
        <v>9</v>
      </c>
      <c r="C430" t="s">
        <v>244</v>
      </c>
      <c r="D430" s="4">
        <v>0.01</v>
      </c>
      <c r="E430" s="4">
        <v>0.05</v>
      </c>
      <c r="F430" s="4">
        <v>0.15</v>
      </c>
    </row>
    <row r="431" spans="1:6" x14ac:dyDescent="0.35">
      <c r="A431">
        <v>31</v>
      </c>
      <c r="B431">
        <v>10</v>
      </c>
      <c r="C431" t="s">
        <v>245</v>
      </c>
      <c r="D431" s="4">
        <v>0.01</v>
      </c>
      <c r="E431" s="4">
        <v>0.1</v>
      </c>
      <c r="F431" s="4">
        <v>0.5</v>
      </c>
    </row>
    <row r="432" spans="1:6" x14ac:dyDescent="0.35">
      <c r="A432">
        <v>31</v>
      </c>
      <c r="B432">
        <v>11</v>
      </c>
      <c r="C432" t="s">
        <v>246</v>
      </c>
      <c r="D432" s="4">
        <v>45</v>
      </c>
      <c r="E432" s="4">
        <v>135</v>
      </c>
      <c r="F432" s="4">
        <v>270</v>
      </c>
    </row>
    <row r="433" spans="1:6" x14ac:dyDescent="0.35">
      <c r="A433">
        <v>31</v>
      </c>
      <c r="B433">
        <v>12</v>
      </c>
      <c r="C433" t="s">
        <v>247</v>
      </c>
      <c r="D433" s="4">
        <v>600</v>
      </c>
      <c r="E433" s="4">
        <v>800</v>
      </c>
      <c r="F433" s="4">
        <v>1000</v>
      </c>
    </row>
    <row r="434" spans="1:6" x14ac:dyDescent="0.35">
      <c r="A434">
        <v>31</v>
      </c>
      <c r="B434">
        <v>13</v>
      </c>
      <c r="C434" t="s">
        <v>248</v>
      </c>
      <c r="D434" s="4">
        <v>30</v>
      </c>
      <c r="E434" s="4">
        <v>50</v>
      </c>
      <c r="F434" s="4">
        <v>70</v>
      </c>
    </row>
    <row r="435" spans="1:6" x14ac:dyDescent="0.35">
      <c r="A435">
        <v>31</v>
      </c>
      <c r="B435">
        <v>14</v>
      </c>
      <c r="C435" t="s">
        <v>249</v>
      </c>
      <c r="D435" s="4">
        <v>0.12</v>
      </c>
      <c r="E435" s="4">
        <v>0.38</v>
      </c>
      <c r="F435" s="4">
        <v>0.88</v>
      </c>
    </row>
    <row r="436" spans="1:6" x14ac:dyDescent="0.35">
      <c r="A436">
        <v>32</v>
      </c>
      <c r="B436">
        <v>1</v>
      </c>
      <c r="C436" t="s">
        <v>236</v>
      </c>
      <c r="D436" s="4">
        <v>0.02</v>
      </c>
      <c r="E436" s="4">
        <v>0.08</v>
      </c>
      <c r="F436" s="4">
        <v>0.18</v>
      </c>
    </row>
    <row r="437" spans="1:6" x14ac:dyDescent="0.35">
      <c r="A437">
        <v>32</v>
      </c>
      <c r="B437">
        <v>2</v>
      </c>
      <c r="C437" t="s">
        <v>237</v>
      </c>
      <c r="D437" s="4">
        <v>13</v>
      </c>
      <c r="E437" s="4">
        <v>15</v>
      </c>
      <c r="F437" s="4">
        <v>17</v>
      </c>
    </row>
    <row r="438" spans="1:6" x14ac:dyDescent="0.35">
      <c r="A438">
        <v>32</v>
      </c>
      <c r="B438">
        <v>3</v>
      </c>
      <c r="C438" t="s">
        <v>238</v>
      </c>
      <c r="D438" s="4">
        <v>0.05</v>
      </c>
      <c r="E438" s="4">
        <v>0.15</v>
      </c>
      <c r="F438" s="4">
        <v>0.3</v>
      </c>
    </row>
    <row r="439" spans="1:6" x14ac:dyDescent="0.35">
      <c r="A439">
        <v>32</v>
      </c>
      <c r="B439">
        <v>4</v>
      </c>
      <c r="C439" t="s">
        <v>239</v>
      </c>
      <c r="D439" s="4">
        <v>100</v>
      </c>
      <c r="E439" s="4">
        <v>250</v>
      </c>
      <c r="F439" s="4">
        <v>500</v>
      </c>
    </row>
    <row r="440" spans="1:6" x14ac:dyDescent="0.35">
      <c r="A440">
        <v>32</v>
      </c>
      <c r="B440">
        <v>5</v>
      </c>
      <c r="C440" t="s">
        <v>240</v>
      </c>
      <c r="D440" s="4">
        <v>0.01</v>
      </c>
      <c r="E440" s="4">
        <v>1</v>
      </c>
      <c r="F440" s="4">
        <v>4</v>
      </c>
    </row>
    <row r="441" spans="1:6" x14ac:dyDescent="0.35">
      <c r="A441">
        <v>32</v>
      </c>
      <c r="B441">
        <v>6</v>
      </c>
      <c r="C441" t="s">
        <v>241</v>
      </c>
      <c r="D441" s="4">
        <v>0.5</v>
      </c>
      <c r="E441" s="4">
        <v>1</v>
      </c>
      <c r="F441" s="4">
        <v>2</v>
      </c>
    </row>
    <row r="442" spans="1:6" x14ac:dyDescent="0.35">
      <c r="A442">
        <v>32</v>
      </c>
      <c r="B442">
        <v>7</v>
      </c>
      <c r="C442" t="s">
        <v>242</v>
      </c>
      <c r="D442" s="4">
        <v>115</v>
      </c>
      <c r="E442" s="4">
        <v>575</v>
      </c>
      <c r="F442" s="4">
        <v>1150</v>
      </c>
    </row>
    <row r="443" spans="1:6" x14ac:dyDescent="0.35">
      <c r="A443">
        <v>32</v>
      </c>
      <c r="B443">
        <v>8</v>
      </c>
      <c r="C443" t="s">
        <v>243</v>
      </c>
      <c r="D443" s="4">
        <v>0.5</v>
      </c>
      <c r="E443" s="4">
        <v>0.7</v>
      </c>
      <c r="F443" s="4">
        <v>0.9</v>
      </c>
    </row>
    <row r="444" spans="1:6" x14ac:dyDescent="0.35">
      <c r="A444">
        <v>32</v>
      </c>
      <c r="B444">
        <v>9</v>
      </c>
      <c r="C444" t="s">
        <v>244</v>
      </c>
      <c r="D444" s="4">
        <v>0.1</v>
      </c>
      <c r="E444" s="4">
        <v>0.2</v>
      </c>
      <c r="F444" s="4">
        <v>0.6</v>
      </c>
    </row>
    <row r="445" spans="1:6" x14ac:dyDescent="0.35">
      <c r="A445">
        <v>32</v>
      </c>
      <c r="B445">
        <v>10</v>
      </c>
      <c r="C445" t="s">
        <v>245</v>
      </c>
      <c r="D445" s="4">
        <v>0.01</v>
      </c>
      <c r="E445" s="4">
        <v>0.05</v>
      </c>
      <c r="F445" s="4">
        <v>0.3</v>
      </c>
    </row>
    <row r="446" spans="1:6" x14ac:dyDescent="0.35">
      <c r="A446">
        <v>32</v>
      </c>
      <c r="B446">
        <v>11</v>
      </c>
      <c r="C446" t="s">
        <v>246</v>
      </c>
      <c r="D446" s="4">
        <v>100</v>
      </c>
      <c r="E446" s="4">
        <v>150</v>
      </c>
      <c r="F446" s="4">
        <v>350</v>
      </c>
    </row>
    <row r="447" spans="1:6" x14ac:dyDescent="0.35">
      <c r="A447">
        <v>32</v>
      </c>
      <c r="B447">
        <v>12</v>
      </c>
      <c r="C447" t="s">
        <v>247</v>
      </c>
      <c r="D447" s="4">
        <v>500</v>
      </c>
      <c r="E447" s="4">
        <v>700</v>
      </c>
      <c r="F447" s="4">
        <v>1000</v>
      </c>
    </row>
    <row r="448" spans="1:6" x14ac:dyDescent="0.35">
      <c r="A448">
        <v>32</v>
      </c>
      <c r="B448">
        <v>13</v>
      </c>
      <c r="C448" t="s">
        <v>248</v>
      </c>
      <c r="D448" s="4">
        <v>20</v>
      </c>
      <c r="E448" s="4">
        <v>40</v>
      </c>
      <c r="F448" s="4">
        <v>60</v>
      </c>
    </row>
    <row r="449" spans="1:6" x14ac:dyDescent="0.35">
      <c r="A449">
        <v>32</v>
      </c>
      <c r="B449">
        <v>14</v>
      </c>
      <c r="C449" t="s">
        <v>249</v>
      </c>
      <c r="D449" s="4">
        <v>0.15</v>
      </c>
      <c r="E449" s="4">
        <v>0.25</v>
      </c>
      <c r="F449" s="4">
        <v>0.5</v>
      </c>
    </row>
    <row r="450" spans="1:6" x14ac:dyDescent="0.35">
      <c r="A450">
        <v>33</v>
      </c>
      <c r="B450">
        <v>1</v>
      </c>
      <c r="C450" t="s">
        <v>236</v>
      </c>
      <c r="D450" s="4">
        <v>0.05</v>
      </c>
      <c r="E450" s="4">
        <v>0.1</v>
      </c>
      <c r="F450" s="4">
        <v>0.15</v>
      </c>
    </row>
    <row r="451" spans="1:6" x14ac:dyDescent="0.35">
      <c r="A451">
        <v>33</v>
      </c>
      <c r="B451">
        <v>2</v>
      </c>
      <c r="C451" t="s">
        <v>237</v>
      </c>
      <c r="D451" s="4">
        <v>14.5</v>
      </c>
      <c r="E451" s="4">
        <v>15.5</v>
      </c>
      <c r="F451" s="4">
        <v>17</v>
      </c>
    </row>
    <row r="452" spans="1:6" x14ac:dyDescent="0.35">
      <c r="A452">
        <v>33</v>
      </c>
      <c r="B452">
        <v>3</v>
      </c>
      <c r="C452" t="s">
        <v>238</v>
      </c>
      <c r="D452" s="4">
        <v>9.9999999999999995E-7</v>
      </c>
      <c r="E452" s="4">
        <v>0.05</v>
      </c>
      <c r="F452" s="4">
        <v>0.1</v>
      </c>
    </row>
    <row r="453" spans="1:6" x14ac:dyDescent="0.35">
      <c r="A453">
        <v>33</v>
      </c>
      <c r="B453">
        <v>4</v>
      </c>
      <c r="C453" t="s">
        <v>239</v>
      </c>
      <c r="D453" s="4">
        <v>1</v>
      </c>
      <c r="E453" s="4">
        <v>5</v>
      </c>
      <c r="F453" s="4">
        <v>15</v>
      </c>
    </row>
    <row r="454" spans="1:6" x14ac:dyDescent="0.35">
      <c r="A454">
        <v>33</v>
      </c>
      <c r="B454">
        <v>5</v>
      </c>
      <c r="C454" t="s">
        <v>240</v>
      </c>
      <c r="D454" s="4">
        <v>0.5</v>
      </c>
      <c r="E454" s="4">
        <v>1.5</v>
      </c>
      <c r="F454" s="4">
        <v>3</v>
      </c>
    </row>
    <row r="455" spans="1:6" x14ac:dyDescent="0.35">
      <c r="A455">
        <v>33</v>
      </c>
      <c r="B455">
        <v>6</v>
      </c>
      <c r="C455" t="s">
        <v>241</v>
      </c>
      <c r="D455" s="4">
        <v>1</v>
      </c>
      <c r="E455" s="4">
        <v>2</v>
      </c>
      <c r="F455" s="4">
        <v>5</v>
      </c>
    </row>
    <row r="456" spans="1:6" x14ac:dyDescent="0.35">
      <c r="A456">
        <v>33</v>
      </c>
      <c r="B456">
        <v>7</v>
      </c>
      <c r="C456" t="s">
        <v>242</v>
      </c>
      <c r="D456" s="4">
        <v>50</v>
      </c>
      <c r="E456" s="4">
        <v>250</v>
      </c>
      <c r="F456" s="4">
        <v>750</v>
      </c>
    </row>
    <row r="457" spans="1:6" x14ac:dyDescent="0.35">
      <c r="A457">
        <v>33</v>
      </c>
      <c r="B457">
        <v>8</v>
      </c>
      <c r="C457" t="s">
        <v>243</v>
      </c>
      <c r="D457" s="4">
        <v>0.4</v>
      </c>
      <c r="E457" s="4">
        <v>0.7</v>
      </c>
      <c r="F457" s="4">
        <v>0.95</v>
      </c>
    </row>
    <row r="458" spans="1:6" x14ac:dyDescent="0.35">
      <c r="A458">
        <v>33</v>
      </c>
      <c r="B458">
        <v>9</v>
      </c>
      <c r="C458" t="s">
        <v>244</v>
      </c>
      <c r="D458" s="4">
        <v>0.01</v>
      </c>
      <c r="E458" s="4">
        <v>0.05</v>
      </c>
      <c r="F458" s="4">
        <v>0.15</v>
      </c>
    </row>
    <row r="459" spans="1:6" x14ac:dyDescent="0.35">
      <c r="A459">
        <v>33</v>
      </c>
      <c r="B459">
        <v>10</v>
      </c>
      <c r="C459" t="s">
        <v>245</v>
      </c>
      <c r="D459" s="4">
        <v>9.9999999999999995E-7</v>
      </c>
      <c r="E459" s="4">
        <v>0.03</v>
      </c>
      <c r="F459" s="4">
        <v>0.1</v>
      </c>
    </row>
    <row r="460" spans="1:6" x14ac:dyDescent="0.35">
      <c r="A460">
        <v>33</v>
      </c>
      <c r="B460">
        <v>11</v>
      </c>
      <c r="C460" t="s">
        <v>246</v>
      </c>
      <c r="D460" s="4">
        <v>20</v>
      </c>
      <c r="E460" s="4">
        <v>40</v>
      </c>
      <c r="F460" s="4">
        <v>100</v>
      </c>
    </row>
    <row r="461" spans="1:6" x14ac:dyDescent="0.35">
      <c r="A461">
        <v>33</v>
      </c>
      <c r="B461">
        <v>12</v>
      </c>
      <c r="C461" t="s">
        <v>247</v>
      </c>
      <c r="D461" s="4">
        <v>500</v>
      </c>
      <c r="E461" s="4">
        <v>700</v>
      </c>
      <c r="F461" s="4">
        <v>1000</v>
      </c>
    </row>
    <row r="462" spans="1:6" x14ac:dyDescent="0.35">
      <c r="A462">
        <v>33</v>
      </c>
      <c r="B462">
        <v>13</v>
      </c>
      <c r="C462" t="s">
        <v>248</v>
      </c>
      <c r="D462" s="4">
        <v>20</v>
      </c>
      <c r="E462" s="4">
        <v>40</v>
      </c>
      <c r="F462" s="4">
        <v>70</v>
      </c>
    </row>
    <row r="463" spans="1:6" x14ac:dyDescent="0.35">
      <c r="A463">
        <v>33</v>
      </c>
      <c r="B463">
        <v>14</v>
      </c>
      <c r="C463" t="s">
        <v>249</v>
      </c>
      <c r="D463" s="4">
        <v>0.3</v>
      </c>
      <c r="E463" s="4">
        <v>0.5</v>
      </c>
      <c r="F463" s="4">
        <v>0.6</v>
      </c>
    </row>
    <row r="464" spans="1:6" x14ac:dyDescent="0.35">
      <c r="A464">
        <v>34</v>
      </c>
      <c r="B464">
        <v>1</v>
      </c>
      <c r="C464" t="s">
        <v>236</v>
      </c>
      <c r="D464" s="4">
        <v>0.1</v>
      </c>
      <c r="E464" s="4">
        <v>0.14000000000000001</v>
      </c>
      <c r="F464" s="4">
        <v>0.18</v>
      </c>
    </row>
    <row r="465" spans="1:6" x14ac:dyDescent="0.35">
      <c r="A465">
        <v>34</v>
      </c>
      <c r="B465">
        <v>2</v>
      </c>
      <c r="C465" t="s">
        <v>237</v>
      </c>
      <c r="D465" s="4">
        <v>14</v>
      </c>
      <c r="E465" s="4">
        <v>16</v>
      </c>
      <c r="F465" s="4">
        <v>18</v>
      </c>
    </row>
    <row r="466" spans="1:6" x14ac:dyDescent="0.35">
      <c r="A466">
        <v>34</v>
      </c>
      <c r="B466">
        <v>3</v>
      </c>
      <c r="C466" t="s">
        <v>238</v>
      </c>
      <c r="D466" s="4">
        <v>5.0000000000000001E-3</v>
      </c>
      <c r="E466" s="4">
        <v>0.03</v>
      </c>
      <c r="F466" s="4">
        <v>0.2</v>
      </c>
    </row>
    <row r="467" spans="1:6" x14ac:dyDescent="0.35">
      <c r="A467">
        <v>34</v>
      </c>
      <c r="B467">
        <v>4</v>
      </c>
      <c r="C467" t="s">
        <v>239</v>
      </c>
      <c r="D467" s="4">
        <v>3</v>
      </c>
      <c r="E467" s="4">
        <v>10</v>
      </c>
      <c r="F467" s="4">
        <v>100</v>
      </c>
    </row>
    <row r="468" spans="1:6" x14ac:dyDescent="0.35">
      <c r="A468">
        <v>34</v>
      </c>
      <c r="B468">
        <v>5</v>
      </c>
      <c r="C468" t="s">
        <v>240</v>
      </c>
      <c r="D468" s="4">
        <v>0.5</v>
      </c>
      <c r="E468" s="4">
        <v>1.5</v>
      </c>
      <c r="F468" s="4">
        <v>2</v>
      </c>
    </row>
    <row r="469" spans="1:6" x14ac:dyDescent="0.35">
      <c r="A469">
        <v>34</v>
      </c>
      <c r="B469">
        <v>6</v>
      </c>
      <c r="C469" t="s">
        <v>241</v>
      </c>
      <c r="D469" s="4">
        <v>1</v>
      </c>
      <c r="E469" s="4">
        <v>2</v>
      </c>
      <c r="F469" s="4">
        <v>4</v>
      </c>
    </row>
    <row r="470" spans="1:6" x14ac:dyDescent="0.35">
      <c r="A470">
        <v>34</v>
      </c>
      <c r="B470">
        <v>7</v>
      </c>
      <c r="C470" t="s">
        <v>242</v>
      </c>
      <c r="D470" s="4">
        <v>225</v>
      </c>
      <c r="E470" s="4">
        <v>500</v>
      </c>
      <c r="F470" s="4">
        <v>700</v>
      </c>
    </row>
    <row r="471" spans="1:6" x14ac:dyDescent="0.35">
      <c r="A471">
        <v>34</v>
      </c>
      <c r="B471">
        <v>8</v>
      </c>
      <c r="C471" t="s">
        <v>243</v>
      </c>
      <c r="D471" s="4">
        <v>0.7</v>
      </c>
      <c r="E471" s="4">
        <v>0.8</v>
      </c>
      <c r="F471" s="4">
        <v>0.9</v>
      </c>
    </row>
    <row r="472" spans="1:6" x14ac:dyDescent="0.35">
      <c r="A472">
        <v>34</v>
      </c>
      <c r="B472">
        <v>9</v>
      </c>
      <c r="C472" t="s">
        <v>244</v>
      </c>
      <c r="D472" s="4">
        <v>0.18</v>
      </c>
      <c r="E472" s="4">
        <v>0.25</v>
      </c>
      <c r="F472" s="4">
        <v>0.3</v>
      </c>
    </row>
    <row r="473" spans="1:6" x14ac:dyDescent="0.35">
      <c r="A473">
        <v>34</v>
      </c>
      <c r="B473">
        <v>10</v>
      </c>
      <c r="C473" t="s">
        <v>245</v>
      </c>
      <c r="D473" s="4">
        <v>0.01</v>
      </c>
      <c r="E473" s="4">
        <v>0.05</v>
      </c>
      <c r="F473" s="4">
        <v>0.5</v>
      </c>
    </row>
    <row r="474" spans="1:6" x14ac:dyDescent="0.35">
      <c r="A474">
        <v>34</v>
      </c>
      <c r="B474">
        <v>11</v>
      </c>
      <c r="C474" t="s">
        <v>246</v>
      </c>
      <c r="D474" s="4">
        <v>17</v>
      </c>
      <c r="E474" s="4">
        <v>25</v>
      </c>
      <c r="F474" s="4">
        <v>70</v>
      </c>
    </row>
    <row r="475" spans="1:6" x14ac:dyDescent="0.35">
      <c r="A475">
        <v>34</v>
      </c>
      <c r="B475">
        <v>12</v>
      </c>
      <c r="C475" t="s">
        <v>247</v>
      </c>
      <c r="D475" s="4">
        <v>600</v>
      </c>
      <c r="E475" s="4">
        <v>700</v>
      </c>
      <c r="F475" s="4">
        <v>800</v>
      </c>
    </row>
    <row r="476" spans="1:6" x14ac:dyDescent="0.35">
      <c r="A476">
        <v>34</v>
      </c>
      <c r="B476">
        <v>13</v>
      </c>
      <c r="C476" t="s">
        <v>248</v>
      </c>
      <c r="D476" s="4">
        <v>35</v>
      </c>
      <c r="E476" s="4">
        <v>48</v>
      </c>
      <c r="F476" s="4">
        <v>65</v>
      </c>
    </row>
    <row r="477" spans="1:6" x14ac:dyDescent="0.35">
      <c r="A477">
        <v>34</v>
      </c>
      <c r="B477">
        <v>14</v>
      </c>
      <c r="C477" t="s">
        <v>249</v>
      </c>
      <c r="D477" s="4">
        <v>0.25</v>
      </c>
      <c r="E477" s="4">
        <v>0.36</v>
      </c>
      <c r="F477" s="4">
        <v>0.55000000000000004</v>
      </c>
    </row>
    <row r="478" spans="1:6" x14ac:dyDescent="0.35">
      <c r="A478">
        <v>35</v>
      </c>
      <c r="B478">
        <v>1</v>
      </c>
      <c r="C478" t="s">
        <v>236</v>
      </c>
      <c r="D478" s="4">
        <v>0.05</v>
      </c>
      <c r="E478" s="4">
        <v>0.09</v>
      </c>
      <c r="F478" s="4">
        <v>0.17</v>
      </c>
    </row>
    <row r="479" spans="1:6" x14ac:dyDescent="0.35">
      <c r="A479">
        <v>35</v>
      </c>
      <c r="B479">
        <v>2</v>
      </c>
      <c r="C479" t="s">
        <v>237</v>
      </c>
      <c r="D479" s="4">
        <v>13.88</v>
      </c>
      <c r="E479" s="4">
        <v>15.12</v>
      </c>
      <c r="F479" s="4">
        <v>15.71</v>
      </c>
    </row>
    <row r="480" spans="1:6" x14ac:dyDescent="0.35">
      <c r="A480">
        <v>35</v>
      </c>
      <c r="B480">
        <v>3</v>
      </c>
      <c r="C480" t="s">
        <v>238</v>
      </c>
      <c r="D480" s="4">
        <v>1E-4</v>
      </c>
      <c r="E480" s="4">
        <v>0.04</v>
      </c>
      <c r="F480" s="4">
        <v>0.2</v>
      </c>
    </row>
    <row r="481" spans="1:6" x14ac:dyDescent="0.35">
      <c r="A481">
        <v>35</v>
      </c>
      <c r="B481">
        <v>4</v>
      </c>
      <c r="C481" t="s">
        <v>239</v>
      </c>
      <c r="D481" s="4">
        <v>0.1</v>
      </c>
      <c r="E481" s="4">
        <v>1.5</v>
      </c>
      <c r="F481" s="4">
        <v>8</v>
      </c>
    </row>
    <row r="482" spans="1:6" x14ac:dyDescent="0.35">
      <c r="A482">
        <v>35</v>
      </c>
      <c r="B482">
        <v>5</v>
      </c>
      <c r="C482" t="s">
        <v>240</v>
      </c>
      <c r="D482" s="4">
        <v>0.15</v>
      </c>
      <c r="E482" s="4">
        <v>0.6</v>
      </c>
      <c r="F482" s="4">
        <v>1.2</v>
      </c>
    </row>
    <row r="483" spans="1:6" x14ac:dyDescent="0.35">
      <c r="A483">
        <v>35</v>
      </c>
      <c r="B483">
        <v>6</v>
      </c>
      <c r="C483" t="s">
        <v>241</v>
      </c>
      <c r="D483" s="4">
        <v>0.2</v>
      </c>
      <c r="E483" s="4">
        <v>0.95</v>
      </c>
      <c r="F483" s="4">
        <v>2.0499999999999998</v>
      </c>
    </row>
    <row r="484" spans="1:6" x14ac:dyDescent="0.35">
      <c r="A484">
        <v>35</v>
      </c>
      <c r="B484">
        <v>7</v>
      </c>
      <c r="C484" t="s">
        <v>242</v>
      </c>
      <c r="D484" s="4">
        <v>0.4</v>
      </c>
      <c r="E484" s="4">
        <v>1.5</v>
      </c>
      <c r="F484" s="4">
        <v>5</v>
      </c>
    </row>
    <row r="485" spans="1:6" x14ac:dyDescent="0.35">
      <c r="A485">
        <v>35</v>
      </c>
      <c r="B485">
        <v>8</v>
      </c>
      <c r="C485" t="s">
        <v>243</v>
      </c>
      <c r="D485" s="4">
        <v>0.15</v>
      </c>
      <c r="E485" s="4">
        <v>0.3</v>
      </c>
      <c r="F485" s="4">
        <v>0.5</v>
      </c>
    </row>
    <row r="486" spans="1:6" x14ac:dyDescent="0.35">
      <c r="A486">
        <v>35</v>
      </c>
      <c r="B486">
        <v>9</v>
      </c>
      <c r="C486" t="s">
        <v>244</v>
      </c>
      <c r="D486" s="4">
        <v>0.255</v>
      </c>
      <c r="E486" s="4">
        <v>0.27500000000000002</v>
      </c>
      <c r="F486" s="4">
        <v>0.28999999999999998</v>
      </c>
    </row>
    <row r="487" spans="1:6" x14ac:dyDescent="0.35">
      <c r="A487">
        <v>35</v>
      </c>
      <c r="B487">
        <v>10</v>
      </c>
      <c r="C487" t="s">
        <v>245</v>
      </c>
      <c r="D487" s="4">
        <v>2.0000000000000001E-4</v>
      </c>
      <c r="E487" s="4">
        <v>0.03</v>
      </c>
      <c r="F487" s="4">
        <v>0.15</v>
      </c>
    </row>
    <row r="488" spans="1:6" x14ac:dyDescent="0.35">
      <c r="A488">
        <v>35</v>
      </c>
      <c r="B488">
        <v>11</v>
      </c>
      <c r="C488" t="s">
        <v>246</v>
      </c>
      <c r="D488" s="4">
        <v>22</v>
      </c>
      <c r="E488" s="4">
        <v>40</v>
      </c>
      <c r="F488" s="4">
        <v>65</v>
      </c>
    </row>
    <row r="489" spans="1:6" x14ac:dyDescent="0.35">
      <c r="A489">
        <v>35</v>
      </c>
      <c r="B489">
        <v>12</v>
      </c>
      <c r="C489" t="s">
        <v>247</v>
      </c>
      <c r="D489" s="4">
        <v>650</v>
      </c>
      <c r="E489" s="4">
        <v>720</v>
      </c>
      <c r="F489" s="4">
        <v>825</v>
      </c>
    </row>
    <row r="490" spans="1:6" x14ac:dyDescent="0.35">
      <c r="A490">
        <v>35</v>
      </c>
      <c r="B490">
        <v>13</v>
      </c>
      <c r="C490" t="s">
        <v>248</v>
      </c>
      <c r="D490" s="4">
        <v>20</v>
      </c>
      <c r="E490" s="4">
        <v>45</v>
      </c>
      <c r="F490" s="4">
        <v>65</v>
      </c>
    </row>
    <row r="491" spans="1:6" x14ac:dyDescent="0.35">
      <c r="A491">
        <v>35</v>
      </c>
      <c r="B491">
        <v>14</v>
      </c>
      <c r="C491" t="s">
        <v>249</v>
      </c>
      <c r="D491" s="4">
        <v>0.22</v>
      </c>
      <c r="E491" s="4">
        <v>0.5</v>
      </c>
      <c r="F491" s="4">
        <v>0.8</v>
      </c>
    </row>
    <row r="492" spans="1:6" x14ac:dyDescent="0.35">
      <c r="A492">
        <v>36</v>
      </c>
      <c r="B492">
        <v>1</v>
      </c>
      <c r="C492" t="s">
        <v>236</v>
      </c>
      <c r="D492" s="4">
        <v>0.1</v>
      </c>
      <c r="E492" s="4">
        <v>0.12</v>
      </c>
      <c r="F492" s="4">
        <v>0.15</v>
      </c>
    </row>
    <row r="493" spans="1:6" x14ac:dyDescent="0.35">
      <c r="A493">
        <v>36</v>
      </c>
      <c r="B493">
        <v>2</v>
      </c>
      <c r="C493" t="s">
        <v>237</v>
      </c>
      <c r="D493" s="4">
        <v>13</v>
      </c>
      <c r="E493" s="4">
        <v>14</v>
      </c>
      <c r="F493" s="4">
        <v>15.75</v>
      </c>
    </row>
    <row r="494" spans="1:6" x14ac:dyDescent="0.35">
      <c r="A494">
        <v>36</v>
      </c>
      <c r="B494">
        <v>3</v>
      </c>
      <c r="C494" t="s">
        <v>238</v>
      </c>
      <c r="D494" s="4">
        <v>7.0000000000000007E-2</v>
      </c>
      <c r="E494" s="4">
        <v>0.1</v>
      </c>
      <c r="F494" s="4">
        <v>0.3</v>
      </c>
    </row>
    <row r="495" spans="1:6" x14ac:dyDescent="0.35">
      <c r="A495">
        <v>36</v>
      </c>
      <c r="B495">
        <v>4</v>
      </c>
      <c r="C495" t="s">
        <v>239</v>
      </c>
      <c r="D495" s="4">
        <v>5</v>
      </c>
      <c r="E495" s="4">
        <v>10</v>
      </c>
      <c r="F495" s="4">
        <v>40</v>
      </c>
    </row>
    <row r="496" spans="1:6" x14ac:dyDescent="0.35">
      <c r="A496">
        <v>36</v>
      </c>
      <c r="B496">
        <v>5</v>
      </c>
      <c r="C496" t="s">
        <v>240</v>
      </c>
      <c r="D496" s="4">
        <v>0.25</v>
      </c>
      <c r="E496" s="4">
        <v>1</v>
      </c>
      <c r="F496" s="4">
        <v>2</v>
      </c>
    </row>
    <row r="497" spans="1:6" x14ac:dyDescent="0.35">
      <c r="A497">
        <v>36</v>
      </c>
      <c r="B497">
        <v>6</v>
      </c>
      <c r="C497" t="s">
        <v>241</v>
      </c>
      <c r="D497" s="4">
        <v>0.5</v>
      </c>
      <c r="E497" s="4">
        <v>2</v>
      </c>
      <c r="F497" s="4">
        <v>3</v>
      </c>
    </row>
    <row r="498" spans="1:6" x14ac:dyDescent="0.35">
      <c r="A498">
        <v>36</v>
      </c>
      <c r="B498">
        <v>7</v>
      </c>
      <c r="C498" t="s">
        <v>242</v>
      </c>
      <c r="D498" s="4">
        <v>500</v>
      </c>
      <c r="E498" s="4">
        <v>1000</v>
      </c>
      <c r="F498" s="4">
        <v>3000</v>
      </c>
    </row>
    <row r="499" spans="1:6" x14ac:dyDescent="0.35">
      <c r="A499">
        <v>36</v>
      </c>
      <c r="B499">
        <v>8</v>
      </c>
      <c r="C499" t="s">
        <v>243</v>
      </c>
      <c r="D499" s="4">
        <v>0.4</v>
      </c>
      <c r="E499" s="4">
        <v>0.6</v>
      </c>
      <c r="F499" s="4">
        <v>0.9</v>
      </c>
    </row>
    <row r="500" spans="1:6" x14ac:dyDescent="0.35">
      <c r="A500">
        <v>36</v>
      </c>
      <c r="B500">
        <v>9</v>
      </c>
      <c r="C500" t="s">
        <v>244</v>
      </c>
      <c r="D500" s="4">
        <v>0.01</v>
      </c>
      <c r="E500" s="4">
        <v>0.1</v>
      </c>
      <c r="F500" s="4">
        <v>0.3</v>
      </c>
    </row>
    <row r="501" spans="1:6" x14ac:dyDescent="0.35">
      <c r="A501">
        <v>36</v>
      </c>
      <c r="B501">
        <v>10</v>
      </c>
      <c r="C501" t="s">
        <v>245</v>
      </c>
      <c r="D501" s="4">
        <v>2E-3</v>
      </c>
      <c r="E501" s="4">
        <v>0.01</v>
      </c>
      <c r="F501" s="4">
        <v>0.05</v>
      </c>
    </row>
    <row r="502" spans="1:6" x14ac:dyDescent="0.35">
      <c r="A502">
        <v>36</v>
      </c>
      <c r="B502">
        <v>11</v>
      </c>
      <c r="C502" t="s">
        <v>246</v>
      </c>
      <c r="D502" s="4">
        <v>5</v>
      </c>
      <c r="E502" s="4">
        <v>15</v>
      </c>
      <c r="F502" s="4">
        <v>30</v>
      </c>
    </row>
    <row r="503" spans="1:6" x14ac:dyDescent="0.35">
      <c r="A503">
        <v>36</v>
      </c>
      <c r="B503">
        <v>12</v>
      </c>
      <c r="C503" t="s">
        <v>247</v>
      </c>
      <c r="D503" s="4">
        <v>500</v>
      </c>
      <c r="E503" s="4">
        <v>700</v>
      </c>
      <c r="F503" s="4">
        <v>900</v>
      </c>
    </row>
    <row r="504" spans="1:6" x14ac:dyDescent="0.35">
      <c r="A504">
        <v>36</v>
      </c>
      <c r="B504">
        <v>13</v>
      </c>
      <c r="C504" t="s">
        <v>248</v>
      </c>
      <c r="D504" s="4">
        <v>5</v>
      </c>
      <c r="E504" s="4">
        <v>15</v>
      </c>
      <c r="F504" s="4">
        <v>30</v>
      </c>
    </row>
    <row r="505" spans="1:6" x14ac:dyDescent="0.35">
      <c r="A505">
        <v>36</v>
      </c>
      <c r="B505">
        <v>14</v>
      </c>
      <c r="C505" t="s">
        <v>249</v>
      </c>
      <c r="D505" s="4">
        <v>0.6</v>
      </c>
      <c r="E505" s="4">
        <v>0.8</v>
      </c>
      <c r="F505" s="4">
        <v>0.9</v>
      </c>
    </row>
    <row r="506" spans="1:6" x14ac:dyDescent="0.35">
      <c r="A506">
        <v>37</v>
      </c>
      <c r="B506">
        <v>1</v>
      </c>
      <c r="C506" t="s">
        <v>236</v>
      </c>
      <c r="D506" s="4">
        <v>1E-3</v>
      </c>
      <c r="E506" s="4">
        <v>0.13</v>
      </c>
      <c r="F506" s="4">
        <v>1.3</v>
      </c>
    </row>
    <row r="507" spans="1:6" x14ac:dyDescent="0.35">
      <c r="A507">
        <v>37</v>
      </c>
      <c r="B507">
        <v>2</v>
      </c>
      <c r="C507" t="s">
        <v>237</v>
      </c>
      <c r="D507" s="4">
        <v>5</v>
      </c>
      <c r="E507" s="4">
        <v>15.74</v>
      </c>
      <c r="F507" s="4">
        <v>30</v>
      </c>
    </row>
    <row r="508" spans="1:6" x14ac:dyDescent="0.35">
      <c r="A508">
        <v>37</v>
      </c>
      <c r="B508">
        <v>3</v>
      </c>
      <c r="C508" t="s">
        <v>238</v>
      </c>
      <c r="D508" s="4">
        <v>0.05</v>
      </c>
      <c r="E508" s="4">
        <v>0.15</v>
      </c>
      <c r="F508" s="4">
        <v>0.2</v>
      </c>
    </row>
    <row r="509" spans="1:6" x14ac:dyDescent="0.35">
      <c r="A509">
        <v>37</v>
      </c>
      <c r="B509">
        <v>4</v>
      </c>
      <c r="C509" t="s">
        <v>239</v>
      </c>
      <c r="D509" s="4">
        <v>5</v>
      </c>
      <c r="E509" s="4">
        <v>30</v>
      </c>
      <c r="F509" s="4">
        <v>100</v>
      </c>
    </row>
    <row r="510" spans="1:6" x14ac:dyDescent="0.35">
      <c r="A510">
        <v>37</v>
      </c>
      <c r="B510">
        <v>5</v>
      </c>
      <c r="C510" t="s">
        <v>240</v>
      </c>
      <c r="D510" s="4">
        <v>0.5</v>
      </c>
      <c r="E510" s="4">
        <v>1</v>
      </c>
      <c r="F510" s="4">
        <v>2</v>
      </c>
    </row>
    <row r="511" spans="1:6" x14ac:dyDescent="0.35">
      <c r="A511">
        <v>37</v>
      </c>
      <c r="B511">
        <v>6</v>
      </c>
      <c r="C511" t="s">
        <v>241</v>
      </c>
      <c r="D511" s="4">
        <v>2</v>
      </c>
      <c r="E511" s="4">
        <v>3</v>
      </c>
      <c r="F511" s="4">
        <v>4</v>
      </c>
    </row>
    <row r="512" spans="1:6" x14ac:dyDescent="0.35">
      <c r="A512">
        <v>37</v>
      </c>
      <c r="B512">
        <v>7</v>
      </c>
      <c r="C512" t="s">
        <v>242</v>
      </c>
      <c r="D512" s="4">
        <v>50</v>
      </c>
      <c r="E512" s="4">
        <v>100</v>
      </c>
      <c r="F512" s="4">
        <v>200</v>
      </c>
    </row>
    <row r="513" spans="1:6" x14ac:dyDescent="0.35">
      <c r="A513">
        <v>37</v>
      </c>
      <c r="B513">
        <v>8</v>
      </c>
      <c r="C513" t="s">
        <v>243</v>
      </c>
      <c r="D513" s="4">
        <v>0.2</v>
      </c>
      <c r="E513" s="4">
        <v>0.4</v>
      </c>
      <c r="F513" s="4">
        <v>0.5</v>
      </c>
    </row>
    <row r="514" spans="1:6" x14ac:dyDescent="0.35">
      <c r="A514">
        <v>37</v>
      </c>
      <c r="B514">
        <v>9</v>
      </c>
      <c r="C514" t="s">
        <v>244</v>
      </c>
      <c r="D514" s="4">
        <v>0.05</v>
      </c>
      <c r="E514" s="4">
        <v>0.1</v>
      </c>
      <c r="F514" s="4">
        <v>0.2</v>
      </c>
    </row>
    <row r="515" spans="1:6" x14ac:dyDescent="0.35">
      <c r="A515">
        <v>37</v>
      </c>
      <c r="B515">
        <v>10</v>
      </c>
      <c r="C515" t="s">
        <v>245</v>
      </c>
      <c r="D515" s="4">
        <v>0.1</v>
      </c>
      <c r="E515" s="4">
        <v>0.3</v>
      </c>
      <c r="F515" s="4">
        <v>0.5</v>
      </c>
    </row>
    <row r="516" spans="1:6" x14ac:dyDescent="0.35">
      <c r="A516">
        <v>37</v>
      </c>
      <c r="B516">
        <v>11</v>
      </c>
      <c r="C516" t="s">
        <v>246</v>
      </c>
      <c r="D516" s="4">
        <v>30</v>
      </c>
      <c r="E516" s="4">
        <v>100</v>
      </c>
      <c r="F516" s="4">
        <v>150</v>
      </c>
    </row>
    <row r="517" spans="1:6" x14ac:dyDescent="0.35">
      <c r="A517">
        <v>37</v>
      </c>
      <c r="B517">
        <v>12</v>
      </c>
      <c r="C517" t="s">
        <v>247</v>
      </c>
      <c r="D517" s="4">
        <v>400</v>
      </c>
      <c r="E517" s="4">
        <v>550</v>
      </c>
      <c r="F517" s="4">
        <v>700</v>
      </c>
    </row>
    <row r="518" spans="1:6" x14ac:dyDescent="0.35">
      <c r="A518">
        <v>37</v>
      </c>
      <c r="B518">
        <v>13</v>
      </c>
      <c r="C518" t="s">
        <v>248</v>
      </c>
      <c r="D518" s="4">
        <v>20</v>
      </c>
      <c r="E518" s="4">
        <v>40</v>
      </c>
      <c r="F518" s="4">
        <v>60</v>
      </c>
    </row>
    <row r="519" spans="1:6" x14ac:dyDescent="0.35">
      <c r="A519">
        <v>37</v>
      </c>
      <c r="B519">
        <v>14</v>
      </c>
      <c r="C519" t="s">
        <v>249</v>
      </c>
      <c r="D519" s="4">
        <v>0.05</v>
      </c>
      <c r="E519" s="4">
        <v>0.15</v>
      </c>
      <c r="F519" s="4">
        <v>0.3</v>
      </c>
    </row>
    <row r="520" spans="1:6" x14ac:dyDescent="0.35">
      <c r="A520">
        <v>38</v>
      </c>
      <c r="B520">
        <v>1</v>
      </c>
      <c r="C520" t="s">
        <v>236</v>
      </c>
      <c r="D520" s="4">
        <v>5.0000000000000001E-3</v>
      </c>
      <c r="E520" s="4">
        <v>0.18</v>
      </c>
      <c r="F520" s="4">
        <v>14</v>
      </c>
    </row>
    <row r="521" spans="1:6" x14ac:dyDescent="0.35">
      <c r="A521">
        <v>38</v>
      </c>
      <c r="B521">
        <v>2</v>
      </c>
      <c r="C521" t="s">
        <v>237</v>
      </c>
      <c r="D521" s="4">
        <v>1</v>
      </c>
      <c r="E521" s="4">
        <v>14</v>
      </c>
      <c r="F521" s="4">
        <v>125</v>
      </c>
    </row>
    <row r="522" spans="1:6" x14ac:dyDescent="0.35">
      <c r="A522">
        <v>38</v>
      </c>
      <c r="B522">
        <v>3</v>
      </c>
      <c r="C522" t="s">
        <v>238</v>
      </c>
      <c r="D522" s="4">
        <v>1.0000000000000001E-5</v>
      </c>
      <c r="E522" s="4">
        <v>0.03</v>
      </c>
      <c r="F522" s="4">
        <v>0.2</v>
      </c>
    </row>
    <row r="523" spans="1:6" x14ac:dyDescent="0.35">
      <c r="A523">
        <v>38</v>
      </c>
      <c r="B523">
        <v>4</v>
      </c>
      <c r="C523" t="s">
        <v>239</v>
      </c>
      <c r="D523" s="4">
        <v>0.01</v>
      </c>
      <c r="E523" s="4">
        <v>2</v>
      </c>
      <c r="F523" s="4">
        <v>20</v>
      </c>
    </row>
    <row r="524" spans="1:6" x14ac:dyDescent="0.35">
      <c r="A524">
        <v>38</v>
      </c>
      <c r="B524">
        <v>5</v>
      </c>
      <c r="C524" t="s">
        <v>240</v>
      </c>
      <c r="D524" s="4">
        <v>0.01</v>
      </c>
      <c r="E524" s="4">
        <v>1.8</v>
      </c>
      <c r="F524" s="4">
        <v>12</v>
      </c>
    </row>
    <row r="525" spans="1:6" x14ac:dyDescent="0.35">
      <c r="A525">
        <v>38</v>
      </c>
      <c r="B525">
        <v>6</v>
      </c>
      <c r="C525" t="s">
        <v>241</v>
      </c>
      <c r="D525" s="4">
        <v>0.01</v>
      </c>
      <c r="E525" s="4">
        <v>3.2</v>
      </c>
      <c r="F525" s="4">
        <v>15</v>
      </c>
    </row>
    <row r="526" spans="1:6" x14ac:dyDescent="0.35">
      <c r="A526">
        <v>38</v>
      </c>
      <c r="B526">
        <v>7</v>
      </c>
      <c r="C526" t="s">
        <v>242</v>
      </c>
      <c r="D526" s="4">
        <v>25</v>
      </c>
      <c r="E526" s="4">
        <v>125</v>
      </c>
      <c r="F526" s="4">
        <v>2200</v>
      </c>
    </row>
    <row r="527" spans="1:6" x14ac:dyDescent="0.35">
      <c r="A527">
        <v>38</v>
      </c>
      <c r="B527">
        <v>8</v>
      </c>
      <c r="C527" t="s">
        <v>243</v>
      </c>
      <c r="D527" s="4">
        <v>1E-3</v>
      </c>
      <c r="E527" s="4">
        <v>0.04</v>
      </c>
      <c r="F527" s="4">
        <v>0.5</v>
      </c>
    </row>
    <row r="528" spans="1:6" x14ac:dyDescent="0.35">
      <c r="A528">
        <v>38</v>
      </c>
      <c r="B528">
        <v>9</v>
      </c>
      <c r="C528" t="s">
        <v>244</v>
      </c>
      <c r="D528" s="4">
        <v>0.01</v>
      </c>
      <c r="E528" s="4">
        <v>0.1</v>
      </c>
      <c r="F528" s="4">
        <v>0.75</v>
      </c>
    </row>
    <row r="529" spans="1:6" x14ac:dyDescent="0.35">
      <c r="A529">
        <v>38</v>
      </c>
      <c r="B529">
        <v>10</v>
      </c>
      <c r="C529" t="s">
        <v>245</v>
      </c>
      <c r="D529" s="4">
        <v>1E-3</v>
      </c>
      <c r="E529" s="4">
        <v>0.15</v>
      </c>
      <c r="F529" s="4">
        <v>0.75</v>
      </c>
    </row>
    <row r="530" spans="1:6" x14ac:dyDescent="0.35">
      <c r="A530">
        <v>38</v>
      </c>
      <c r="B530">
        <v>11</v>
      </c>
      <c r="C530" t="s">
        <v>246</v>
      </c>
      <c r="D530" s="4">
        <v>30</v>
      </c>
      <c r="E530" s="4">
        <v>300</v>
      </c>
      <c r="F530" s="4">
        <v>650</v>
      </c>
    </row>
    <row r="531" spans="1:6" x14ac:dyDescent="0.35">
      <c r="A531">
        <v>38</v>
      </c>
      <c r="B531">
        <v>12</v>
      </c>
      <c r="C531" t="s">
        <v>247</v>
      </c>
      <c r="D531" s="4">
        <v>40</v>
      </c>
      <c r="E531" s="4">
        <v>800</v>
      </c>
      <c r="F531" s="4">
        <v>7000</v>
      </c>
    </row>
    <row r="532" spans="1:6" x14ac:dyDescent="0.35">
      <c r="A532">
        <v>38</v>
      </c>
      <c r="B532">
        <v>13</v>
      </c>
      <c r="C532" t="s">
        <v>248</v>
      </c>
      <c r="D532" s="4">
        <v>5</v>
      </c>
      <c r="E532" s="4">
        <v>55</v>
      </c>
      <c r="F532" s="4">
        <v>75</v>
      </c>
    </row>
    <row r="533" spans="1:6" x14ac:dyDescent="0.35">
      <c r="A533">
        <v>38</v>
      </c>
      <c r="B533">
        <v>14</v>
      </c>
      <c r="C533" t="s">
        <v>249</v>
      </c>
      <c r="D533" s="4">
        <v>0.02</v>
      </c>
      <c r="E533" s="4">
        <v>0.2</v>
      </c>
      <c r="F533" s="4">
        <v>0.75</v>
      </c>
    </row>
    <row r="534" spans="1:6" x14ac:dyDescent="0.35">
      <c r="A534">
        <v>39</v>
      </c>
      <c r="B534">
        <v>1</v>
      </c>
      <c r="C534" t="s">
        <v>236</v>
      </c>
      <c r="D534" s="4">
        <v>4</v>
      </c>
      <c r="E534" s="4">
        <v>60</v>
      </c>
      <c r="F534" s="4">
        <v>65</v>
      </c>
    </row>
    <row r="535" spans="1:6" x14ac:dyDescent="0.35">
      <c r="A535">
        <v>39</v>
      </c>
      <c r="B535">
        <v>2</v>
      </c>
      <c r="C535" t="s">
        <v>237</v>
      </c>
      <c r="D535" s="4">
        <v>5800</v>
      </c>
      <c r="E535" s="4">
        <v>7800</v>
      </c>
      <c r="F535" s="4">
        <v>8000</v>
      </c>
    </row>
    <row r="536" spans="1:6" x14ac:dyDescent="0.35">
      <c r="A536">
        <v>39</v>
      </c>
      <c r="B536">
        <v>3</v>
      </c>
      <c r="C536" t="s">
        <v>238</v>
      </c>
      <c r="D536" s="4">
        <v>0.05</v>
      </c>
      <c r="E536" s="4">
        <v>0.1</v>
      </c>
      <c r="F536" s="4">
        <v>0.36</v>
      </c>
    </row>
    <row r="537" spans="1:6" x14ac:dyDescent="0.35">
      <c r="A537">
        <v>39</v>
      </c>
      <c r="B537">
        <v>4</v>
      </c>
      <c r="C537" t="s">
        <v>239</v>
      </c>
      <c r="D537" s="4">
        <v>100</v>
      </c>
      <c r="E537" s="4">
        <v>150</v>
      </c>
      <c r="F537" s="4">
        <v>300</v>
      </c>
    </row>
    <row r="538" spans="1:6" x14ac:dyDescent="0.35">
      <c r="A538">
        <v>39</v>
      </c>
      <c r="B538">
        <v>5</v>
      </c>
      <c r="C538" t="s">
        <v>240</v>
      </c>
      <c r="D538" s="4">
        <v>2</v>
      </c>
      <c r="E538" s="4">
        <v>2.5</v>
      </c>
      <c r="F538" s="4">
        <v>3</v>
      </c>
    </row>
    <row r="539" spans="1:6" x14ac:dyDescent="0.35">
      <c r="A539">
        <v>39</v>
      </c>
      <c r="B539">
        <v>6</v>
      </c>
      <c r="C539" t="s">
        <v>241</v>
      </c>
      <c r="D539" s="4">
        <v>3</v>
      </c>
      <c r="E539" s="4">
        <v>4</v>
      </c>
      <c r="F539" s="4">
        <v>5</v>
      </c>
    </row>
    <row r="540" spans="1:6" x14ac:dyDescent="0.35">
      <c r="A540">
        <v>39</v>
      </c>
      <c r="B540">
        <v>7</v>
      </c>
      <c r="C540" t="s">
        <v>242</v>
      </c>
      <c r="D540" s="4">
        <v>100</v>
      </c>
      <c r="E540" s="4">
        <v>150</v>
      </c>
      <c r="F540" s="4">
        <v>290</v>
      </c>
    </row>
    <row r="541" spans="1:6" x14ac:dyDescent="0.35">
      <c r="A541">
        <v>39</v>
      </c>
      <c r="B541">
        <v>8</v>
      </c>
      <c r="C541" t="s">
        <v>243</v>
      </c>
      <c r="D541" s="4">
        <v>0.01</v>
      </c>
      <c r="E541" s="4">
        <v>0.05</v>
      </c>
      <c r="F541" s="4">
        <v>0.15</v>
      </c>
    </row>
    <row r="542" spans="1:6" x14ac:dyDescent="0.35">
      <c r="A542">
        <v>39</v>
      </c>
      <c r="B542">
        <v>9</v>
      </c>
      <c r="C542" t="s">
        <v>244</v>
      </c>
      <c r="D542" s="4">
        <v>0.06</v>
      </c>
      <c r="E542" s="4">
        <v>0.1</v>
      </c>
      <c r="F542" s="4">
        <v>0.2</v>
      </c>
    </row>
    <row r="543" spans="1:6" x14ac:dyDescent="0.35">
      <c r="A543">
        <v>39</v>
      </c>
      <c r="B543">
        <v>10</v>
      </c>
      <c r="C543" t="s">
        <v>245</v>
      </c>
      <c r="D543" s="4">
        <v>0.02</v>
      </c>
      <c r="E543" s="4">
        <v>0.05</v>
      </c>
      <c r="F543" s="4">
        <v>0.1</v>
      </c>
    </row>
    <row r="544" spans="1:6" x14ac:dyDescent="0.35">
      <c r="A544">
        <v>39</v>
      </c>
      <c r="B544">
        <v>11</v>
      </c>
      <c r="C544" t="s">
        <v>246</v>
      </c>
      <c r="D544" s="4">
        <v>250</v>
      </c>
      <c r="E544" s="4">
        <v>400</v>
      </c>
      <c r="F544" s="4">
        <v>440</v>
      </c>
    </row>
    <row r="545" spans="1:6" x14ac:dyDescent="0.35">
      <c r="A545">
        <v>39</v>
      </c>
      <c r="B545">
        <v>12</v>
      </c>
      <c r="C545" t="s">
        <v>247</v>
      </c>
      <c r="D545" s="4">
        <v>690</v>
      </c>
      <c r="E545" s="4">
        <v>716</v>
      </c>
      <c r="F545" s="4">
        <v>812</v>
      </c>
    </row>
    <row r="546" spans="1:6" x14ac:dyDescent="0.35">
      <c r="A546">
        <v>39</v>
      </c>
      <c r="B546">
        <v>13</v>
      </c>
      <c r="C546" t="s">
        <v>248</v>
      </c>
      <c r="D546" s="4">
        <v>20</v>
      </c>
      <c r="E546" s="4">
        <v>35</v>
      </c>
      <c r="F546" s="4">
        <v>40</v>
      </c>
    </row>
    <row r="547" spans="1:6" x14ac:dyDescent="0.35">
      <c r="A547">
        <v>39</v>
      </c>
      <c r="B547">
        <v>14</v>
      </c>
      <c r="C547" t="s">
        <v>249</v>
      </c>
      <c r="D547" s="4">
        <v>0.08</v>
      </c>
      <c r="E547" s="4">
        <v>0.15</v>
      </c>
      <c r="F547" s="4">
        <v>0.2</v>
      </c>
    </row>
    <row r="548" spans="1:6" x14ac:dyDescent="0.35">
      <c r="A548">
        <v>40</v>
      </c>
      <c r="B548">
        <v>1</v>
      </c>
      <c r="C548" t="s">
        <v>236</v>
      </c>
      <c r="D548" s="4">
        <v>0.01</v>
      </c>
      <c r="E548" s="4">
        <v>0.13</v>
      </c>
      <c r="F548" s="4">
        <v>0.2</v>
      </c>
    </row>
    <row r="549" spans="1:6" x14ac:dyDescent="0.35">
      <c r="A549">
        <v>40</v>
      </c>
      <c r="B549">
        <v>2</v>
      </c>
      <c r="C549" t="s">
        <v>237</v>
      </c>
      <c r="D549" s="4">
        <v>10</v>
      </c>
      <c r="E549" s="4">
        <v>14</v>
      </c>
      <c r="F549" s="4">
        <v>30</v>
      </c>
    </row>
    <row r="550" spans="1:6" x14ac:dyDescent="0.35">
      <c r="A550">
        <v>40</v>
      </c>
      <c r="B550">
        <v>3</v>
      </c>
      <c r="C550" t="s">
        <v>238</v>
      </c>
      <c r="D550" s="4">
        <v>0.01</v>
      </c>
      <c r="E550" s="4">
        <v>0.02</v>
      </c>
      <c r="F550" s="4">
        <v>0.05</v>
      </c>
    </row>
    <row r="551" spans="1:6" x14ac:dyDescent="0.35">
      <c r="A551">
        <v>40</v>
      </c>
      <c r="B551">
        <v>4</v>
      </c>
      <c r="C551" t="s">
        <v>239</v>
      </c>
      <c r="D551" s="4">
        <v>10</v>
      </c>
      <c r="E551" s="4">
        <v>50</v>
      </c>
      <c r="F551" s="4">
        <v>100</v>
      </c>
    </row>
    <row r="552" spans="1:6" x14ac:dyDescent="0.35">
      <c r="A552">
        <v>40</v>
      </c>
      <c r="B552">
        <v>5</v>
      </c>
      <c r="C552" t="s">
        <v>240</v>
      </c>
      <c r="D552" s="4">
        <v>0.05</v>
      </c>
      <c r="E552" s="4">
        <v>1</v>
      </c>
      <c r="F552" s="4">
        <v>2</v>
      </c>
    </row>
    <row r="553" spans="1:6" x14ac:dyDescent="0.35">
      <c r="A553">
        <v>40</v>
      </c>
      <c r="B553">
        <v>6</v>
      </c>
      <c r="C553" t="s">
        <v>241</v>
      </c>
      <c r="D553" s="4">
        <v>0.5</v>
      </c>
      <c r="E553" s="4">
        <v>1.5</v>
      </c>
      <c r="F553" s="4">
        <v>2</v>
      </c>
    </row>
    <row r="554" spans="1:6" x14ac:dyDescent="0.35">
      <c r="A554">
        <v>40</v>
      </c>
      <c r="B554">
        <v>7</v>
      </c>
      <c r="C554" t="s">
        <v>242</v>
      </c>
      <c r="D554" s="4">
        <v>50</v>
      </c>
      <c r="E554" s="4">
        <v>200</v>
      </c>
      <c r="F554" s="4">
        <v>1000</v>
      </c>
    </row>
    <row r="555" spans="1:6" x14ac:dyDescent="0.35">
      <c r="A555">
        <v>40</v>
      </c>
      <c r="B555">
        <v>8</v>
      </c>
      <c r="C555" t="s">
        <v>243</v>
      </c>
      <c r="D555" s="4">
        <v>0.01</v>
      </c>
      <c r="E555" s="4">
        <v>0.1</v>
      </c>
      <c r="F555" s="4">
        <v>0.3</v>
      </c>
    </row>
    <row r="556" spans="1:6" x14ac:dyDescent="0.35">
      <c r="A556">
        <v>40</v>
      </c>
      <c r="B556">
        <v>9</v>
      </c>
      <c r="C556" t="s">
        <v>244</v>
      </c>
      <c r="D556" s="4">
        <v>0.02</v>
      </c>
      <c r="E556" s="4">
        <v>0.1</v>
      </c>
      <c r="F556" s="4">
        <v>0.3</v>
      </c>
    </row>
    <row r="557" spans="1:6" x14ac:dyDescent="0.35">
      <c r="A557">
        <v>40</v>
      </c>
      <c r="B557">
        <v>10</v>
      </c>
      <c r="C557" t="s">
        <v>245</v>
      </c>
      <c r="D557" s="4">
        <v>0.2</v>
      </c>
      <c r="E557" s="4">
        <v>0.5</v>
      </c>
      <c r="F557" s="4">
        <v>0.75</v>
      </c>
    </row>
    <row r="558" spans="1:6" x14ac:dyDescent="0.35">
      <c r="A558">
        <v>40</v>
      </c>
      <c r="B558">
        <v>11</v>
      </c>
      <c r="C558" t="s">
        <v>246</v>
      </c>
      <c r="D558" s="4">
        <v>50</v>
      </c>
      <c r="E558" s="4">
        <v>80</v>
      </c>
      <c r="F558" s="4">
        <v>120</v>
      </c>
    </row>
    <row r="559" spans="1:6" x14ac:dyDescent="0.35">
      <c r="A559">
        <v>40</v>
      </c>
      <c r="B559">
        <v>12</v>
      </c>
      <c r="C559" t="s">
        <v>247</v>
      </c>
      <c r="D559" s="4">
        <v>500</v>
      </c>
      <c r="E559" s="4">
        <v>800</v>
      </c>
      <c r="F559" s="4">
        <v>2000</v>
      </c>
    </row>
    <row r="560" spans="1:6" x14ac:dyDescent="0.35">
      <c r="A560">
        <v>40</v>
      </c>
      <c r="B560">
        <v>13</v>
      </c>
      <c r="C560" t="s">
        <v>248</v>
      </c>
      <c r="D560" s="4">
        <v>50</v>
      </c>
      <c r="E560" s="4">
        <v>90</v>
      </c>
      <c r="F560" s="4">
        <v>120</v>
      </c>
    </row>
    <row r="561" spans="1:6" x14ac:dyDescent="0.35">
      <c r="A561">
        <v>40</v>
      </c>
      <c r="B561">
        <v>14</v>
      </c>
      <c r="C561" t="s">
        <v>249</v>
      </c>
      <c r="D561" s="4">
        <v>0.05</v>
      </c>
      <c r="E561" s="4">
        <v>0.25</v>
      </c>
      <c r="F561" s="4">
        <v>0.3</v>
      </c>
    </row>
    <row r="562" spans="1:6" x14ac:dyDescent="0.35">
      <c r="A562">
        <v>41</v>
      </c>
      <c r="B562">
        <v>1</v>
      </c>
      <c r="C562" t="s">
        <v>236</v>
      </c>
      <c r="D562" s="4">
        <v>0.12</v>
      </c>
      <c r="E562" s="4">
        <v>0.13</v>
      </c>
      <c r="F562" s="4">
        <v>0.26</v>
      </c>
    </row>
    <row r="563" spans="1:6" x14ac:dyDescent="0.35">
      <c r="A563">
        <v>41</v>
      </c>
      <c r="B563">
        <v>2</v>
      </c>
      <c r="C563" t="s">
        <v>237</v>
      </c>
      <c r="D563" s="4">
        <v>17</v>
      </c>
      <c r="E563" s="4">
        <v>17.5</v>
      </c>
      <c r="F563" s="4">
        <v>18</v>
      </c>
    </row>
    <row r="564" spans="1:6" x14ac:dyDescent="0.35">
      <c r="A564">
        <v>41</v>
      </c>
      <c r="B564">
        <v>3</v>
      </c>
      <c r="C564" t="s">
        <v>238</v>
      </c>
      <c r="D564" s="4">
        <v>0.02</v>
      </c>
      <c r="E564" s="4">
        <v>0.03</v>
      </c>
      <c r="F564" s="4">
        <v>0.05</v>
      </c>
    </row>
    <row r="565" spans="1:6" x14ac:dyDescent="0.35">
      <c r="A565">
        <v>41</v>
      </c>
      <c r="B565">
        <v>4</v>
      </c>
      <c r="C565" t="s">
        <v>239</v>
      </c>
      <c r="D565" s="4">
        <v>4</v>
      </c>
      <c r="E565" s="4">
        <v>10</v>
      </c>
      <c r="F565" s="4">
        <v>15</v>
      </c>
    </row>
    <row r="566" spans="1:6" x14ac:dyDescent="0.35">
      <c r="A566">
        <v>41</v>
      </c>
      <c r="B566">
        <v>5</v>
      </c>
      <c r="C566" t="s">
        <v>240</v>
      </c>
      <c r="D566" s="4">
        <v>1</v>
      </c>
      <c r="E566" s="4">
        <v>2</v>
      </c>
      <c r="F566" s="4">
        <v>3</v>
      </c>
    </row>
    <row r="567" spans="1:6" x14ac:dyDescent="0.35">
      <c r="A567">
        <v>41</v>
      </c>
      <c r="B567">
        <v>6</v>
      </c>
      <c r="C567" t="s">
        <v>241</v>
      </c>
      <c r="D567" s="4">
        <v>1</v>
      </c>
      <c r="E567" s="4">
        <v>1.5</v>
      </c>
      <c r="F567" s="4">
        <v>3</v>
      </c>
    </row>
    <row r="568" spans="1:6" x14ac:dyDescent="0.35">
      <c r="A568">
        <v>41</v>
      </c>
      <c r="B568">
        <v>7</v>
      </c>
      <c r="C568" t="s">
        <v>242</v>
      </c>
      <c r="D568" s="4">
        <v>50</v>
      </c>
      <c r="E568" s="4">
        <v>80</v>
      </c>
      <c r="F568" s="4">
        <v>300</v>
      </c>
    </row>
    <row r="569" spans="1:6" x14ac:dyDescent="0.35">
      <c r="A569">
        <v>41</v>
      </c>
      <c r="B569">
        <v>8</v>
      </c>
      <c r="C569" t="s">
        <v>243</v>
      </c>
      <c r="D569" s="4">
        <v>0.1</v>
      </c>
      <c r="E569" s="4">
        <v>0.2</v>
      </c>
      <c r="F569" s="4">
        <v>0.7</v>
      </c>
    </row>
    <row r="570" spans="1:6" x14ac:dyDescent="0.35">
      <c r="A570">
        <v>41</v>
      </c>
      <c r="B570">
        <v>9</v>
      </c>
      <c r="C570" t="s">
        <v>244</v>
      </c>
      <c r="D570" s="4">
        <v>0.15</v>
      </c>
      <c r="E570" s="4">
        <v>0.25</v>
      </c>
      <c r="F570" s="4">
        <v>0.3</v>
      </c>
    </row>
    <row r="571" spans="1:6" x14ac:dyDescent="0.35">
      <c r="A571">
        <v>41</v>
      </c>
      <c r="B571">
        <v>10</v>
      </c>
      <c r="C571" t="s">
        <v>245</v>
      </c>
      <c r="D571" s="4">
        <v>0.15</v>
      </c>
      <c r="E571" s="4">
        <v>0.35</v>
      </c>
      <c r="F571" s="4">
        <v>0.5</v>
      </c>
    </row>
    <row r="572" spans="1:6" x14ac:dyDescent="0.35">
      <c r="A572">
        <v>41</v>
      </c>
      <c r="B572">
        <v>11</v>
      </c>
      <c r="C572" t="s">
        <v>246</v>
      </c>
      <c r="D572" s="4">
        <v>350</v>
      </c>
      <c r="E572" s="4">
        <v>432</v>
      </c>
      <c r="F572" s="4">
        <v>500</v>
      </c>
    </row>
    <row r="573" spans="1:6" x14ac:dyDescent="0.35">
      <c r="A573">
        <v>41</v>
      </c>
      <c r="B573">
        <v>12</v>
      </c>
      <c r="C573" t="s">
        <v>247</v>
      </c>
      <c r="D573" s="4">
        <v>720</v>
      </c>
      <c r="E573" s="4">
        <v>725</v>
      </c>
      <c r="F573" s="4">
        <v>750</v>
      </c>
    </row>
    <row r="574" spans="1:6" x14ac:dyDescent="0.35">
      <c r="A574">
        <v>41</v>
      </c>
      <c r="B574">
        <v>13</v>
      </c>
      <c r="C574" t="s">
        <v>248</v>
      </c>
      <c r="D574" s="4">
        <v>83</v>
      </c>
      <c r="E574" s="4">
        <v>84.5</v>
      </c>
      <c r="F574" s="4">
        <v>86</v>
      </c>
    </row>
    <row r="575" spans="1:6" x14ac:dyDescent="0.35">
      <c r="A575">
        <v>41</v>
      </c>
      <c r="B575">
        <v>14</v>
      </c>
      <c r="C575" t="s">
        <v>249</v>
      </c>
      <c r="D575" s="4">
        <v>0.2</v>
      </c>
      <c r="E575" s="4">
        <v>0.4</v>
      </c>
      <c r="F575" s="4">
        <v>0.6</v>
      </c>
    </row>
    <row r="576" spans="1:6" x14ac:dyDescent="0.35">
      <c r="A576">
        <v>42</v>
      </c>
      <c r="B576">
        <v>1</v>
      </c>
      <c r="C576" t="s">
        <v>236</v>
      </c>
      <c r="D576" s="4">
        <v>0.05</v>
      </c>
      <c r="E576" s="4">
        <v>0.12</v>
      </c>
      <c r="F576" s="4">
        <v>0.26</v>
      </c>
    </row>
    <row r="577" spans="1:6" x14ac:dyDescent="0.35">
      <c r="A577">
        <v>42</v>
      </c>
      <c r="B577">
        <v>2</v>
      </c>
      <c r="C577" t="s">
        <v>237</v>
      </c>
      <c r="D577" s="4">
        <v>6.47</v>
      </c>
      <c r="E577" s="4">
        <v>14.08</v>
      </c>
      <c r="F577" s="4">
        <v>15.016</v>
      </c>
    </row>
    <row r="578" spans="1:6" x14ac:dyDescent="0.35">
      <c r="A578">
        <v>42</v>
      </c>
      <c r="B578">
        <v>3</v>
      </c>
      <c r="C578" t="s">
        <v>238</v>
      </c>
      <c r="D578" s="4">
        <v>9.9999999999999995E-7</v>
      </c>
      <c r="E578" s="4">
        <v>0.02</v>
      </c>
      <c r="F578" s="4">
        <v>0.2</v>
      </c>
    </row>
    <row r="579" spans="1:6" x14ac:dyDescent="0.35">
      <c r="A579">
        <v>42</v>
      </c>
      <c r="B579">
        <v>4</v>
      </c>
      <c r="C579" t="s">
        <v>239</v>
      </c>
      <c r="D579" s="4">
        <v>9.9999999999999995E-7</v>
      </c>
      <c r="E579" s="4">
        <v>10</v>
      </c>
      <c r="F579" s="4">
        <v>105</v>
      </c>
    </row>
    <row r="580" spans="1:6" x14ac:dyDescent="0.35">
      <c r="A580">
        <v>42</v>
      </c>
      <c r="B580">
        <v>5</v>
      </c>
      <c r="C580" t="s">
        <v>240</v>
      </c>
      <c r="D580" s="4">
        <v>0.2</v>
      </c>
      <c r="E580" s="4">
        <v>1.5</v>
      </c>
      <c r="F580" s="4">
        <v>10.3</v>
      </c>
    </row>
    <row r="581" spans="1:6" x14ac:dyDescent="0.35">
      <c r="A581">
        <v>42</v>
      </c>
      <c r="B581">
        <v>6</v>
      </c>
      <c r="C581" t="s">
        <v>241</v>
      </c>
      <c r="D581" s="4">
        <v>0.2</v>
      </c>
      <c r="E581" s="4">
        <v>1</v>
      </c>
      <c r="F581" s="4">
        <v>6.6</v>
      </c>
    </row>
    <row r="582" spans="1:6" x14ac:dyDescent="0.35">
      <c r="A582">
        <v>42</v>
      </c>
      <c r="B582">
        <v>7</v>
      </c>
      <c r="C582" t="s">
        <v>242</v>
      </c>
      <c r="D582" s="4">
        <v>56</v>
      </c>
      <c r="E582" s="4">
        <v>564</v>
      </c>
      <c r="F582" s="4">
        <v>5638</v>
      </c>
    </row>
    <row r="583" spans="1:6" x14ac:dyDescent="0.35">
      <c r="A583">
        <v>42</v>
      </c>
      <c r="B583">
        <v>8</v>
      </c>
      <c r="C583" t="s">
        <v>243</v>
      </c>
      <c r="D583" s="4">
        <v>0.6</v>
      </c>
      <c r="E583" s="4">
        <v>0.8</v>
      </c>
      <c r="F583" s="4">
        <v>0.98</v>
      </c>
    </row>
    <row r="584" spans="1:6" x14ac:dyDescent="0.35">
      <c r="A584">
        <v>42</v>
      </c>
      <c r="B584">
        <v>9</v>
      </c>
      <c r="C584" t="s">
        <v>244</v>
      </c>
      <c r="D584" s="4">
        <v>9.9999999999999995E-7</v>
      </c>
      <c r="E584" s="4">
        <v>0.01</v>
      </c>
      <c r="F584" s="4">
        <v>0.1</v>
      </c>
    </row>
    <row r="585" spans="1:6" x14ac:dyDescent="0.35">
      <c r="A585">
        <v>42</v>
      </c>
      <c r="B585">
        <v>10</v>
      </c>
      <c r="C585" t="s">
        <v>245</v>
      </c>
      <c r="D585" s="4">
        <v>9.9999999999999995E-7</v>
      </c>
      <c r="E585" s="4">
        <v>0.01</v>
      </c>
      <c r="F585" s="4">
        <v>0.1</v>
      </c>
    </row>
    <row r="586" spans="1:6" x14ac:dyDescent="0.35">
      <c r="A586">
        <v>42</v>
      </c>
      <c r="B586">
        <v>11</v>
      </c>
      <c r="C586" t="s">
        <v>246</v>
      </c>
      <c r="D586" s="4">
        <v>40</v>
      </c>
      <c r="E586" s="4">
        <v>155</v>
      </c>
      <c r="F586" s="4">
        <v>305</v>
      </c>
    </row>
    <row r="587" spans="1:6" x14ac:dyDescent="0.35">
      <c r="A587">
        <v>42</v>
      </c>
      <c r="B587">
        <v>12</v>
      </c>
      <c r="C587" t="s">
        <v>247</v>
      </c>
      <c r="D587" s="4">
        <v>293</v>
      </c>
      <c r="E587" s="4">
        <v>637</v>
      </c>
      <c r="F587" s="4">
        <v>1385</v>
      </c>
    </row>
    <row r="588" spans="1:6" x14ac:dyDescent="0.35">
      <c r="A588">
        <v>42</v>
      </c>
      <c r="B588">
        <v>13</v>
      </c>
      <c r="C588" t="s">
        <v>248</v>
      </c>
      <c r="D588" s="4">
        <v>15</v>
      </c>
      <c r="E588" s="4">
        <v>33</v>
      </c>
      <c r="F588" s="4">
        <v>54</v>
      </c>
    </row>
    <row r="589" spans="1:6" x14ac:dyDescent="0.35">
      <c r="A589">
        <v>42</v>
      </c>
      <c r="B589">
        <v>14</v>
      </c>
      <c r="C589" t="s">
        <v>249</v>
      </c>
      <c r="D589" s="4">
        <v>9.9999999999999995E-7</v>
      </c>
      <c r="E589" s="4">
        <v>0.05</v>
      </c>
      <c r="F589" s="4">
        <v>0.33</v>
      </c>
    </row>
    <row r="590" spans="1:6" x14ac:dyDescent="0.35">
      <c r="A590">
        <v>43</v>
      </c>
      <c r="B590">
        <v>1</v>
      </c>
      <c r="C590" t="s">
        <v>236</v>
      </c>
      <c r="D590" s="4">
        <v>0.1</v>
      </c>
      <c r="E590" s="4">
        <v>0.13</v>
      </c>
      <c r="F590" s="4">
        <v>0.5</v>
      </c>
    </row>
    <row r="591" spans="1:6" x14ac:dyDescent="0.35">
      <c r="A591">
        <v>43</v>
      </c>
      <c r="B591">
        <v>2</v>
      </c>
      <c r="C591" t="s">
        <v>237</v>
      </c>
      <c r="D591" s="4">
        <v>14.5</v>
      </c>
      <c r="E591" s="4">
        <v>15.74</v>
      </c>
      <c r="F591" s="4">
        <v>18</v>
      </c>
    </row>
    <row r="592" spans="1:6" x14ac:dyDescent="0.35">
      <c r="A592">
        <v>43</v>
      </c>
      <c r="B592">
        <v>3</v>
      </c>
      <c r="C592" t="s">
        <v>238</v>
      </c>
      <c r="D592" s="4">
        <v>9.9999999999999995E-7</v>
      </c>
      <c r="E592" s="4">
        <v>0.05</v>
      </c>
      <c r="F592" s="4">
        <v>0.3</v>
      </c>
    </row>
    <row r="593" spans="1:6" x14ac:dyDescent="0.35">
      <c r="A593">
        <v>43</v>
      </c>
      <c r="B593">
        <v>4</v>
      </c>
      <c r="C593" t="s">
        <v>239</v>
      </c>
      <c r="D593" s="4">
        <v>9.9999999999999995E-7</v>
      </c>
      <c r="E593" s="4">
        <v>10</v>
      </c>
      <c r="F593" s="4">
        <v>30</v>
      </c>
    </row>
    <row r="594" spans="1:6" x14ac:dyDescent="0.35">
      <c r="A594">
        <v>43</v>
      </c>
      <c r="B594">
        <v>5</v>
      </c>
      <c r="C594" t="s">
        <v>240</v>
      </c>
      <c r="D594" s="4">
        <v>0.25</v>
      </c>
      <c r="E594" s="4">
        <v>0.5</v>
      </c>
      <c r="F594" s="4">
        <v>1.5</v>
      </c>
    </row>
    <row r="595" spans="1:6" x14ac:dyDescent="0.35">
      <c r="A595">
        <v>43</v>
      </c>
      <c r="B595">
        <v>6</v>
      </c>
      <c r="C595" t="s">
        <v>241</v>
      </c>
      <c r="D595" s="4">
        <v>1</v>
      </c>
      <c r="E595" s="4">
        <v>2</v>
      </c>
      <c r="F595" s="4">
        <v>5</v>
      </c>
    </row>
    <row r="596" spans="1:6" x14ac:dyDescent="0.35">
      <c r="A596">
        <v>43</v>
      </c>
      <c r="B596">
        <v>7</v>
      </c>
      <c r="C596" t="s">
        <v>242</v>
      </c>
      <c r="D596" s="4">
        <v>5</v>
      </c>
      <c r="E596" s="4">
        <v>30</v>
      </c>
      <c r="F596" s="4">
        <v>70</v>
      </c>
    </row>
    <row r="597" spans="1:6" x14ac:dyDescent="0.35">
      <c r="A597">
        <v>43</v>
      </c>
      <c r="B597">
        <v>8</v>
      </c>
      <c r="C597" t="s">
        <v>243</v>
      </c>
      <c r="D597" s="4">
        <v>0.35</v>
      </c>
      <c r="E597" s="4">
        <v>0.82</v>
      </c>
      <c r="F597" s="4">
        <v>0.9</v>
      </c>
    </row>
    <row r="598" spans="1:6" x14ac:dyDescent="0.35">
      <c r="A598">
        <v>43</v>
      </c>
      <c r="B598">
        <v>9</v>
      </c>
      <c r="C598" t="s">
        <v>244</v>
      </c>
      <c r="D598" s="4">
        <v>9.9999999999999995E-7</v>
      </c>
      <c r="E598" s="4">
        <v>5.0000000000000001E-3</v>
      </c>
      <c r="F598" s="4">
        <v>0.03</v>
      </c>
    </row>
    <row r="599" spans="1:6" x14ac:dyDescent="0.35">
      <c r="A599">
        <v>43</v>
      </c>
      <c r="B599">
        <v>10</v>
      </c>
      <c r="C599" t="s">
        <v>245</v>
      </c>
      <c r="D599" s="4">
        <v>9.9999999999999995E-7</v>
      </c>
      <c r="E599" s="4">
        <v>0.25</v>
      </c>
      <c r="F599" s="4">
        <v>0.9</v>
      </c>
    </row>
    <row r="600" spans="1:6" x14ac:dyDescent="0.35">
      <c r="A600">
        <v>43</v>
      </c>
      <c r="B600">
        <v>11</v>
      </c>
      <c r="C600" t="s">
        <v>246</v>
      </c>
      <c r="D600" s="4">
        <v>60</v>
      </c>
      <c r="E600" s="4">
        <v>90</v>
      </c>
      <c r="F600" s="4">
        <v>130</v>
      </c>
    </row>
    <row r="601" spans="1:6" x14ac:dyDescent="0.35">
      <c r="A601">
        <v>43</v>
      </c>
      <c r="B601">
        <v>12</v>
      </c>
      <c r="C601" t="s">
        <v>247</v>
      </c>
      <c r="D601" s="4">
        <v>600</v>
      </c>
      <c r="E601" s="4">
        <v>690</v>
      </c>
      <c r="F601" s="4">
        <v>760</v>
      </c>
    </row>
    <row r="602" spans="1:6" x14ac:dyDescent="0.35">
      <c r="A602">
        <v>43</v>
      </c>
      <c r="B602">
        <v>13</v>
      </c>
      <c r="C602" t="s">
        <v>248</v>
      </c>
      <c r="D602" s="4">
        <v>20</v>
      </c>
      <c r="E602" s="4">
        <v>50</v>
      </c>
      <c r="F602" s="4">
        <v>75</v>
      </c>
    </row>
    <row r="603" spans="1:6" x14ac:dyDescent="0.35">
      <c r="A603">
        <v>43</v>
      </c>
      <c r="B603">
        <v>14</v>
      </c>
      <c r="C603" t="s">
        <v>249</v>
      </c>
      <c r="D603" s="4">
        <v>0.4</v>
      </c>
      <c r="E603" s="4">
        <v>0.8</v>
      </c>
      <c r="F603" s="4">
        <v>1</v>
      </c>
    </row>
    <row r="604" spans="1:6" x14ac:dyDescent="0.35">
      <c r="A604">
        <v>44</v>
      </c>
      <c r="B604">
        <v>1</v>
      </c>
      <c r="C604" t="s">
        <v>236</v>
      </c>
      <c r="D604" s="4">
        <v>0.11</v>
      </c>
      <c r="E604" s="4">
        <v>0.14000000000000001</v>
      </c>
      <c r="F604" s="4">
        <v>0.18</v>
      </c>
    </row>
    <row r="605" spans="1:6" x14ac:dyDescent="0.35">
      <c r="A605">
        <v>44</v>
      </c>
      <c r="B605">
        <v>2</v>
      </c>
      <c r="C605" t="s">
        <v>237</v>
      </c>
      <c r="D605" s="4">
        <v>15.5</v>
      </c>
      <c r="E605" s="4">
        <v>15.74</v>
      </c>
      <c r="F605" s="4">
        <v>15.9</v>
      </c>
    </row>
    <row r="606" spans="1:6" x14ac:dyDescent="0.35">
      <c r="A606">
        <v>44</v>
      </c>
      <c r="B606">
        <v>3</v>
      </c>
      <c r="C606" t="s">
        <v>238</v>
      </c>
      <c r="D606" s="4">
        <v>0.01</v>
      </c>
      <c r="E606" s="4">
        <v>0.1</v>
      </c>
      <c r="F606" s="4">
        <v>0.3</v>
      </c>
    </row>
    <row r="607" spans="1:6" x14ac:dyDescent="0.35">
      <c r="A607">
        <v>44</v>
      </c>
      <c r="B607">
        <v>4</v>
      </c>
      <c r="C607" t="s">
        <v>239</v>
      </c>
      <c r="D607" s="4">
        <v>348</v>
      </c>
      <c r="E607" s="4">
        <v>522</v>
      </c>
      <c r="F607" s="4">
        <v>716</v>
      </c>
    </row>
    <row r="608" spans="1:6" x14ac:dyDescent="0.35">
      <c r="A608">
        <v>44</v>
      </c>
      <c r="B608">
        <v>5</v>
      </c>
      <c r="C608" t="s">
        <v>240</v>
      </c>
      <c r="D608" s="4">
        <v>0.25</v>
      </c>
      <c r="E608" s="4">
        <v>0.5</v>
      </c>
      <c r="F608" s="4">
        <v>1.5</v>
      </c>
    </row>
    <row r="609" spans="1:6" x14ac:dyDescent="0.35">
      <c r="A609">
        <v>44</v>
      </c>
      <c r="B609">
        <v>6</v>
      </c>
      <c r="C609" t="s">
        <v>241</v>
      </c>
      <c r="D609" s="4">
        <v>1</v>
      </c>
      <c r="E609" s="4">
        <v>2</v>
      </c>
      <c r="F609" s="4">
        <v>4</v>
      </c>
    </row>
    <row r="610" spans="1:6" x14ac:dyDescent="0.35">
      <c r="A610">
        <v>44</v>
      </c>
      <c r="B610">
        <v>7</v>
      </c>
      <c r="C610" t="s">
        <v>242</v>
      </c>
      <c r="D610" s="4">
        <v>10</v>
      </c>
      <c r="E610" s="4">
        <v>50</v>
      </c>
      <c r="F610" s="4">
        <v>150</v>
      </c>
    </row>
    <row r="611" spans="1:6" x14ac:dyDescent="0.35">
      <c r="A611">
        <v>44</v>
      </c>
      <c r="B611">
        <v>8</v>
      </c>
      <c r="C611" t="s">
        <v>243</v>
      </c>
      <c r="D611" s="4">
        <v>0.95</v>
      </c>
      <c r="E611" s="4">
        <v>0.99</v>
      </c>
      <c r="F611" s="4">
        <v>0.999</v>
      </c>
    </row>
    <row r="612" spans="1:6" x14ac:dyDescent="0.35">
      <c r="A612">
        <v>44</v>
      </c>
      <c r="B612">
        <v>9</v>
      </c>
      <c r="C612" t="s">
        <v>244</v>
      </c>
      <c r="D612" s="4">
        <v>1.0000000000000001E-5</v>
      </c>
      <c r="E612" s="4">
        <v>1E-4</v>
      </c>
      <c r="F612" s="4">
        <v>1E-3</v>
      </c>
    </row>
    <row r="613" spans="1:6" x14ac:dyDescent="0.35">
      <c r="A613">
        <v>44</v>
      </c>
      <c r="B613">
        <v>10</v>
      </c>
      <c r="C613" t="s">
        <v>245</v>
      </c>
      <c r="D613" s="4">
        <v>1E-3</v>
      </c>
      <c r="E613" s="4">
        <v>0.01</v>
      </c>
      <c r="F613" s="4">
        <v>0.03</v>
      </c>
    </row>
    <row r="614" spans="1:6" x14ac:dyDescent="0.35">
      <c r="A614">
        <v>44</v>
      </c>
      <c r="B614">
        <v>11</v>
      </c>
      <c r="C614" t="s">
        <v>246</v>
      </c>
      <c r="D614" s="4">
        <v>20</v>
      </c>
      <c r="E614" s="4">
        <v>40</v>
      </c>
      <c r="F614" s="4">
        <v>60</v>
      </c>
    </row>
    <row r="615" spans="1:6" x14ac:dyDescent="0.35">
      <c r="A615">
        <v>44</v>
      </c>
      <c r="B615">
        <v>12</v>
      </c>
      <c r="C615" t="s">
        <v>247</v>
      </c>
      <c r="D615" s="4">
        <v>650</v>
      </c>
      <c r="E615" s="4">
        <v>712</v>
      </c>
      <c r="F615" s="4">
        <v>800</v>
      </c>
    </row>
    <row r="616" spans="1:6" x14ac:dyDescent="0.35">
      <c r="A616">
        <v>44</v>
      </c>
      <c r="B616">
        <v>13</v>
      </c>
      <c r="C616" t="s">
        <v>248</v>
      </c>
      <c r="D616" s="4">
        <v>45</v>
      </c>
      <c r="E616" s="4">
        <v>60</v>
      </c>
      <c r="F616" s="4">
        <v>75</v>
      </c>
    </row>
    <row r="617" spans="1:6" x14ac:dyDescent="0.35">
      <c r="A617">
        <v>44</v>
      </c>
      <c r="B617">
        <v>14</v>
      </c>
      <c r="C617" t="s">
        <v>249</v>
      </c>
      <c r="D617" s="4">
        <v>0.05</v>
      </c>
      <c r="E617" s="4">
        <v>0.15</v>
      </c>
      <c r="F617" s="4">
        <v>0.2</v>
      </c>
    </row>
    <row r="618" spans="1:6" x14ac:dyDescent="0.35">
      <c r="A618">
        <v>45</v>
      </c>
      <c r="B618">
        <v>1</v>
      </c>
      <c r="C618" t="s">
        <v>236</v>
      </c>
      <c r="D618" s="4">
        <v>0.03</v>
      </c>
      <c r="E618" s="4">
        <v>0.15</v>
      </c>
      <c r="F618" s="4">
        <v>0.4</v>
      </c>
    </row>
    <row r="619" spans="1:6" x14ac:dyDescent="0.35">
      <c r="A619">
        <v>45</v>
      </c>
      <c r="B619">
        <v>2</v>
      </c>
      <c r="C619" t="s">
        <v>237</v>
      </c>
      <c r="D619" s="4">
        <v>11</v>
      </c>
      <c r="E619" s="4">
        <v>16</v>
      </c>
      <c r="F619" s="4">
        <v>22</v>
      </c>
    </row>
    <row r="620" spans="1:6" x14ac:dyDescent="0.35">
      <c r="A620">
        <v>45</v>
      </c>
      <c r="B620">
        <v>3</v>
      </c>
      <c r="C620" t="s">
        <v>238</v>
      </c>
      <c r="D620" s="4">
        <v>0.01</v>
      </c>
      <c r="E620" s="4">
        <v>0.3</v>
      </c>
      <c r="F620" s="4">
        <v>0.55000000000000004</v>
      </c>
    </row>
    <row r="621" spans="1:6" x14ac:dyDescent="0.35">
      <c r="A621">
        <v>45</v>
      </c>
      <c r="B621">
        <v>4</v>
      </c>
      <c r="C621" t="s">
        <v>239</v>
      </c>
      <c r="D621" s="4">
        <v>20</v>
      </c>
      <c r="E621" s="4">
        <v>85</v>
      </c>
      <c r="F621" s="4">
        <v>150</v>
      </c>
    </row>
    <row r="622" spans="1:6" x14ac:dyDescent="0.35">
      <c r="A622">
        <v>45</v>
      </c>
      <c r="B622">
        <v>5</v>
      </c>
      <c r="C622" t="s">
        <v>240</v>
      </c>
      <c r="D622" s="4">
        <v>0.5</v>
      </c>
      <c r="E622" s="4">
        <v>1.5</v>
      </c>
      <c r="F622" s="4">
        <v>2.5</v>
      </c>
    </row>
    <row r="623" spans="1:6" x14ac:dyDescent="0.35">
      <c r="A623">
        <v>45</v>
      </c>
      <c r="B623">
        <v>6</v>
      </c>
      <c r="C623" t="s">
        <v>241</v>
      </c>
      <c r="D623" s="4">
        <v>0.5</v>
      </c>
      <c r="E623" s="4">
        <v>1.5</v>
      </c>
      <c r="F623" s="4">
        <v>3</v>
      </c>
    </row>
    <row r="624" spans="1:6" x14ac:dyDescent="0.35">
      <c r="A624">
        <v>45</v>
      </c>
      <c r="B624">
        <v>7</v>
      </c>
      <c r="C624" t="s">
        <v>242</v>
      </c>
      <c r="D624" s="4">
        <v>300</v>
      </c>
      <c r="E624" s="4">
        <v>1400</v>
      </c>
      <c r="F624" s="4">
        <v>3000</v>
      </c>
    </row>
    <row r="625" spans="1:6" x14ac:dyDescent="0.35">
      <c r="A625">
        <v>45</v>
      </c>
      <c r="B625">
        <v>8</v>
      </c>
      <c r="C625" t="s">
        <v>243</v>
      </c>
      <c r="D625" s="4">
        <v>0.4</v>
      </c>
      <c r="E625" s="4">
        <v>0.65</v>
      </c>
      <c r="F625" s="4">
        <v>0.9</v>
      </c>
    </row>
    <row r="626" spans="1:6" x14ac:dyDescent="0.35">
      <c r="A626">
        <v>45</v>
      </c>
      <c r="B626">
        <v>9</v>
      </c>
      <c r="C626" t="s">
        <v>244</v>
      </c>
      <c r="D626" s="4">
        <v>0.01</v>
      </c>
      <c r="E626" s="4">
        <v>0.5</v>
      </c>
      <c r="F626" s="4">
        <v>0.99</v>
      </c>
    </row>
    <row r="627" spans="1:6" x14ac:dyDescent="0.35">
      <c r="A627">
        <v>45</v>
      </c>
      <c r="B627">
        <v>10</v>
      </c>
      <c r="C627" t="s">
        <v>245</v>
      </c>
      <c r="D627" s="4">
        <v>0.01</v>
      </c>
      <c r="E627" s="4">
        <v>0.35</v>
      </c>
      <c r="F627" s="4">
        <v>0.7</v>
      </c>
    </row>
    <row r="628" spans="1:6" x14ac:dyDescent="0.35">
      <c r="A628">
        <v>45</v>
      </c>
      <c r="B628">
        <v>11</v>
      </c>
      <c r="C628" t="s">
        <v>246</v>
      </c>
      <c r="D628" s="4">
        <v>30</v>
      </c>
      <c r="E628" s="4">
        <v>70</v>
      </c>
      <c r="F628" s="4">
        <v>130</v>
      </c>
    </row>
    <row r="629" spans="1:6" x14ac:dyDescent="0.35">
      <c r="A629">
        <v>45</v>
      </c>
      <c r="B629">
        <v>12</v>
      </c>
      <c r="C629" t="s">
        <v>247</v>
      </c>
      <c r="D629" s="4">
        <v>500</v>
      </c>
      <c r="E629" s="4">
        <v>800</v>
      </c>
      <c r="F629" s="4">
        <v>1100</v>
      </c>
    </row>
    <row r="630" spans="1:6" x14ac:dyDescent="0.35">
      <c r="A630">
        <v>45</v>
      </c>
      <c r="B630">
        <v>13</v>
      </c>
      <c r="C630" t="s">
        <v>248</v>
      </c>
      <c r="D630" s="4">
        <v>20</v>
      </c>
      <c r="E630" s="4">
        <v>50</v>
      </c>
      <c r="F630" s="4">
        <v>80</v>
      </c>
    </row>
    <row r="631" spans="1:6" x14ac:dyDescent="0.35">
      <c r="A631">
        <v>45</v>
      </c>
      <c r="B631">
        <v>14</v>
      </c>
      <c r="C631" t="s">
        <v>249</v>
      </c>
      <c r="D631" s="4">
        <v>0.5</v>
      </c>
      <c r="E631" s="4">
        <v>0.7</v>
      </c>
      <c r="F631" s="4">
        <v>0.9</v>
      </c>
    </row>
    <row r="632" spans="1:6" x14ac:dyDescent="0.35">
      <c r="A632">
        <v>46</v>
      </c>
      <c r="B632">
        <v>1</v>
      </c>
      <c r="C632" t="s">
        <v>236</v>
      </c>
      <c r="D632" s="4">
        <v>0.05</v>
      </c>
      <c r="E632" s="4">
        <v>0.2</v>
      </c>
      <c r="F632" s="4">
        <v>1</v>
      </c>
    </row>
    <row r="633" spans="1:6" x14ac:dyDescent="0.35">
      <c r="A633">
        <v>46</v>
      </c>
      <c r="B633">
        <v>2</v>
      </c>
      <c r="C633" t="s">
        <v>237</v>
      </c>
      <c r="D633" s="4">
        <v>13</v>
      </c>
      <c r="E633" s="4">
        <v>16</v>
      </c>
      <c r="F633" s="4">
        <v>20</v>
      </c>
    </row>
    <row r="634" spans="1:6" x14ac:dyDescent="0.35">
      <c r="A634">
        <v>46</v>
      </c>
      <c r="B634">
        <v>3</v>
      </c>
      <c r="C634" t="s">
        <v>238</v>
      </c>
      <c r="D634" s="4">
        <v>0.01</v>
      </c>
      <c r="E634" s="4">
        <v>0.05</v>
      </c>
      <c r="F634" s="4">
        <v>0.25</v>
      </c>
    </row>
    <row r="635" spans="1:6" x14ac:dyDescent="0.35">
      <c r="A635">
        <v>46</v>
      </c>
      <c r="B635">
        <v>4</v>
      </c>
      <c r="C635" t="s">
        <v>239</v>
      </c>
      <c r="D635" s="4">
        <v>5</v>
      </c>
      <c r="E635" s="4">
        <v>20</v>
      </c>
      <c r="F635" s="4">
        <v>100</v>
      </c>
    </row>
    <row r="636" spans="1:6" x14ac:dyDescent="0.35">
      <c r="A636">
        <v>46</v>
      </c>
      <c r="B636">
        <v>5</v>
      </c>
      <c r="C636" t="s">
        <v>240</v>
      </c>
      <c r="D636" s="4">
        <v>0.1</v>
      </c>
      <c r="E636" s="4">
        <v>0.5</v>
      </c>
      <c r="F636" s="4">
        <v>3</v>
      </c>
    </row>
    <row r="637" spans="1:6" x14ac:dyDescent="0.35">
      <c r="A637">
        <v>46</v>
      </c>
      <c r="B637">
        <v>6</v>
      </c>
      <c r="C637" t="s">
        <v>241</v>
      </c>
      <c r="D637" s="4">
        <v>0.2</v>
      </c>
      <c r="E637" s="4">
        <v>1</v>
      </c>
      <c r="F637" s="4">
        <v>2</v>
      </c>
    </row>
    <row r="638" spans="1:6" x14ac:dyDescent="0.35">
      <c r="A638">
        <v>46</v>
      </c>
      <c r="B638">
        <v>7</v>
      </c>
      <c r="C638" t="s">
        <v>242</v>
      </c>
      <c r="D638" s="4">
        <v>100</v>
      </c>
      <c r="E638" s="4">
        <v>500</v>
      </c>
      <c r="F638" s="4">
        <v>2000</v>
      </c>
    </row>
    <row r="639" spans="1:6" x14ac:dyDescent="0.35">
      <c r="A639">
        <v>46</v>
      </c>
      <c r="B639">
        <v>8</v>
      </c>
      <c r="C639" t="s">
        <v>243</v>
      </c>
      <c r="D639" s="4">
        <v>0.5</v>
      </c>
      <c r="E639" s="4">
        <v>0.8</v>
      </c>
      <c r="F639" s="4">
        <v>0.95</v>
      </c>
    </row>
    <row r="640" spans="1:6" x14ac:dyDescent="0.35">
      <c r="A640">
        <v>46</v>
      </c>
      <c r="B640">
        <v>9</v>
      </c>
      <c r="C640" t="s">
        <v>244</v>
      </c>
      <c r="D640" s="4">
        <v>0.01</v>
      </c>
      <c r="E640" s="4">
        <v>0.03</v>
      </c>
      <c r="F640" s="4">
        <v>0.1</v>
      </c>
    </row>
    <row r="641" spans="1:6" x14ac:dyDescent="0.35">
      <c r="A641">
        <v>46</v>
      </c>
      <c r="B641">
        <v>10</v>
      </c>
      <c r="C641" t="s">
        <v>245</v>
      </c>
      <c r="D641" s="4">
        <v>2E-3</v>
      </c>
      <c r="E641" s="4">
        <v>0.02</v>
      </c>
      <c r="F641" s="4">
        <v>0.1</v>
      </c>
    </row>
    <row r="642" spans="1:6" x14ac:dyDescent="0.35">
      <c r="A642">
        <v>46</v>
      </c>
      <c r="B642">
        <v>11</v>
      </c>
      <c r="C642" t="s">
        <v>246</v>
      </c>
      <c r="D642" s="4">
        <v>100</v>
      </c>
      <c r="E642" s="4">
        <v>300</v>
      </c>
      <c r="F642" s="4">
        <v>600</v>
      </c>
    </row>
    <row r="643" spans="1:6" x14ac:dyDescent="0.35">
      <c r="A643">
        <v>46</v>
      </c>
      <c r="B643">
        <v>12</v>
      </c>
      <c r="C643" t="s">
        <v>247</v>
      </c>
      <c r="D643" s="4">
        <v>500</v>
      </c>
      <c r="E643" s="4">
        <v>750</v>
      </c>
      <c r="F643" s="4">
        <v>900</v>
      </c>
    </row>
    <row r="644" spans="1:6" x14ac:dyDescent="0.35">
      <c r="A644">
        <v>46</v>
      </c>
      <c r="B644">
        <v>13</v>
      </c>
      <c r="C644" t="s">
        <v>248</v>
      </c>
      <c r="D644" s="4">
        <v>20</v>
      </c>
      <c r="E644" s="4">
        <v>30</v>
      </c>
      <c r="F644" s="4">
        <v>60</v>
      </c>
    </row>
    <row r="645" spans="1:6" x14ac:dyDescent="0.35">
      <c r="A645">
        <v>46</v>
      </c>
      <c r="B645">
        <v>14</v>
      </c>
      <c r="C645" t="s">
        <v>249</v>
      </c>
      <c r="D645" s="4">
        <v>0.2</v>
      </c>
      <c r="E645" s="4">
        <v>0.5</v>
      </c>
      <c r="F645" s="4">
        <v>0.8</v>
      </c>
    </row>
    <row r="646" spans="1:6" x14ac:dyDescent="0.35">
      <c r="A646">
        <v>47</v>
      </c>
      <c r="B646">
        <v>1</v>
      </c>
      <c r="C646" t="s">
        <v>236</v>
      </c>
      <c r="D646" s="4">
        <v>7.0000000000000007E-2</v>
      </c>
      <c r="E646" s="4">
        <v>0.15</v>
      </c>
      <c r="F646" s="4">
        <v>0.26</v>
      </c>
    </row>
    <row r="647" spans="1:6" x14ac:dyDescent="0.35">
      <c r="A647">
        <v>47</v>
      </c>
      <c r="B647">
        <v>2</v>
      </c>
      <c r="C647" t="s">
        <v>237</v>
      </c>
      <c r="D647" s="4">
        <v>13.38</v>
      </c>
      <c r="E647" s="4">
        <v>15.74</v>
      </c>
      <c r="F647" s="4">
        <v>18.010000000000002</v>
      </c>
    </row>
    <row r="648" spans="1:6" x14ac:dyDescent="0.35">
      <c r="A648">
        <v>47</v>
      </c>
      <c r="B648">
        <v>3</v>
      </c>
      <c r="C648" t="s">
        <v>238</v>
      </c>
      <c r="D648" s="4">
        <v>0.05</v>
      </c>
      <c r="E648" s="4">
        <v>0.1</v>
      </c>
      <c r="F648" s="4">
        <v>0.25</v>
      </c>
    </row>
    <row r="649" spans="1:6" x14ac:dyDescent="0.35">
      <c r="A649">
        <v>47</v>
      </c>
      <c r="B649">
        <v>4</v>
      </c>
      <c r="C649" t="s">
        <v>239</v>
      </c>
      <c r="D649" s="4">
        <v>5</v>
      </c>
      <c r="E649" s="4">
        <v>25</v>
      </c>
      <c r="F649" s="4">
        <v>150</v>
      </c>
    </row>
    <row r="650" spans="1:6" x14ac:dyDescent="0.35">
      <c r="A650">
        <v>47</v>
      </c>
      <c r="B650">
        <v>5</v>
      </c>
      <c r="C650" t="s">
        <v>240</v>
      </c>
      <c r="D650" s="4">
        <v>9.9999999999999995E-7</v>
      </c>
      <c r="E650" s="4">
        <v>1.25</v>
      </c>
      <c r="F650" s="4">
        <v>4</v>
      </c>
    </row>
    <row r="651" spans="1:6" x14ac:dyDescent="0.35">
      <c r="A651">
        <v>47</v>
      </c>
      <c r="B651">
        <v>6</v>
      </c>
      <c r="C651" t="s">
        <v>241</v>
      </c>
      <c r="D651" s="4">
        <v>0.25</v>
      </c>
      <c r="E651" s="4">
        <v>1</v>
      </c>
      <c r="F651" s="4">
        <v>4</v>
      </c>
    </row>
    <row r="652" spans="1:6" x14ac:dyDescent="0.35">
      <c r="A652">
        <v>47</v>
      </c>
      <c r="B652">
        <v>7</v>
      </c>
      <c r="C652" t="s">
        <v>242</v>
      </c>
      <c r="D652" s="4">
        <v>60</v>
      </c>
      <c r="E652" s="4">
        <v>230</v>
      </c>
      <c r="F652" s="4">
        <v>350</v>
      </c>
    </row>
    <row r="653" spans="1:6" x14ac:dyDescent="0.35">
      <c r="A653">
        <v>47</v>
      </c>
      <c r="B653">
        <v>8</v>
      </c>
      <c r="C653" t="s">
        <v>243</v>
      </c>
      <c r="D653" s="4">
        <v>0.6</v>
      </c>
      <c r="E653" s="4">
        <v>0.8</v>
      </c>
      <c r="F653" s="4">
        <v>0.9</v>
      </c>
    </row>
    <row r="654" spans="1:6" x14ac:dyDescent="0.35">
      <c r="A654">
        <v>47</v>
      </c>
      <c r="B654">
        <v>9</v>
      </c>
      <c r="C654" t="s">
        <v>244</v>
      </c>
      <c r="D654" s="4">
        <v>0.1</v>
      </c>
      <c r="E654" s="4">
        <v>0.25</v>
      </c>
      <c r="F654" s="4">
        <v>0.45</v>
      </c>
    </row>
    <row r="655" spans="1:6" x14ac:dyDescent="0.35">
      <c r="A655">
        <v>47</v>
      </c>
      <c r="B655">
        <v>10</v>
      </c>
      <c r="C655" t="s">
        <v>245</v>
      </c>
      <c r="D655" s="4">
        <v>0.01</v>
      </c>
      <c r="E655" s="4">
        <v>0.05</v>
      </c>
      <c r="F655" s="4">
        <v>0.15</v>
      </c>
    </row>
    <row r="656" spans="1:6" x14ac:dyDescent="0.35">
      <c r="A656">
        <v>47</v>
      </c>
      <c r="B656">
        <v>11</v>
      </c>
      <c r="C656" t="s">
        <v>246</v>
      </c>
      <c r="D656" s="4">
        <v>10</v>
      </c>
      <c r="E656" s="4">
        <v>20</v>
      </c>
      <c r="F656" s="4">
        <v>120</v>
      </c>
    </row>
    <row r="657" spans="1:6" x14ac:dyDescent="0.35">
      <c r="A657">
        <v>47</v>
      </c>
      <c r="B657">
        <v>12</v>
      </c>
      <c r="C657" t="s">
        <v>247</v>
      </c>
      <c r="D657" s="4">
        <v>400</v>
      </c>
      <c r="E657" s="4">
        <v>700</v>
      </c>
      <c r="F657" s="4">
        <v>1000</v>
      </c>
    </row>
    <row r="658" spans="1:6" x14ac:dyDescent="0.35">
      <c r="A658">
        <v>47</v>
      </c>
      <c r="B658">
        <v>13</v>
      </c>
      <c r="C658" t="s">
        <v>248</v>
      </c>
      <c r="D658" s="4">
        <v>8</v>
      </c>
      <c r="E658" s="4">
        <v>30</v>
      </c>
      <c r="F658" s="4">
        <v>60</v>
      </c>
    </row>
    <row r="659" spans="1:6" x14ac:dyDescent="0.35">
      <c r="A659">
        <v>47</v>
      </c>
      <c r="B659">
        <v>14</v>
      </c>
      <c r="C659" t="s">
        <v>249</v>
      </c>
      <c r="D659" s="4">
        <v>0.2</v>
      </c>
      <c r="E659" s="4">
        <v>0.5</v>
      </c>
      <c r="F659" s="4">
        <v>0.7</v>
      </c>
    </row>
    <row r="660" spans="1:6" x14ac:dyDescent="0.35">
      <c r="A660">
        <v>48</v>
      </c>
      <c r="B660">
        <v>1</v>
      </c>
      <c r="C660" t="s">
        <v>236</v>
      </c>
      <c r="D660" s="4">
        <v>0.06</v>
      </c>
      <c r="E660" s="4">
        <v>0.13</v>
      </c>
      <c r="F660" s="4">
        <v>0.26</v>
      </c>
    </row>
    <row r="661" spans="1:6" x14ac:dyDescent="0.35">
      <c r="A661">
        <v>48</v>
      </c>
      <c r="B661">
        <v>2</v>
      </c>
      <c r="C661" t="s">
        <v>237</v>
      </c>
      <c r="D661" s="4">
        <v>14</v>
      </c>
      <c r="E661" s="4">
        <v>15.9</v>
      </c>
      <c r="F661" s="4">
        <v>17</v>
      </c>
    </row>
    <row r="662" spans="1:6" x14ac:dyDescent="0.35">
      <c r="A662">
        <v>48</v>
      </c>
      <c r="B662">
        <v>3</v>
      </c>
      <c r="C662" t="s">
        <v>238</v>
      </c>
      <c r="D662" s="4">
        <v>9.9999999999999995E-7</v>
      </c>
      <c r="E662" s="4">
        <v>5.0000000000000001E-3</v>
      </c>
      <c r="F662" s="4">
        <v>0.2</v>
      </c>
    </row>
    <row r="663" spans="1:6" x14ac:dyDescent="0.35">
      <c r="A663">
        <v>48</v>
      </c>
      <c r="B663">
        <v>4</v>
      </c>
      <c r="C663" t="s">
        <v>239</v>
      </c>
      <c r="D663" s="4">
        <v>10</v>
      </c>
      <c r="E663" s="4">
        <v>21</v>
      </c>
      <c r="F663" s="4">
        <v>105</v>
      </c>
    </row>
    <row r="664" spans="1:6" x14ac:dyDescent="0.35">
      <c r="A664">
        <v>48</v>
      </c>
      <c r="B664">
        <v>5</v>
      </c>
      <c r="C664" t="s">
        <v>240</v>
      </c>
      <c r="D664" s="4">
        <v>0.2</v>
      </c>
      <c r="E664" s="4">
        <v>1</v>
      </c>
      <c r="F664" s="4">
        <v>5</v>
      </c>
    </row>
    <row r="665" spans="1:6" x14ac:dyDescent="0.35">
      <c r="A665">
        <v>48</v>
      </c>
      <c r="B665">
        <v>6</v>
      </c>
      <c r="C665" t="s">
        <v>241</v>
      </c>
      <c r="D665" s="4">
        <v>0.25</v>
      </c>
      <c r="E665" s="4">
        <v>1.5</v>
      </c>
      <c r="F665" s="4">
        <v>5</v>
      </c>
    </row>
    <row r="666" spans="1:6" x14ac:dyDescent="0.35">
      <c r="A666">
        <v>48</v>
      </c>
      <c r="B666">
        <v>7</v>
      </c>
      <c r="C666" t="s">
        <v>242</v>
      </c>
      <c r="D666" s="4">
        <v>11</v>
      </c>
      <c r="E666" s="4">
        <v>90</v>
      </c>
      <c r="F666" s="4">
        <v>1700</v>
      </c>
    </row>
    <row r="667" spans="1:6" x14ac:dyDescent="0.35">
      <c r="A667">
        <v>48</v>
      </c>
      <c r="B667">
        <v>8</v>
      </c>
      <c r="C667" t="s">
        <v>243</v>
      </c>
      <c r="D667" s="4">
        <v>0.72</v>
      </c>
      <c r="E667" s="4">
        <v>0.8</v>
      </c>
      <c r="F667" s="4">
        <v>0.93</v>
      </c>
    </row>
    <row r="668" spans="1:6" x14ac:dyDescent="0.35">
      <c r="A668">
        <v>48</v>
      </c>
      <c r="B668">
        <v>9</v>
      </c>
      <c r="C668" t="s">
        <v>244</v>
      </c>
      <c r="D668" s="4">
        <v>0.18</v>
      </c>
      <c r="E668" s="4">
        <v>0.27</v>
      </c>
      <c r="F668" s="4">
        <v>0.33</v>
      </c>
    </row>
    <row r="669" spans="1:6" x14ac:dyDescent="0.35">
      <c r="A669">
        <v>48</v>
      </c>
      <c r="B669">
        <v>10</v>
      </c>
      <c r="C669" t="s">
        <v>245</v>
      </c>
      <c r="D669" s="4">
        <v>0.05</v>
      </c>
      <c r="E669" s="4">
        <v>0.4</v>
      </c>
      <c r="F669" s="4">
        <v>0.95</v>
      </c>
    </row>
    <row r="670" spans="1:6" x14ac:dyDescent="0.35">
      <c r="A670">
        <v>48</v>
      </c>
      <c r="B670">
        <v>11</v>
      </c>
      <c r="C670" t="s">
        <v>246</v>
      </c>
      <c r="D670" s="4">
        <v>8</v>
      </c>
      <c r="E670" s="4">
        <v>20</v>
      </c>
      <c r="F670" s="4">
        <v>55</v>
      </c>
    </row>
    <row r="671" spans="1:6" x14ac:dyDescent="0.35">
      <c r="A671">
        <v>48</v>
      </c>
      <c r="B671">
        <v>12</v>
      </c>
      <c r="C671" t="s">
        <v>247</v>
      </c>
      <c r="D671" s="4">
        <v>450</v>
      </c>
      <c r="E671" s="4">
        <v>712</v>
      </c>
      <c r="F671" s="4">
        <v>1000</v>
      </c>
    </row>
    <row r="672" spans="1:6" x14ac:dyDescent="0.35">
      <c r="A672">
        <v>48</v>
      </c>
      <c r="B672">
        <v>13</v>
      </c>
      <c r="C672" t="s">
        <v>248</v>
      </c>
      <c r="D672" s="4">
        <v>1</v>
      </c>
      <c r="E672" s="4">
        <v>15</v>
      </c>
      <c r="F672" s="4">
        <v>55</v>
      </c>
    </row>
    <row r="673" spans="1:6" x14ac:dyDescent="0.35">
      <c r="A673">
        <v>48</v>
      </c>
      <c r="B673">
        <v>14</v>
      </c>
      <c r="C673" t="s">
        <v>249</v>
      </c>
      <c r="D673" s="4">
        <v>9.9999999999999995E-7</v>
      </c>
      <c r="E673" s="4">
        <v>0.75</v>
      </c>
      <c r="F673" s="4">
        <v>0.9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3"/>
  <dimension ref="A1:H201"/>
  <sheetViews>
    <sheetView workbookViewId="0"/>
  </sheetViews>
  <sheetFormatPr defaultRowHeight="14.5" x14ac:dyDescent="0.35"/>
  <sheetData>
    <row r="1" spans="1:8" x14ac:dyDescent="0.35">
      <c r="A1" t="s">
        <v>316</v>
      </c>
    </row>
    <row r="2" spans="1:8" x14ac:dyDescent="0.35">
      <c r="A2">
        <v>1</v>
      </c>
      <c r="B2">
        <v>1</v>
      </c>
      <c r="C2" t="s">
        <v>306</v>
      </c>
      <c r="D2" s="4">
        <v>6</v>
      </c>
      <c r="E2" s="4">
        <v>8</v>
      </c>
      <c r="F2" s="4">
        <v>9.5</v>
      </c>
      <c r="H2" s="4">
        <v>6.1</v>
      </c>
    </row>
    <row r="3" spans="1:8" x14ac:dyDescent="0.35">
      <c r="A3">
        <v>1</v>
      </c>
      <c r="B3">
        <v>2</v>
      </c>
      <c r="C3" t="s">
        <v>307</v>
      </c>
      <c r="D3" s="4">
        <v>5</v>
      </c>
      <c r="E3" s="4">
        <v>20</v>
      </c>
      <c r="F3" s="4">
        <v>50</v>
      </c>
      <c r="H3" s="4">
        <v>31.65</v>
      </c>
    </row>
    <row r="4" spans="1:8" x14ac:dyDescent="0.35">
      <c r="A4">
        <v>1</v>
      </c>
      <c r="B4">
        <v>3</v>
      </c>
      <c r="C4" t="s">
        <v>308</v>
      </c>
      <c r="D4" s="4">
        <v>100</v>
      </c>
      <c r="E4" s="4">
        <v>1000</v>
      </c>
      <c r="F4" s="4">
        <v>5000</v>
      </c>
      <c r="H4" s="4">
        <v>2631</v>
      </c>
    </row>
    <row r="5" spans="1:8" x14ac:dyDescent="0.35">
      <c r="A5">
        <v>1</v>
      </c>
      <c r="B5">
        <v>4</v>
      </c>
      <c r="C5" t="s">
        <v>309</v>
      </c>
      <c r="D5" s="4">
        <v>15</v>
      </c>
      <c r="E5" s="4">
        <v>30</v>
      </c>
      <c r="F5" s="4">
        <v>45</v>
      </c>
      <c r="H5" s="4">
        <v>41.24</v>
      </c>
    </row>
    <row r="6" spans="1:8" x14ac:dyDescent="0.35">
      <c r="A6">
        <v>1</v>
      </c>
      <c r="B6">
        <v>5</v>
      </c>
      <c r="C6" t="s">
        <v>310</v>
      </c>
      <c r="D6" s="4">
        <v>0.5</v>
      </c>
      <c r="E6" s="4">
        <v>1</v>
      </c>
      <c r="F6" s="4">
        <v>3</v>
      </c>
      <c r="H6" s="4">
        <v>1.53</v>
      </c>
    </row>
    <row r="7" spans="1:8" x14ac:dyDescent="0.35">
      <c r="A7">
        <v>1</v>
      </c>
      <c r="B7">
        <v>6</v>
      </c>
      <c r="C7" t="s">
        <v>311</v>
      </c>
      <c r="D7" s="4">
        <v>20</v>
      </c>
      <c r="E7" s="4">
        <v>200</v>
      </c>
      <c r="F7" s="4">
        <v>500</v>
      </c>
      <c r="H7" s="4">
        <v>185</v>
      </c>
    </row>
    <row r="8" spans="1:8" x14ac:dyDescent="0.35">
      <c r="A8">
        <v>1</v>
      </c>
      <c r="B8">
        <v>7</v>
      </c>
      <c r="C8" t="s">
        <v>312</v>
      </c>
      <c r="D8" s="4">
        <v>0.5</v>
      </c>
      <c r="E8" s="4">
        <v>2</v>
      </c>
      <c r="F8" s="4">
        <v>5</v>
      </c>
      <c r="H8" s="4">
        <v>0.33300000000000002</v>
      </c>
    </row>
    <row r="9" spans="1:8" x14ac:dyDescent="0.35">
      <c r="A9">
        <v>1</v>
      </c>
      <c r="B9">
        <v>8</v>
      </c>
      <c r="C9" t="s">
        <v>313</v>
      </c>
      <c r="D9" s="4">
        <v>5000</v>
      </c>
      <c r="E9" s="4">
        <v>20000</v>
      </c>
      <c r="F9" s="4">
        <v>35000</v>
      </c>
      <c r="H9" s="4">
        <v>16353</v>
      </c>
    </row>
    <row r="10" spans="1:8" x14ac:dyDescent="0.35">
      <c r="A10">
        <v>1</v>
      </c>
      <c r="B10">
        <v>9</v>
      </c>
      <c r="C10" t="s">
        <v>314</v>
      </c>
      <c r="D10" s="4">
        <v>9</v>
      </c>
      <c r="E10" s="4">
        <v>12</v>
      </c>
      <c r="F10" s="4">
        <v>15</v>
      </c>
      <c r="H10" s="4">
        <v>14.47</v>
      </c>
    </row>
    <row r="11" spans="1:8" x14ac:dyDescent="0.35">
      <c r="A11">
        <v>1</v>
      </c>
      <c r="B11">
        <v>10</v>
      </c>
      <c r="C11" t="s">
        <v>315</v>
      </c>
      <c r="D11" s="4">
        <v>0.7</v>
      </c>
      <c r="E11" s="4">
        <v>1.2</v>
      </c>
      <c r="F11" s="4">
        <v>1.5</v>
      </c>
      <c r="H11" s="4">
        <v>1.23</v>
      </c>
    </row>
    <row r="12" spans="1:8" x14ac:dyDescent="0.35">
      <c r="A12">
        <v>2</v>
      </c>
      <c r="B12">
        <v>1</v>
      </c>
      <c r="C12" t="s">
        <v>306</v>
      </c>
      <c r="D12" s="4">
        <v>10</v>
      </c>
      <c r="E12" s="4">
        <v>50</v>
      </c>
      <c r="F12" s="4">
        <v>100</v>
      </c>
    </row>
    <row r="13" spans="1:8" x14ac:dyDescent="0.35">
      <c r="A13">
        <v>2</v>
      </c>
      <c r="B13">
        <v>2</v>
      </c>
      <c r="C13" t="s">
        <v>307</v>
      </c>
      <c r="D13" s="4">
        <v>10</v>
      </c>
      <c r="E13" s="4">
        <v>25</v>
      </c>
      <c r="F13" s="4">
        <v>40</v>
      </c>
    </row>
    <row r="14" spans="1:8" x14ac:dyDescent="0.35">
      <c r="A14">
        <v>2</v>
      </c>
      <c r="B14">
        <v>3</v>
      </c>
      <c r="C14" t="s">
        <v>308</v>
      </c>
      <c r="D14" s="4">
        <v>100</v>
      </c>
      <c r="E14" s="4">
        <v>500</v>
      </c>
      <c r="F14" s="4">
        <v>1000</v>
      </c>
    </row>
    <row r="15" spans="1:8" x14ac:dyDescent="0.35">
      <c r="A15">
        <v>2</v>
      </c>
      <c r="B15">
        <v>4</v>
      </c>
      <c r="C15" t="s">
        <v>309</v>
      </c>
      <c r="D15" s="4">
        <v>40</v>
      </c>
      <c r="E15" s="4">
        <v>60</v>
      </c>
      <c r="F15" s="4">
        <v>80</v>
      </c>
    </row>
    <row r="16" spans="1:8" x14ac:dyDescent="0.35">
      <c r="A16">
        <v>2</v>
      </c>
      <c r="B16">
        <v>5</v>
      </c>
      <c r="C16" t="s">
        <v>310</v>
      </c>
      <c r="D16" s="4">
        <v>6</v>
      </c>
      <c r="E16" s="4">
        <v>10</v>
      </c>
      <c r="F16" s="4">
        <v>14</v>
      </c>
    </row>
    <row r="17" spans="1:6" x14ac:dyDescent="0.35">
      <c r="A17">
        <v>2</v>
      </c>
      <c r="B17">
        <v>6</v>
      </c>
      <c r="C17" t="s">
        <v>311</v>
      </c>
      <c r="D17" s="4">
        <v>250</v>
      </c>
      <c r="E17" s="4">
        <v>400</v>
      </c>
      <c r="F17" s="4">
        <v>700</v>
      </c>
    </row>
    <row r="18" spans="1:6" x14ac:dyDescent="0.35">
      <c r="A18">
        <v>2</v>
      </c>
      <c r="B18">
        <v>7</v>
      </c>
      <c r="C18" t="s">
        <v>312</v>
      </c>
      <c r="D18" s="4">
        <v>25</v>
      </c>
      <c r="E18" s="4">
        <v>40</v>
      </c>
      <c r="F18" s="4">
        <v>60</v>
      </c>
    </row>
    <row r="19" spans="1:6" x14ac:dyDescent="0.35">
      <c r="A19">
        <v>2</v>
      </c>
      <c r="B19">
        <v>8</v>
      </c>
      <c r="C19" t="s">
        <v>313</v>
      </c>
      <c r="D19" s="4">
        <v>6000</v>
      </c>
      <c r="E19" s="4">
        <v>10000</v>
      </c>
      <c r="F19" s="4">
        <v>20000</v>
      </c>
    </row>
    <row r="20" spans="1:6" x14ac:dyDescent="0.35">
      <c r="A20">
        <v>2</v>
      </c>
      <c r="B20">
        <v>9</v>
      </c>
      <c r="C20" t="s">
        <v>314</v>
      </c>
      <c r="D20" s="4">
        <v>20</v>
      </c>
      <c r="E20" s="4">
        <v>50</v>
      </c>
      <c r="F20" s="4">
        <v>70</v>
      </c>
    </row>
    <row r="21" spans="1:6" x14ac:dyDescent="0.35">
      <c r="A21">
        <v>2</v>
      </c>
      <c r="B21">
        <v>10</v>
      </c>
      <c r="C21" t="s">
        <v>315</v>
      </c>
      <c r="D21" s="4">
        <v>1.5</v>
      </c>
      <c r="E21" s="4">
        <v>2</v>
      </c>
      <c r="F21" s="4">
        <v>2.5</v>
      </c>
    </row>
    <row r="22" spans="1:6" x14ac:dyDescent="0.35">
      <c r="A22">
        <v>3</v>
      </c>
      <c r="B22">
        <v>1</v>
      </c>
      <c r="C22" t="s">
        <v>306</v>
      </c>
      <c r="D22" s="4">
        <v>1</v>
      </c>
      <c r="E22" s="4">
        <v>3</v>
      </c>
      <c r="F22" s="4">
        <v>5</v>
      </c>
    </row>
    <row r="23" spans="1:6" x14ac:dyDescent="0.35">
      <c r="A23">
        <v>3</v>
      </c>
      <c r="B23">
        <v>2</v>
      </c>
      <c r="C23" t="s">
        <v>307</v>
      </c>
      <c r="D23" s="4">
        <v>8</v>
      </c>
      <c r="E23" s="4">
        <v>10</v>
      </c>
      <c r="F23" s="4">
        <v>12</v>
      </c>
    </row>
    <row r="24" spans="1:6" x14ac:dyDescent="0.35">
      <c r="A24">
        <v>3</v>
      </c>
      <c r="B24">
        <v>3</v>
      </c>
      <c r="C24" t="s">
        <v>308</v>
      </c>
      <c r="D24" s="4">
        <v>80</v>
      </c>
      <c r="E24" s="4">
        <v>120</v>
      </c>
      <c r="F24" s="4">
        <v>150</v>
      </c>
    </row>
    <row r="25" spans="1:6" x14ac:dyDescent="0.35">
      <c r="A25">
        <v>3</v>
      </c>
      <c r="B25">
        <v>4</v>
      </c>
      <c r="C25" t="s">
        <v>309</v>
      </c>
      <c r="D25" s="4">
        <v>2</v>
      </c>
      <c r="E25" s="4">
        <v>5</v>
      </c>
      <c r="F25" s="4">
        <v>7</v>
      </c>
    </row>
    <row r="26" spans="1:6" x14ac:dyDescent="0.35">
      <c r="A26">
        <v>3</v>
      </c>
      <c r="B26">
        <v>5</v>
      </c>
      <c r="C26" t="s">
        <v>310</v>
      </c>
      <c r="D26" s="4">
        <v>1</v>
      </c>
      <c r="E26" s="4">
        <v>3</v>
      </c>
      <c r="F26" s="4">
        <v>5</v>
      </c>
    </row>
    <row r="27" spans="1:6" x14ac:dyDescent="0.35">
      <c r="A27">
        <v>3</v>
      </c>
      <c r="B27">
        <v>6</v>
      </c>
      <c r="C27" t="s">
        <v>311</v>
      </c>
      <c r="D27" s="4">
        <v>100</v>
      </c>
      <c r="E27" s="4">
        <v>300</v>
      </c>
      <c r="F27" s="4">
        <v>500</v>
      </c>
    </row>
    <row r="28" spans="1:6" x14ac:dyDescent="0.35">
      <c r="A28">
        <v>3</v>
      </c>
      <c r="B28">
        <v>7</v>
      </c>
      <c r="C28" t="s">
        <v>312</v>
      </c>
      <c r="D28" s="4">
        <v>2</v>
      </c>
      <c r="E28" s="4">
        <v>5</v>
      </c>
      <c r="F28" s="4">
        <v>7</v>
      </c>
    </row>
    <row r="29" spans="1:6" x14ac:dyDescent="0.35">
      <c r="A29">
        <v>3</v>
      </c>
      <c r="B29">
        <v>8</v>
      </c>
      <c r="C29" t="s">
        <v>313</v>
      </c>
      <c r="D29" s="4">
        <v>80</v>
      </c>
      <c r="E29" s="4">
        <v>150</v>
      </c>
      <c r="F29" s="4">
        <v>170</v>
      </c>
    </row>
    <row r="30" spans="1:6" x14ac:dyDescent="0.35">
      <c r="A30">
        <v>3</v>
      </c>
      <c r="B30">
        <v>9</v>
      </c>
      <c r="C30" t="s">
        <v>314</v>
      </c>
      <c r="D30" s="4">
        <v>1</v>
      </c>
      <c r="E30" s="4">
        <v>3</v>
      </c>
      <c r="F30" s="4">
        <v>4</v>
      </c>
    </row>
    <row r="31" spans="1:6" x14ac:dyDescent="0.35">
      <c r="A31">
        <v>3</v>
      </c>
      <c r="B31">
        <v>10</v>
      </c>
      <c r="C31" t="s">
        <v>315</v>
      </c>
      <c r="D31" s="4">
        <v>1.4</v>
      </c>
      <c r="E31" s="4">
        <v>2</v>
      </c>
      <c r="F31" s="4">
        <v>2.5</v>
      </c>
    </row>
    <row r="32" spans="1:6" x14ac:dyDescent="0.35">
      <c r="A32">
        <v>4</v>
      </c>
      <c r="B32">
        <v>1</v>
      </c>
      <c r="C32" t="s">
        <v>306</v>
      </c>
      <c r="D32" s="4">
        <v>1</v>
      </c>
      <c r="E32" s="4">
        <v>2</v>
      </c>
      <c r="F32" s="4">
        <v>5</v>
      </c>
    </row>
    <row r="33" spans="1:6" x14ac:dyDescent="0.35">
      <c r="A33">
        <v>4</v>
      </c>
      <c r="B33">
        <v>2</v>
      </c>
      <c r="C33" t="s">
        <v>307</v>
      </c>
      <c r="D33" s="4">
        <v>1</v>
      </c>
      <c r="E33" s="4">
        <v>3</v>
      </c>
      <c r="F33" s="4">
        <v>5</v>
      </c>
    </row>
    <row r="34" spans="1:6" x14ac:dyDescent="0.35">
      <c r="A34">
        <v>4</v>
      </c>
      <c r="B34">
        <v>3</v>
      </c>
      <c r="C34" t="s">
        <v>308</v>
      </c>
      <c r="D34" s="4">
        <v>20</v>
      </c>
      <c r="E34" s="4">
        <v>50</v>
      </c>
      <c r="F34" s="4">
        <v>100</v>
      </c>
    </row>
    <row r="35" spans="1:6" x14ac:dyDescent="0.35">
      <c r="A35">
        <v>4</v>
      </c>
      <c r="B35">
        <v>4</v>
      </c>
      <c r="C35" t="s">
        <v>309</v>
      </c>
      <c r="D35" s="4">
        <v>10</v>
      </c>
      <c r="E35" s="4">
        <v>15</v>
      </c>
      <c r="F35" s="4">
        <v>25</v>
      </c>
    </row>
    <row r="36" spans="1:6" x14ac:dyDescent="0.35">
      <c r="A36">
        <v>4</v>
      </c>
      <c r="B36">
        <v>5</v>
      </c>
      <c r="C36" t="s">
        <v>310</v>
      </c>
      <c r="D36" s="4">
        <v>1</v>
      </c>
      <c r="E36" s="4">
        <v>5</v>
      </c>
      <c r="F36" s="4">
        <v>10</v>
      </c>
    </row>
    <row r="37" spans="1:6" x14ac:dyDescent="0.35">
      <c r="A37">
        <v>4</v>
      </c>
      <c r="B37">
        <v>6</v>
      </c>
      <c r="C37" t="s">
        <v>311</v>
      </c>
      <c r="D37" s="4">
        <v>60</v>
      </c>
      <c r="E37" s="4">
        <v>90</v>
      </c>
      <c r="F37" s="4">
        <v>150</v>
      </c>
    </row>
    <row r="38" spans="1:6" x14ac:dyDescent="0.35">
      <c r="A38">
        <v>4</v>
      </c>
      <c r="B38">
        <v>7</v>
      </c>
      <c r="C38" t="s">
        <v>312</v>
      </c>
      <c r="D38" s="4">
        <v>1</v>
      </c>
      <c r="E38" s="4">
        <v>5</v>
      </c>
      <c r="F38" s="4">
        <v>10</v>
      </c>
    </row>
    <row r="39" spans="1:6" x14ac:dyDescent="0.35">
      <c r="A39">
        <v>4</v>
      </c>
      <c r="B39">
        <v>8</v>
      </c>
      <c r="C39" t="s">
        <v>313</v>
      </c>
      <c r="D39" s="4">
        <v>150000</v>
      </c>
      <c r="E39" s="4">
        <v>250000</v>
      </c>
      <c r="F39" s="4">
        <v>1000000</v>
      </c>
    </row>
    <row r="40" spans="1:6" x14ac:dyDescent="0.35">
      <c r="A40">
        <v>4</v>
      </c>
      <c r="B40">
        <v>9</v>
      </c>
      <c r="C40" t="s">
        <v>314</v>
      </c>
      <c r="D40" s="4">
        <v>0.2</v>
      </c>
      <c r="E40" s="4">
        <v>0.5</v>
      </c>
      <c r="F40" s="4">
        <v>2</v>
      </c>
    </row>
    <row r="41" spans="1:6" x14ac:dyDescent="0.35">
      <c r="A41">
        <v>4</v>
      </c>
      <c r="B41">
        <v>10</v>
      </c>
      <c r="C41" t="s">
        <v>315</v>
      </c>
      <c r="D41" s="4">
        <v>0.75</v>
      </c>
      <c r="E41" s="4">
        <v>1.25</v>
      </c>
      <c r="F41" s="4">
        <v>2</v>
      </c>
    </row>
    <row r="42" spans="1:6" x14ac:dyDescent="0.35">
      <c r="A42">
        <v>5</v>
      </c>
      <c r="B42">
        <v>1</v>
      </c>
      <c r="C42" t="s">
        <v>306</v>
      </c>
      <c r="D42" s="4">
        <v>1</v>
      </c>
      <c r="E42" s="4">
        <v>6</v>
      </c>
      <c r="F42" s="4">
        <v>25</v>
      </c>
    </row>
    <row r="43" spans="1:6" x14ac:dyDescent="0.35">
      <c r="A43">
        <v>5</v>
      </c>
      <c r="B43">
        <v>2</v>
      </c>
      <c r="C43" t="s">
        <v>307</v>
      </c>
      <c r="D43" s="4">
        <v>50</v>
      </c>
      <c r="E43" s="4">
        <v>120</v>
      </c>
      <c r="F43" s="4">
        <v>300</v>
      </c>
    </row>
    <row r="44" spans="1:6" x14ac:dyDescent="0.35">
      <c r="A44">
        <v>5</v>
      </c>
      <c r="B44">
        <v>3</v>
      </c>
      <c r="C44" t="s">
        <v>308</v>
      </c>
      <c r="D44" s="4">
        <v>500</v>
      </c>
      <c r="E44" s="4">
        <v>1800</v>
      </c>
      <c r="F44" s="4">
        <v>6000</v>
      </c>
    </row>
    <row r="45" spans="1:6" x14ac:dyDescent="0.35">
      <c r="A45">
        <v>5</v>
      </c>
      <c r="B45">
        <v>4</v>
      </c>
      <c r="C45" t="s">
        <v>309</v>
      </c>
      <c r="D45" s="4">
        <v>10</v>
      </c>
      <c r="E45" s="4">
        <v>25</v>
      </c>
      <c r="F45" s="4">
        <v>45</v>
      </c>
    </row>
    <row r="46" spans="1:6" x14ac:dyDescent="0.35">
      <c r="A46">
        <v>5</v>
      </c>
      <c r="B46">
        <v>5</v>
      </c>
      <c r="C46" t="s">
        <v>310</v>
      </c>
      <c r="D46" s="4">
        <v>1</v>
      </c>
      <c r="E46" s="4">
        <v>5</v>
      </c>
      <c r="F46" s="4">
        <v>45</v>
      </c>
    </row>
    <row r="47" spans="1:6" x14ac:dyDescent="0.35">
      <c r="A47">
        <v>5</v>
      </c>
      <c r="B47">
        <v>6</v>
      </c>
      <c r="C47" t="s">
        <v>311</v>
      </c>
      <c r="D47" s="4">
        <v>20</v>
      </c>
      <c r="E47" s="4">
        <v>100</v>
      </c>
      <c r="F47" s="4">
        <v>250</v>
      </c>
    </row>
    <row r="48" spans="1:6" x14ac:dyDescent="0.35">
      <c r="A48">
        <v>5</v>
      </c>
      <c r="B48">
        <v>7</v>
      </c>
      <c r="C48" t="s">
        <v>312</v>
      </c>
      <c r="D48" s="4">
        <v>3</v>
      </c>
      <c r="E48" s="4">
        <v>10</v>
      </c>
      <c r="F48" s="4">
        <v>20</v>
      </c>
    </row>
    <row r="49" spans="1:6" x14ac:dyDescent="0.35">
      <c r="A49">
        <v>5</v>
      </c>
      <c r="B49">
        <v>8</v>
      </c>
      <c r="C49" t="s">
        <v>313</v>
      </c>
      <c r="D49" s="4">
        <v>5000</v>
      </c>
      <c r="E49" s="4">
        <v>15000</v>
      </c>
      <c r="F49" s="4">
        <v>50000</v>
      </c>
    </row>
    <row r="50" spans="1:6" x14ac:dyDescent="0.35">
      <c r="A50">
        <v>5</v>
      </c>
      <c r="B50">
        <v>9</v>
      </c>
      <c r="C50" t="s">
        <v>314</v>
      </c>
      <c r="D50" s="4">
        <v>5</v>
      </c>
      <c r="E50" s="4">
        <v>20</v>
      </c>
      <c r="F50" s="4">
        <v>120</v>
      </c>
    </row>
    <row r="51" spans="1:6" x14ac:dyDescent="0.35">
      <c r="A51">
        <v>5</v>
      </c>
      <c r="B51">
        <v>10</v>
      </c>
      <c r="C51" t="s">
        <v>315</v>
      </c>
      <c r="D51" s="4">
        <v>0.8</v>
      </c>
      <c r="E51" s="4">
        <v>1.3</v>
      </c>
      <c r="F51" s="4">
        <v>2</v>
      </c>
    </row>
    <row r="52" spans="1:6" x14ac:dyDescent="0.35">
      <c r="A52">
        <v>6</v>
      </c>
      <c r="B52">
        <v>1</v>
      </c>
      <c r="C52" t="s">
        <v>306</v>
      </c>
      <c r="D52" s="4">
        <v>0.01</v>
      </c>
      <c r="E52" s="4">
        <v>1</v>
      </c>
      <c r="F52" s="4">
        <v>50</v>
      </c>
    </row>
    <row r="53" spans="1:6" x14ac:dyDescent="0.35">
      <c r="A53">
        <v>6</v>
      </c>
      <c r="B53">
        <v>2</v>
      </c>
      <c r="C53" t="s">
        <v>307</v>
      </c>
      <c r="D53" s="4">
        <v>1</v>
      </c>
      <c r="E53" s="4">
        <v>20</v>
      </c>
      <c r="F53" s="4">
        <v>50</v>
      </c>
    </row>
    <row r="54" spans="1:6" x14ac:dyDescent="0.35">
      <c r="A54">
        <v>6</v>
      </c>
      <c r="B54">
        <v>3</v>
      </c>
      <c r="C54" t="s">
        <v>308</v>
      </c>
      <c r="D54" s="4">
        <v>1000</v>
      </c>
      <c r="E54" s="4">
        <v>10000</v>
      </c>
      <c r="F54" s="4">
        <v>100000</v>
      </c>
    </row>
    <row r="55" spans="1:6" x14ac:dyDescent="0.35">
      <c r="A55">
        <v>6</v>
      </c>
      <c r="B55">
        <v>4</v>
      </c>
      <c r="C55" t="s">
        <v>309</v>
      </c>
      <c r="D55" s="4">
        <v>10</v>
      </c>
      <c r="E55" s="4">
        <v>25</v>
      </c>
      <c r="F55" s="4">
        <v>40</v>
      </c>
    </row>
    <row r="56" spans="1:6" x14ac:dyDescent="0.35">
      <c r="A56">
        <v>6</v>
      </c>
      <c r="B56">
        <v>5</v>
      </c>
      <c r="C56" t="s">
        <v>310</v>
      </c>
      <c r="D56" s="4">
        <v>0.01</v>
      </c>
      <c r="E56" s="4">
        <v>1</v>
      </c>
      <c r="F56" s="4">
        <v>10</v>
      </c>
    </row>
    <row r="57" spans="1:6" x14ac:dyDescent="0.35">
      <c r="A57">
        <v>6</v>
      </c>
      <c r="B57">
        <v>6</v>
      </c>
      <c r="C57" t="s">
        <v>311</v>
      </c>
      <c r="D57" s="4">
        <v>5</v>
      </c>
      <c r="E57" s="4">
        <v>30</v>
      </c>
      <c r="F57" s="4">
        <v>150</v>
      </c>
    </row>
    <row r="58" spans="1:6" x14ac:dyDescent="0.35">
      <c r="A58">
        <v>6</v>
      </c>
      <c r="B58">
        <v>7</v>
      </c>
      <c r="C58" t="s">
        <v>312</v>
      </c>
      <c r="D58" s="4">
        <v>1</v>
      </c>
      <c r="E58" s="4">
        <v>10</v>
      </c>
      <c r="F58" s="4">
        <v>20</v>
      </c>
    </row>
    <row r="59" spans="1:6" x14ac:dyDescent="0.35">
      <c r="A59">
        <v>6</v>
      </c>
      <c r="B59">
        <v>8</v>
      </c>
      <c r="C59" t="s">
        <v>313</v>
      </c>
      <c r="D59" s="4">
        <v>1000</v>
      </c>
      <c r="E59" s="4">
        <v>100000</v>
      </c>
      <c r="F59" s="4">
        <v>1000000</v>
      </c>
    </row>
    <row r="60" spans="1:6" x14ac:dyDescent="0.35">
      <c r="A60">
        <v>6</v>
      </c>
      <c r="B60">
        <v>9</v>
      </c>
      <c r="C60" t="s">
        <v>314</v>
      </c>
      <c r="D60" s="4">
        <v>1</v>
      </c>
      <c r="E60" s="4">
        <v>5</v>
      </c>
      <c r="F60" s="4">
        <v>100</v>
      </c>
    </row>
    <row r="61" spans="1:6" x14ac:dyDescent="0.35">
      <c r="A61">
        <v>6</v>
      </c>
      <c r="B61">
        <v>10</v>
      </c>
      <c r="C61" t="s">
        <v>315</v>
      </c>
      <c r="D61" s="4">
        <v>0.9</v>
      </c>
      <c r="E61" s="4">
        <v>1.2</v>
      </c>
      <c r="F61" s="4">
        <v>3</v>
      </c>
    </row>
    <row r="62" spans="1:6" x14ac:dyDescent="0.35">
      <c r="A62">
        <v>7</v>
      </c>
      <c r="B62">
        <v>1</v>
      </c>
      <c r="C62" t="s">
        <v>306</v>
      </c>
      <c r="D62" s="4">
        <v>6.5</v>
      </c>
      <c r="E62" s="4">
        <v>7</v>
      </c>
      <c r="F62" s="4">
        <v>8</v>
      </c>
    </row>
    <row r="63" spans="1:6" x14ac:dyDescent="0.35">
      <c r="A63">
        <v>7</v>
      </c>
      <c r="B63">
        <v>2</v>
      </c>
      <c r="C63" t="s">
        <v>307</v>
      </c>
      <c r="D63" s="4">
        <v>2</v>
      </c>
      <c r="E63" s="4">
        <v>5</v>
      </c>
      <c r="F63" s="4">
        <v>5.5</v>
      </c>
    </row>
    <row r="64" spans="1:6" x14ac:dyDescent="0.35">
      <c r="A64">
        <v>7</v>
      </c>
      <c r="B64">
        <v>3</v>
      </c>
      <c r="C64" t="s">
        <v>308</v>
      </c>
      <c r="D64" s="4">
        <v>200</v>
      </c>
      <c r="E64" s="4">
        <v>500</v>
      </c>
      <c r="F64" s="4">
        <v>600</v>
      </c>
    </row>
    <row r="65" spans="1:6" x14ac:dyDescent="0.35">
      <c r="A65">
        <v>7</v>
      </c>
      <c r="B65">
        <v>4</v>
      </c>
      <c r="C65" t="s">
        <v>309</v>
      </c>
      <c r="D65" s="4">
        <v>20</v>
      </c>
      <c r="E65" s="4">
        <v>30</v>
      </c>
      <c r="F65" s="4">
        <v>38</v>
      </c>
    </row>
    <row r="66" spans="1:6" x14ac:dyDescent="0.35">
      <c r="A66">
        <v>7</v>
      </c>
      <c r="B66">
        <v>5</v>
      </c>
      <c r="C66" t="s">
        <v>310</v>
      </c>
      <c r="D66" s="4">
        <v>2</v>
      </c>
      <c r="E66" s="4">
        <v>5</v>
      </c>
      <c r="F66" s="4">
        <v>7</v>
      </c>
    </row>
    <row r="67" spans="1:6" x14ac:dyDescent="0.35">
      <c r="A67">
        <v>7</v>
      </c>
      <c r="B67">
        <v>6</v>
      </c>
      <c r="C67" t="s">
        <v>311</v>
      </c>
      <c r="D67" s="4">
        <v>15</v>
      </c>
      <c r="E67" s="4">
        <v>30</v>
      </c>
      <c r="F67" s="4">
        <v>40</v>
      </c>
    </row>
    <row r="68" spans="1:6" x14ac:dyDescent="0.35">
      <c r="A68">
        <v>7</v>
      </c>
      <c r="B68">
        <v>7</v>
      </c>
      <c r="C68" t="s">
        <v>312</v>
      </c>
      <c r="D68" s="4">
        <v>5</v>
      </c>
      <c r="E68" s="4">
        <v>15</v>
      </c>
      <c r="F68" s="4">
        <v>20</v>
      </c>
    </row>
    <row r="69" spans="1:6" x14ac:dyDescent="0.35">
      <c r="A69">
        <v>7</v>
      </c>
      <c r="B69">
        <v>8</v>
      </c>
      <c r="C69" t="s">
        <v>313</v>
      </c>
      <c r="D69" s="4">
        <v>1500</v>
      </c>
      <c r="E69" s="4">
        <v>2000</v>
      </c>
      <c r="F69" s="4">
        <v>3000</v>
      </c>
    </row>
    <row r="70" spans="1:6" x14ac:dyDescent="0.35">
      <c r="A70">
        <v>7</v>
      </c>
      <c r="B70">
        <v>9</v>
      </c>
      <c r="C70" t="s">
        <v>314</v>
      </c>
      <c r="D70" s="4">
        <v>1</v>
      </c>
      <c r="E70" s="4">
        <v>2</v>
      </c>
      <c r="F70" s="4">
        <v>2.5</v>
      </c>
    </row>
    <row r="71" spans="1:6" x14ac:dyDescent="0.35">
      <c r="A71">
        <v>7</v>
      </c>
      <c r="B71">
        <v>10</v>
      </c>
      <c r="C71" t="s">
        <v>315</v>
      </c>
      <c r="D71" s="4">
        <v>1.2</v>
      </c>
      <c r="E71" s="4">
        <v>1.5</v>
      </c>
      <c r="F71" s="4">
        <v>1.8</v>
      </c>
    </row>
    <row r="72" spans="1:6" x14ac:dyDescent="0.35">
      <c r="A72">
        <v>8</v>
      </c>
      <c r="B72">
        <v>1</v>
      </c>
      <c r="C72" t="s">
        <v>306</v>
      </c>
      <c r="D72" s="4">
        <v>3</v>
      </c>
      <c r="E72" s="4">
        <v>7</v>
      </c>
      <c r="F72" s="4">
        <v>15</v>
      </c>
    </row>
    <row r="73" spans="1:6" x14ac:dyDescent="0.35">
      <c r="A73">
        <v>8</v>
      </c>
      <c r="B73">
        <v>2</v>
      </c>
      <c r="C73" t="s">
        <v>307</v>
      </c>
      <c r="D73" s="4">
        <v>30</v>
      </c>
      <c r="E73" s="4">
        <v>50</v>
      </c>
      <c r="F73" s="4">
        <v>85</v>
      </c>
    </row>
    <row r="74" spans="1:6" x14ac:dyDescent="0.35">
      <c r="A74">
        <v>8</v>
      </c>
      <c r="B74">
        <v>3</v>
      </c>
      <c r="C74" t="s">
        <v>308</v>
      </c>
      <c r="D74" s="4">
        <v>200</v>
      </c>
      <c r="E74" s="4">
        <v>700</v>
      </c>
      <c r="F74" s="4">
        <v>2000</v>
      </c>
    </row>
    <row r="75" spans="1:6" x14ac:dyDescent="0.35">
      <c r="A75">
        <v>8</v>
      </c>
      <c r="B75">
        <v>4</v>
      </c>
      <c r="C75" t="s">
        <v>309</v>
      </c>
      <c r="D75" s="4">
        <v>25</v>
      </c>
      <c r="E75" s="4">
        <v>45</v>
      </c>
      <c r="F75" s="4">
        <v>75</v>
      </c>
    </row>
    <row r="76" spans="1:6" x14ac:dyDescent="0.35">
      <c r="A76">
        <v>8</v>
      </c>
      <c r="B76">
        <v>5</v>
      </c>
      <c r="C76" t="s">
        <v>310</v>
      </c>
      <c r="D76" s="4">
        <v>3</v>
      </c>
      <c r="E76" s="4">
        <v>6</v>
      </c>
      <c r="F76" s="4">
        <v>14</v>
      </c>
    </row>
    <row r="77" spans="1:6" x14ac:dyDescent="0.35">
      <c r="A77">
        <v>8</v>
      </c>
      <c r="B77">
        <v>6</v>
      </c>
      <c r="C77" t="s">
        <v>311</v>
      </c>
      <c r="D77" s="4">
        <v>20</v>
      </c>
      <c r="E77" s="4">
        <v>100</v>
      </c>
      <c r="F77" s="4">
        <v>200</v>
      </c>
    </row>
    <row r="78" spans="1:6" x14ac:dyDescent="0.35">
      <c r="A78">
        <v>8</v>
      </c>
      <c r="B78">
        <v>7</v>
      </c>
      <c r="C78" t="s">
        <v>312</v>
      </c>
      <c r="D78" s="4">
        <v>1</v>
      </c>
      <c r="E78" s="4">
        <v>5</v>
      </c>
      <c r="F78" s="4">
        <v>15</v>
      </c>
    </row>
    <row r="79" spans="1:6" x14ac:dyDescent="0.35">
      <c r="A79">
        <v>8</v>
      </c>
      <c r="B79">
        <v>8</v>
      </c>
      <c r="C79" t="s">
        <v>313</v>
      </c>
      <c r="D79" s="4">
        <v>5000</v>
      </c>
      <c r="E79" s="4">
        <v>20000</v>
      </c>
      <c r="F79" s="4">
        <v>100000</v>
      </c>
    </row>
    <row r="80" spans="1:6" x14ac:dyDescent="0.35">
      <c r="A80">
        <v>8</v>
      </c>
      <c r="B80">
        <v>9</v>
      </c>
      <c r="C80" t="s">
        <v>314</v>
      </c>
      <c r="D80" s="4">
        <v>1</v>
      </c>
      <c r="E80" s="4">
        <v>10</v>
      </c>
      <c r="F80" s="4">
        <v>100</v>
      </c>
    </row>
    <row r="81" spans="1:6" x14ac:dyDescent="0.35">
      <c r="A81">
        <v>8</v>
      </c>
      <c r="B81">
        <v>10</v>
      </c>
      <c r="C81" t="s">
        <v>315</v>
      </c>
      <c r="D81" s="4">
        <v>0.65</v>
      </c>
      <c r="E81" s="4">
        <v>1</v>
      </c>
      <c r="F81" s="4">
        <v>1.45</v>
      </c>
    </row>
    <row r="82" spans="1:6" x14ac:dyDescent="0.35">
      <c r="A82">
        <v>9</v>
      </c>
      <c r="B82">
        <v>1</v>
      </c>
      <c r="C82" t="s">
        <v>306</v>
      </c>
      <c r="D82" s="4">
        <v>1</v>
      </c>
      <c r="E82" s="4">
        <v>10</v>
      </c>
      <c r="F82" s="4">
        <v>50</v>
      </c>
    </row>
    <row r="83" spans="1:6" x14ac:dyDescent="0.35">
      <c r="A83">
        <v>9</v>
      </c>
      <c r="B83">
        <v>2</v>
      </c>
      <c r="C83" t="s">
        <v>307</v>
      </c>
      <c r="D83" s="4">
        <v>0.2</v>
      </c>
      <c r="E83" s="4">
        <v>5</v>
      </c>
      <c r="F83" s="4">
        <v>20</v>
      </c>
    </row>
    <row r="84" spans="1:6" x14ac:dyDescent="0.35">
      <c r="A84">
        <v>9</v>
      </c>
      <c r="B84">
        <v>3</v>
      </c>
      <c r="C84" t="s">
        <v>308</v>
      </c>
      <c r="D84" s="4">
        <v>1000</v>
      </c>
      <c r="E84" s="4">
        <v>2000</v>
      </c>
      <c r="F84" s="4">
        <v>3000</v>
      </c>
    </row>
    <row r="85" spans="1:6" x14ac:dyDescent="0.35">
      <c r="A85">
        <v>9</v>
      </c>
      <c r="B85">
        <v>4</v>
      </c>
      <c r="C85" t="s">
        <v>309</v>
      </c>
      <c r="D85" s="4">
        <v>10</v>
      </c>
      <c r="E85" s="4">
        <v>25</v>
      </c>
      <c r="F85" s="4">
        <v>50</v>
      </c>
    </row>
    <row r="86" spans="1:6" x14ac:dyDescent="0.35">
      <c r="A86">
        <v>9</v>
      </c>
      <c r="B86">
        <v>5</v>
      </c>
      <c r="C86" t="s">
        <v>310</v>
      </c>
      <c r="D86" s="4">
        <v>0.5</v>
      </c>
      <c r="E86" s="4">
        <v>1</v>
      </c>
      <c r="F86" s="4">
        <v>2</v>
      </c>
    </row>
    <row r="87" spans="1:6" x14ac:dyDescent="0.35">
      <c r="A87">
        <v>9</v>
      </c>
      <c r="B87">
        <v>6</v>
      </c>
      <c r="C87" t="s">
        <v>311</v>
      </c>
      <c r="D87" s="4">
        <v>5</v>
      </c>
      <c r="E87" s="4">
        <v>40</v>
      </c>
      <c r="F87" s="4">
        <v>100</v>
      </c>
    </row>
    <row r="88" spans="1:6" x14ac:dyDescent="0.35">
      <c r="A88">
        <v>9</v>
      </c>
      <c r="B88">
        <v>7</v>
      </c>
      <c r="C88" t="s">
        <v>312</v>
      </c>
      <c r="D88" s="4">
        <v>1</v>
      </c>
      <c r="E88" s="4">
        <v>5</v>
      </c>
      <c r="F88" s="4">
        <v>20</v>
      </c>
    </row>
    <row r="89" spans="1:6" x14ac:dyDescent="0.35">
      <c r="A89">
        <v>9</v>
      </c>
      <c r="B89">
        <v>8</v>
      </c>
      <c r="C89" t="s">
        <v>313</v>
      </c>
      <c r="D89" s="4">
        <v>10000</v>
      </c>
      <c r="E89" s="4">
        <v>30000</v>
      </c>
      <c r="F89" s="4">
        <v>60000</v>
      </c>
    </row>
    <row r="90" spans="1:6" x14ac:dyDescent="0.35">
      <c r="A90">
        <v>9</v>
      </c>
      <c r="B90">
        <v>9</v>
      </c>
      <c r="C90" t="s">
        <v>314</v>
      </c>
      <c r="D90" s="4">
        <v>10</v>
      </c>
      <c r="E90" s="4">
        <v>200</v>
      </c>
      <c r="F90" s="4">
        <v>1000</v>
      </c>
    </row>
    <row r="91" spans="1:6" x14ac:dyDescent="0.35">
      <c r="A91">
        <v>9</v>
      </c>
      <c r="B91">
        <v>10</v>
      </c>
      <c r="C91" t="s">
        <v>315</v>
      </c>
      <c r="D91" s="4">
        <v>0.5</v>
      </c>
      <c r="E91" s="4">
        <v>1.3</v>
      </c>
      <c r="F91" s="4">
        <v>3</v>
      </c>
    </row>
    <row r="92" spans="1:6" x14ac:dyDescent="0.35">
      <c r="A92">
        <v>10</v>
      </c>
      <c r="B92">
        <v>1</v>
      </c>
      <c r="C92" t="s">
        <v>306</v>
      </c>
      <c r="D92" s="4">
        <v>1</v>
      </c>
      <c r="E92" s="4">
        <v>1.5</v>
      </c>
      <c r="F92" s="4">
        <v>2.5</v>
      </c>
    </row>
    <row r="93" spans="1:6" x14ac:dyDescent="0.35">
      <c r="A93">
        <v>10</v>
      </c>
      <c r="B93">
        <v>2</v>
      </c>
      <c r="C93" t="s">
        <v>307</v>
      </c>
      <c r="D93" s="4">
        <v>10</v>
      </c>
      <c r="E93" s="4">
        <v>18</v>
      </c>
      <c r="F93" s="4">
        <v>25</v>
      </c>
    </row>
    <row r="94" spans="1:6" x14ac:dyDescent="0.35">
      <c r="A94">
        <v>10</v>
      </c>
      <c r="B94">
        <v>3</v>
      </c>
      <c r="C94" t="s">
        <v>308</v>
      </c>
      <c r="D94" s="4">
        <v>150</v>
      </c>
      <c r="E94" s="4">
        <v>500</v>
      </c>
      <c r="F94" s="4">
        <v>700</v>
      </c>
    </row>
    <row r="95" spans="1:6" x14ac:dyDescent="0.35">
      <c r="A95">
        <v>10</v>
      </c>
      <c r="B95">
        <v>4</v>
      </c>
      <c r="C95" t="s">
        <v>309</v>
      </c>
      <c r="D95" s="4">
        <v>20</v>
      </c>
      <c r="E95" s="4">
        <v>25</v>
      </c>
      <c r="F95" s="4">
        <v>30</v>
      </c>
    </row>
    <row r="96" spans="1:6" x14ac:dyDescent="0.35">
      <c r="A96">
        <v>10</v>
      </c>
      <c r="B96">
        <v>5</v>
      </c>
      <c r="C96" t="s">
        <v>310</v>
      </c>
      <c r="D96" s="4">
        <v>1.5</v>
      </c>
      <c r="E96" s="4">
        <v>2.5</v>
      </c>
      <c r="F96" s="4">
        <v>3.5</v>
      </c>
    </row>
    <row r="97" spans="1:6" x14ac:dyDescent="0.35">
      <c r="A97">
        <v>10</v>
      </c>
      <c r="B97">
        <v>6</v>
      </c>
      <c r="C97" t="s">
        <v>311</v>
      </c>
      <c r="D97" s="4">
        <v>200</v>
      </c>
      <c r="E97" s="4">
        <v>250</v>
      </c>
      <c r="F97" s="4">
        <v>350</v>
      </c>
    </row>
    <row r="98" spans="1:6" x14ac:dyDescent="0.35">
      <c r="A98">
        <v>10</v>
      </c>
      <c r="B98">
        <v>7</v>
      </c>
      <c r="C98" t="s">
        <v>312</v>
      </c>
      <c r="D98" s="4">
        <v>1</v>
      </c>
      <c r="E98" s="4">
        <v>1.5</v>
      </c>
      <c r="F98" s="4">
        <v>2</v>
      </c>
    </row>
    <row r="99" spans="1:6" x14ac:dyDescent="0.35">
      <c r="A99">
        <v>10</v>
      </c>
      <c r="B99">
        <v>8</v>
      </c>
      <c r="C99" t="s">
        <v>313</v>
      </c>
      <c r="D99" s="4">
        <v>10000</v>
      </c>
      <c r="E99" s="4">
        <v>12000</v>
      </c>
      <c r="F99" s="4">
        <v>16000</v>
      </c>
    </row>
    <row r="100" spans="1:6" x14ac:dyDescent="0.35">
      <c r="A100">
        <v>10</v>
      </c>
      <c r="B100">
        <v>9</v>
      </c>
      <c r="C100" t="s">
        <v>314</v>
      </c>
      <c r="D100" s="4">
        <v>1</v>
      </c>
      <c r="E100" s="4">
        <v>3</v>
      </c>
      <c r="F100" s="4">
        <v>6</v>
      </c>
    </row>
    <row r="101" spans="1:6" x14ac:dyDescent="0.35">
      <c r="A101">
        <v>10</v>
      </c>
      <c r="B101">
        <v>10</v>
      </c>
      <c r="C101" t="s">
        <v>315</v>
      </c>
      <c r="D101" s="4">
        <v>1</v>
      </c>
      <c r="E101" s="4">
        <v>1.5</v>
      </c>
      <c r="F101" s="4">
        <v>2</v>
      </c>
    </row>
    <row r="102" spans="1:6" x14ac:dyDescent="0.35">
      <c r="A102">
        <v>11</v>
      </c>
      <c r="B102">
        <v>1</v>
      </c>
      <c r="C102" t="s">
        <v>306</v>
      </c>
      <c r="D102" s="4">
        <v>0.1</v>
      </c>
      <c r="E102" s="4">
        <v>2</v>
      </c>
      <c r="F102" s="4">
        <v>5</v>
      </c>
    </row>
    <row r="103" spans="1:6" x14ac:dyDescent="0.35">
      <c r="A103">
        <v>11</v>
      </c>
      <c r="B103">
        <v>2</v>
      </c>
      <c r="C103" t="s">
        <v>307</v>
      </c>
      <c r="D103" s="4">
        <v>5</v>
      </c>
      <c r="E103" s="4">
        <v>20</v>
      </c>
      <c r="F103" s="4">
        <v>50</v>
      </c>
    </row>
    <row r="104" spans="1:6" x14ac:dyDescent="0.35">
      <c r="A104">
        <v>11</v>
      </c>
      <c r="B104">
        <v>3</v>
      </c>
      <c r="C104" t="s">
        <v>308</v>
      </c>
      <c r="D104" s="4">
        <v>250</v>
      </c>
      <c r="E104" s="4">
        <v>2000</v>
      </c>
      <c r="F104" s="4">
        <v>10000</v>
      </c>
    </row>
    <row r="105" spans="1:6" x14ac:dyDescent="0.35">
      <c r="A105">
        <v>11</v>
      </c>
      <c r="B105">
        <v>4</v>
      </c>
      <c r="C105" t="s">
        <v>309</v>
      </c>
      <c r="D105" s="4">
        <v>20</v>
      </c>
      <c r="E105" s="4">
        <v>45</v>
      </c>
      <c r="F105" s="4">
        <v>60</v>
      </c>
    </row>
    <row r="106" spans="1:6" x14ac:dyDescent="0.35">
      <c r="A106">
        <v>11</v>
      </c>
      <c r="B106">
        <v>5</v>
      </c>
      <c r="C106" t="s">
        <v>310</v>
      </c>
      <c r="D106" s="4">
        <v>0.25</v>
      </c>
      <c r="E106" s="4">
        <v>2</v>
      </c>
      <c r="F106" s="4">
        <v>10</v>
      </c>
    </row>
    <row r="107" spans="1:6" x14ac:dyDescent="0.35">
      <c r="A107">
        <v>11</v>
      </c>
      <c r="B107">
        <v>6</v>
      </c>
      <c r="C107" t="s">
        <v>311</v>
      </c>
      <c r="D107" s="4">
        <v>20</v>
      </c>
      <c r="E107" s="4">
        <v>100</v>
      </c>
      <c r="F107" s="4">
        <v>250</v>
      </c>
    </row>
    <row r="108" spans="1:6" x14ac:dyDescent="0.35">
      <c r="A108">
        <v>11</v>
      </c>
      <c r="B108">
        <v>7</v>
      </c>
      <c r="C108" t="s">
        <v>312</v>
      </c>
      <c r="D108" s="4">
        <v>2</v>
      </c>
      <c r="E108" s="4">
        <v>8</v>
      </c>
      <c r="F108" s="4">
        <v>20</v>
      </c>
    </row>
    <row r="109" spans="1:6" x14ac:dyDescent="0.35">
      <c r="A109">
        <v>11</v>
      </c>
      <c r="B109">
        <v>8</v>
      </c>
      <c r="C109" t="s">
        <v>313</v>
      </c>
      <c r="D109" s="4">
        <v>1000</v>
      </c>
      <c r="E109" s="4">
        <v>10000</v>
      </c>
      <c r="F109" s="4">
        <v>100000</v>
      </c>
    </row>
    <row r="110" spans="1:6" x14ac:dyDescent="0.35">
      <c r="A110">
        <v>11</v>
      </c>
      <c r="B110">
        <v>9</v>
      </c>
      <c r="C110" t="s">
        <v>314</v>
      </c>
      <c r="D110" s="4">
        <v>2</v>
      </c>
      <c r="E110" s="4">
        <v>8</v>
      </c>
      <c r="F110" s="4">
        <v>12</v>
      </c>
    </row>
    <row r="111" spans="1:6" x14ac:dyDescent="0.35">
      <c r="A111">
        <v>11</v>
      </c>
      <c r="B111">
        <v>10</v>
      </c>
      <c r="C111" t="s">
        <v>315</v>
      </c>
      <c r="D111" s="4">
        <v>0.6</v>
      </c>
      <c r="E111" s="4">
        <v>1.2</v>
      </c>
      <c r="F111" s="4">
        <v>2</v>
      </c>
    </row>
    <row r="112" spans="1:6" x14ac:dyDescent="0.35">
      <c r="A112">
        <v>12</v>
      </c>
      <c r="B112">
        <v>1</v>
      </c>
      <c r="C112" t="s">
        <v>306</v>
      </c>
      <c r="D112" s="4">
        <v>0.05</v>
      </c>
      <c r="E112" s="4">
        <v>2</v>
      </c>
      <c r="F112" s="4">
        <v>3.5</v>
      </c>
    </row>
    <row r="113" spans="1:6" x14ac:dyDescent="0.35">
      <c r="A113">
        <v>12</v>
      </c>
      <c r="B113">
        <v>2</v>
      </c>
      <c r="C113" t="s">
        <v>307</v>
      </c>
      <c r="D113" s="4">
        <v>-10</v>
      </c>
      <c r="E113" s="4">
        <v>5</v>
      </c>
      <c r="F113" s="4">
        <v>7.5</v>
      </c>
    </row>
    <row r="114" spans="1:6" x14ac:dyDescent="0.35">
      <c r="A114">
        <v>12</v>
      </c>
      <c r="B114">
        <v>3</v>
      </c>
      <c r="C114" t="s">
        <v>308</v>
      </c>
      <c r="D114" s="4">
        <v>250</v>
      </c>
      <c r="E114" s="4">
        <v>1500</v>
      </c>
      <c r="F114" s="4">
        <v>15000</v>
      </c>
    </row>
    <row r="115" spans="1:6" x14ac:dyDescent="0.35">
      <c r="A115">
        <v>12</v>
      </c>
      <c r="B115">
        <v>4</v>
      </c>
      <c r="C115" t="s">
        <v>309</v>
      </c>
      <c r="D115" s="4">
        <v>15</v>
      </c>
      <c r="E115" s="4">
        <v>25</v>
      </c>
      <c r="F115" s="4">
        <v>40</v>
      </c>
    </row>
    <row r="116" spans="1:6" x14ac:dyDescent="0.35">
      <c r="A116">
        <v>12</v>
      </c>
      <c r="B116">
        <v>5</v>
      </c>
      <c r="C116" t="s">
        <v>310</v>
      </c>
      <c r="D116" s="4">
        <v>2</v>
      </c>
      <c r="E116" s="4">
        <v>10</v>
      </c>
      <c r="F116" s="4">
        <v>15</v>
      </c>
    </row>
    <row r="117" spans="1:6" x14ac:dyDescent="0.35">
      <c r="A117">
        <v>12</v>
      </c>
      <c r="B117">
        <v>6</v>
      </c>
      <c r="C117" t="s">
        <v>311</v>
      </c>
      <c r="D117" s="4">
        <v>15</v>
      </c>
      <c r="E117" s="4">
        <v>45</v>
      </c>
      <c r="F117" s="4">
        <v>75</v>
      </c>
    </row>
    <row r="118" spans="1:6" x14ac:dyDescent="0.35">
      <c r="A118">
        <v>12</v>
      </c>
      <c r="B118">
        <v>7</v>
      </c>
      <c r="C118" t="s">
        <v>312</v>
      </c>
      <c r="D118" s="4">
        <v>1E-3</v>
      </c>
      <c r="E118" s="4">
        <v>1</v>
      </c>
      <c r="F118" s="4">
        <v>2.5</v>
      </c>
    </row>
    <row r="119" spans="1:6" x14ac:dyDescent="0.35">
      <c r="A119">
        <v>12</v>
      </c>
      <c r="B119">
        <v>8</v>
      </c>
      <c r="C119" t="s">
        <v>313</v>
      </c>
      <c r="D119" s="4">
        <v>5000</v>
      </c>
      <c r="E119" s="4">
        <v>40000</v>
      </c>
      <c r="F119" s="4">
        <v>100000</v>
      </c>
    </row>
    <row r="120" spans="1:6" x14ac:dyDescent="0.35">
      <c r="A120">
        <v>12</v>
      </c>
      <c r="B120">
        <v>9</v>
      </c>
      <c r="C120" t="s">
        <v>314</v>
      </c>
      <c r="D120" s="4">
        <v>0.1</v>
      </c>
      <c r="E120" s="4">
        <v>5</v>
      </c>
      <c r="F120" s="4">
        <v>25</v>
      </c>
    </row>
    <row r="121" spans="1:6" x14ac:dyDescent="0.35">
      <c r="A121">
        <v>12</v>
      </c>
      <c r="B121">
        <v>10</v>
      </c>
      <c r="C121" t="s">
        <v>315</v>
      </c>
      <c r="D121" s="4">
        <v>0.75</v>
      </c>
      <c r="E121" s="4">
        <v>1</v>
      </c>
      <c r="F121" s="4">
        <v>1.3</v>
      </c>
    </row>
    <row r="122" spans="1:6" x14ac:dyDescent="0.35">
      <c r="A122">
        <v>13</v>
      </c>
      <c r="B122">
        <v>1</v>
      </c>
      <c r="C122" t="s">
        <v>306</v>
      </c>
      <c r="D122" s="4">
        <v>0.5</v>
      </c>
      <c r="E122" s="4">
        <v>2.2000000000000002</v>
      </c>
      <c r="F122" s="4">
        <v>25</v>
      </c>
    </row>
    <row r="123" spans="1:6" x14ac:dyDescent="0.35">
      <c r="A123">
        <v>13</v>
      </c>
      <c r="B123">
        <v>2</v>
      </c>
      <c r="C123" t="s">
        <v>307</v>
      </c>
      <c r="D123" s="4">
        <v>2</v>
      </c>
      <c r="E123" s="4">
        <v>10</v>
      </c>
      <c r="F123" s="4">
        <v>30</v>
      </c>
    </row>
    <row r="124" spans="1:6" x14ac:dyDescent="0.35">
      <c r="A124">
        <v>13</v>
      </c>
      <c r="B124">
        <v>3</v>
      </c>
      <c r="C124" t="s">
        <v>308</v>
      </c>
      <c r="D124" s="4">
        <v>50</v>
      </c>
      <c r="E124" s="4">
        <v>400</v>
      </c>
      <c r="F124" s="4">
        <v>1000</v>
      </c>
    </row>
    <row r="125" spans="1:6" x14ac:dyDescent="0.35">
      <c r="A125">
        <v>13</v>
      </c>
      <c r="B125">
        <v>4</v>
      </c>
      <c r="C125" t="s">
        <v>309</v>
      </c>
      <c r="D125" s="4">
        <v>40</v>
      </c>
      <c r="E125" s="4">
        <v>65</v>
      </c>
      <c r="F125" s="4">
        <v>85</v>
      </c>
    </row>
    <row r="126" spans="1:6" x14ac:dyDescent="0.35">
      <c r="A126">
        <v>13</v>
      </c>
      <c r="B126">
        <v>5</v>
      </c>
      <c r="C126" t="s">
        <v>310</v>
      </c>
      <c r="D126" s="4">
        <v>0.75</v>
      </c>
      <c r="E126" s="4">
        <v>1.2</v>
      </c>
      <c r="F126" s="4">
        <v>2.5</v>
      </c>
    </row>
    <row r="127" spans="1:6" x14ac:dyDescent="0.35">
      <c r="A127">
        <v>13</v>
      </c>
      <c r="B127">
        <v>6</v>
      </c>
      <c r="C127" t="s">
        <v>311</v>
      </c>
      <c r="D127" s="4">
        <v>25</v>
      </c>
      <c r="E127" s="4">
        <v>150</v>
      </c>
      <c r="F127" s="4">
        <v>300</v>
      </c>
    </row>
    <row r="128" spans="1:6" x14ac:dyDescent="0.35">
      <c r="A128">
        <v>13</v>
      </c>
      <c r="B128">
        <v>7</v>
      </c>
      <c r="C128" t="s">
        <v>312</v>
      </c>
      <c r="D128" s="4">
        <v>2</v>
      </c>
      <c r="E128" s="4">
        <v>7</v>
      </c>
      <c r="F128" s="4">
        <v>15</v>
      </c>
    </row>
    <row r="129" spans="1:6" x14ac:dyDescent="0.35">
      <c r="A129">
        <v>13</v>
      </c>
      <c r="B129">
        <v>8</v>
      </c>
      <c r="C129" t="s">
        <v>313</v>
      </c>
      <c r="D129" s="4">
        <v>750</v>
      </c>
      <c r="E129" s="4">
        <v>3000</v>
      </c>
      <c r="F129" s="4">
        <v>8000</v>
      </c>
    </row>
    <row r="130" spans="1:6" x14ac:dyDescent="0.35">
      <c r="A130">
        <v>13</v>
      </c>
      <c r="B130">
        <v>9</v>
      </c>
      <c r="C130" t="s">
        <v>314</v>
      </c>
      <c r="D130" s="4">
        <v>5</v>
      </c>
      <c r="E130" s="4">
        <v>40</v>
      </c>
      <c r="F130" s="4">
        <v>200</v>
      </c>
    </row>
    <row r="131" spans="1:6" x14ac:dyDescent="0.35">
      <c r="A131">
        <v>13</v>
      </c>
      <c r="B131">
        <v>10</v>
      </c>
      <c r="C131" t="s">
        <v>315</v>
      </c>
      <c r="D131" s="4">
        <v>0.5</v>
      </c>
      <c r="E131" s="4">
        <v>1</v>
      </c>
      <c r="F131" s="4">
        <v>2</v>
      </c>
    </row>
    <row r="132" spans="1:6" x14ac:dyDescent="0.35">
      <c r="A132">
        <v>14</v>
      </c>
      <c r="B132">
        <v>1</v>
      </c>
      <c r="C132" t="s">
        <v>306</v>
      </c>
      <c r="D132" s="4">
        <v>6</v>
      </c>
      <c r="E132" s="4">
        <v>8</v>
      </c>
      <c r="F132" s="4">
        <v>10</v>
      </c>
    </row>
    <row r="133" spans="1:6" x14ac:dyDescent="0.35">
      <c r="A133">
        <v>14</v>
      </c>
      <c r="B133">
        <v>2</v>
      </c>
      <c r="C133" t="s">
        <v>307</v>
      </c>
      <c r="D133" s="4">
        <v>0</v>
      </c>
      <c r="E133" s="4">
        <v>2</v>
      </c>
      <c r="F133" s="4">
        <v>3</v>
      </c>
    </row>
    <row r="134" spans="1:6" x14ac:dyDescent="0.35">
      <c r="A134">
        <v>14</v>
      </c>
      <c r="B134">
        <v>3</v>
      </c>
      <c r="C134" t="s">
        <v>308</v>
      </c>
      <c r="D134" s="4">
        <v>1500</v>
      </c>
      <c r="E134" s="4">
        <v>2500</v>
      </c>
      <c r="F134" s="4">
        <v>3500</v>
      </c>
    </row>
    <row r="135" spans="1:6" x14ac:dyDescent="0.35">
      <c r="A135">
        <v>14</v>
      </c>
      <c r="B135">
        <v>4</v>
      </c>
      <c r="C135" t="s">
        <v>309</v>
      </c>
      <c r="D135" s="4">
        <v>22</v>
      </c>
      <c r="E135" s="4">
        <v>25</v>
      </c>
      <c r="F135" s="4">
        <v>28</v>
      </c>
    </row>
    <row r="136" spans="1:6" x14ac:dyDescent="0.35">
      <c r="A136">
        <v>14</v>
      </c>
      <c r="B136">
        <v>5</v>
      </c>
      <c r="C136" t="s">
        <v>310</v>
      </c>
      <c r="D136" s="4">
        <v>0.1</v>
      </c>
      <c r="E136" s="4">
        <v>0.5</v>
      </c>
      <c r="F136" s="4">
        <v>3</v>
      </c>
    </row>
    <row r="137" spans="1:6" x14ac:dyDescent="0.35">
      <c r="A137">
        <v>14</v>
      </c>
      <c r="B137">
        <v>6</v>
      </c>
      <c r="C137" t="s">
        <v>311</v>
      </c>
      <c r="D137" s="4">
        <v>280</v>
      </c>
      <c r="E137" s="4">
        <v>340</v>
      </c>
      <c r="F137" s="4">
        <v>400</v>
      </c>
    </row>
    <row r="138" spans="1:6" x14ac:dyDescent="0.35">
      <c r="A138">
        <v>14</v>
      </c>
      <c r="B138">
        <v>7</v>
      </c>
      <c r="C138" t="s">
        <v>312</v>
      </c>
      <c r="D138" s="4">
        <v>0.4</v>
      </c>
      <c r="E138" s="4">
        <v>0.6</v>
      </c>
      <c r="F138" s="4">
        <v>1</v>
      </c>
    </row>
    <row r="139" spans="1:6" x14ac:dyDescent="0.35">
      <c r="A139">
        <v>14</v>
      </c>
      <c r="B139">
        <v>8</v>
      </c>
      <c r="C139" t="s">
        <v>313</v>
      </c>
      <c r="D139" s="4">
        <v>20000</v>
      </c>
      <c r="E139" s="4">
        <v>24000</v>
      </c>
      <c r="F139" s="4">
        <v>35000</v>
      </c>
    </row>
    <row r="140" spans="1:6" x14ac:dyDescent="0.35">
      <c r="A140">
        <v>14</v>
      </c>
      <c r="B140">
        <v>9</v>
      </c>
      <c r="C140" t="s">
        <v>314</v>
      </c>
      <c r="D140" s="4">
        <v>1</v>
      </c>
      <c r="E140" s="4">
        <v>2</v>
      </c>
      <c r="F140" s="4">
        <v>5</v>
      </c>
    </row>
    <row r="141" spans="1:6" x14ac:dyDescent="0.35">
      <c r="A141">
        <v>14</v>
      </c>
      <c r="B141">
        <v>10</v>
      </c>
      <c r="C141" t="s">
        <v>315</v>
      </c>
      <c r="D141" s="4">
        <v>1.01</v>
      </c>
      <c r="E141" s="4">
        <v>1.1000000000000001</v>
      </c>
      <c r="F141" s="4">
        <v>1.1200000000000001</v>
      </c>
    </row>
    <row r="142" spans="1:6" x14ac:dyDescent="0.35">
      <c r="A142">
        <v>15</v>
      </c>
      <c r="B142">
        <v>1</v>
      </c>
      <c r="C142" t="s">
        <v>306</v>
      </c>
      <c r="D142" s="4">
        <v>3.5</v>
      </c>
      <c r="E142" s="4">
        <v>5</v>
      </c>
      <c r="F142" s="4">
        <v>7</v>
      </c>
    </row>
    <row r="143" spans="1:6" x14ac:dyDescent="0.35">
      <c r="A143">
        <v>15</v>
      </c>
      <c r="B143">
        <v>2</v>
      </c>
      <c r="C143" t="s">
        <v>307</v>
      </c>
      <c r="D143" s="4">
        <v>2</v>
      </c>
      <c r="E143" s="4">
        <v>15</v>
      </c>
      <c r="F143" s="4">
        <v>20</v>
      </c>
    </row>
    <row r="144" spans="1:6" x14ac:dyDescent="0.35">
      <c r="A144">
        <v>15</v>
      </c>
      <c r="B144">
        <v>3</v>
      </c>
      <c r="C144" t="s">
        <v>308</v>
      </c>
      <c r="D144" s="4">
        <v>3</v>
      </c>
      <c r="E144" s="4">
        <v>800</v>
      </c>
      <c r="F144" s="4">
        <v>1300</v>
      </c>
    </row>
    <row r="145" spans="1:6" x14ac:dyDescent="0.35">
      <c r="A145">
        <v>15</v>
      </c>
      <c r="B145">
        <v>4</v>
      </c>
      <c r="C145" t="s">
        <v>309</v>
      </c>
      <c r="D145" s="4">
        <v>30</v>
      </c>
      <c r="E145" s="4">
        <v>40</v>
      </c>
      <c r="F145" s="4">
        <v>43</v>
      </c>
    </row>
    <row r="146" spans="1:6" x14ac:dyDescent="0.35">
      <c r="A146">
        <v>15</v>
      </c>
      <c r="B146">
        <v>5</v>
      </c>
      <c r="C146" t="s">
        <v>310</v>
      </c>
      <c r="D146" s="4">
        <v>1</v>
      </c>
      <c r="E146" s="4">
        <v>1.5</v>
      </c>
      <c r="F146" s="4">
        <v>7</v>
      </c>
    </row>
    <row r="147" spans="1:6" x14ac:dyDescent="0.35">
      <c r="A147">
        <v>15</v>
      </c>
      <c r="B147">
        <v>6</v>
      </c>
      <c r="C147" t="s">
        <v>311</v>
      </c>
      <c r="D147" s="4">
        <v>75</v>
      </c>
      <c r="E147" s="4">
        <v>120</v>
      </c>
      <c r="F147" s="4">
        <v>200</v>
      </c>
    </row>
    <row r="148" spans="1:6" x14ac:dyDescent="0.35">
      <c r="A148">
        <v>15</v>
      </c>
      <c r="B148">
        <v>7</v>
      </c>
      <c r="C148" t="s">
        <v>312</v>
      </c>
      <c r="D148" s="4">
        <v>0.1</v>
      </c>
      <c r="E148" s="4">
        <v>1</v>
      </c>
      <c r="F148" s="4">
        <v>3</v>
      </c>
    </row>
    <row r="149" spans="1:6" x14ac:dyDescent="0.35">
      <c r="A149">
        <v>15</v>
      </c>
      <c r="B149">
        <v>8</v>
      </c>
      <c r="C149" t="s">
        <v>313</v>
      </c>
      <c r="D149" s="4">
        <v>9000</v>
      </c>
      <c r="E149" s="4">
        <v>15000</v>
      </c>
      <c r="F149" s="4">
        <v>22000</v>
      </c>
    </row>
    <row r="150" spans="1:6" x14ac:dyDescent="0.35">
      <c r="A150">
        <v>15</v>
      </c>
      <c r="B150">
        <v>9</v>
      </c>
      <c r="C150" t="s">
        <v>314</v>
      </c>
      <c r="D150" s="4">
        <v>2</v>
      </c>
      <c r="E150" s="4">
        <v>5</v>
      </c>
      <c r="F150" s="4">
        <v>12</v>
      </c>
    </row>
    <row r="151" spans="1:6" x14ac:dyDescent="0.35">
      <c r="A151">
        <v>15</v>
      </c>
      <c r="B151">
        <v>10</v>
      </c>
      <c r="C151" t="s">
        <v>315</v>
      </c>
      <c r="D151" s="4">
        <v>1</v>
      </c>
      <c r="E151" s="4">
        <v>1.3</v>
      </c>
      <c r="F151" s="4">
        <v>2</v>
      </c>
    </row>
    <row r="152" spans="1:6" x14ac:dyDescent="0.35">
      <c r="A152">
        <v>16</v>
      </c>
      <c r="B152">
        <v>1</v>
      </c>
      <c r="C152" t="s">
        <v>306</v>
      </c>
      <c r="D152" s="4">
        <v>5</v>
      </c>
      <c r="E152" s="4">
        <v>25</v>
      </c>
      <c r="F152" s="4">
        <v>50</v>
      </c>
    </row>
    <row r="153" spans="1:6" x14ac:dyDescent="0.35">
      <c r="A153">
        <v>16</v>
      </c>
      <c r="B153">
        <v>2</v>
      </c>
      <c r="C153" t="s">
        <v>307</v>
      </c>
      <c r="D153" s="4">
        <v>30</v>
      </c>
      <c r="E153" s="4">
        <v>50</v>
      </c>
      <c r="F153" s="4">
        <v>60</v>
      </c>
    </row>
    <row r="154" spans="1:6" x14ac:dyDescent="0.35">
      <c r="A154">
        <v>16</v>
      </c>
      <c r="B154">
        <v>3</v>
      </c>
      <c r="C154" t="s">
        <v>308</v>
      </c>
      <c r="D154" s="4">
        <v>500</v>
      </c>
      <c r="E154" s="4">
        <v>600</v>
      </c>
      <c r="F154" s="4">
        <v>800</v>
      </c>
    </row>
    <row r="155" spans="1:6" x14ac:dyDescent="0.35">
      <c r="A155">
        <v>16</v>
      </c>
      <c r="B155">
        <v>4</v>
      </c>
      <c r="C155" t="s">
        <v>309</v>
      </c>
      <c r="D155" s="4">
        <v>15</v>
      </c>
      <c r="E155" s="4">
        <v>20</v>
      </c>
      <c r="F155" s="4">
        <v>25</v>
      </c>
    </row>
    <row r="156" spans="1:6" x14ac:dyDescent="0.35">
      <c r="A156">
        <v>16</v>
      </c>
      <c r="B156">
        <v>5</v>
      </c>
      <c r="C156" t="s">
        <v>310</v>
      </c>
      <c r="D156" s="4">
        <v>1</v>
      </c>
      <c r="E156" s="4">
        <v>2.5</v>
      </c>
      <c r="F156" s="4">
        <v>3.5</v>
      </c>
    </row>
    <row r="157" spans="1:6" x14ac:dyDescent="0.35">
      <c r="A157">
        <v>16</v>
      </c>
      <c r="B157">
        <v>6</v>
      </c>
      <c r="C157" t="s">
        <v>311</v>
      </c>
      <c r="D157" s="4">
        <v>300</v>
      </c>
      <c r="E157" s="4">
        <v>450</v>
      </c>
      <c r="F157" s="4">
        <v>800</v>
      </c>
    </row>
    <row r="158" spans="1:6" x14ac:dyDescent="0.35">
      <c r="A158">
        <v>16</v>
      </c>
      <c r="B158">
        <v>7</v>
      </c>
      <c r="C158" t="s">
        <v>312</v>
      </c>
      <c r="D158" s="4">
        <v>2</v>
      </c>
      <c r="E158" s="4">
        <v>4</v>
      </c>
      <c r="F158" s="4">
        <v>6</v>
      </c>
    </row>
    <row r="159" spans="1:6" x14ac:dyDescent="0.35">
      <c r="A159">
        <v>16</v>
      </c>
      <c r="B159">
        <v>8</v>
      </c>
      <c r="C159" t="s">
        <v>313</v>
      </c>
      <c r="D159" s="4">
        <v>500</v>
      </c>
      <c r="E159" s="4">
        <v>10000</v>
      </c>
      <c r="F159" s="4">
        <v>30000</v>
      </c>
    </row>
    <row r="160" spans="1:6" x14ac:dyDescent="0.35">
      <c r="A160">
        <v>16</v>
      </c>
      <c r="B160">
        <v>9</v>
      </c>
      <c r="C160" t="s">
        <v>314</v>
      </c>
      <c r="D160" s="4">
        <v>100</v>
      </c>
      <c r="E160" s="4">
        <v>200</v>
      </c>
      <c r="F160" s="4">
        <v>350</v>
      </c>
    </row>
    <row r="161" spans="1:6" x14ac:dyDescent="0.35">
      <c r="A161">
        <v>16</v>
      </c>
      <c r="B161">
        <v>10</v>
      </c>
      <c r="C161" t="s">
        <v>315</v>
      </c>
      <c r="D161" s="4">
        <v>1.5</v>
      </c>
      <c r="E161" s="4">
        <v>2</v>
      </c>
      <c r="F161" s="4">
        <v>2.5</v>
      </c>
    </row>
    <row r="162" spans="1:6" x14ac:dyDescent="0.35">
      <c r="A162">
        <v>17</v>
      </c>
      <c r="B162">
        <v>1</v>
      </c>
      <c r="C162" t="s">
        <v>306</v>
      </c>
      <c r="D162" s="4">
        <v>1</v>
      </c>
      <c r="E162" s="4">
        <v>5</v>
      </c>
      <c r="F162" s="4">
        <v>7</v>
      </c>
    </row>
    <row r="163" spans="1:6" x14ac:dyDescent="0.35">
      <c r="A163">
        <v>17</v>
      </c>
      <c r="B163">
        <v>2</v>
      </c>
      <c r="C163" t="s">
        <v>307</v>
      </c>
      <c r="D163" s="4">
        <v>10</v>
      </c>
      <c r="E163" s="4">
        <v>30</v>
      </c>
      <c r="F163" s="4">
        <v>50</v>
      </c>
    </row>
    <row r="164" spans="1:6" x14ac:dyDescent="0.35">
      <c r="A164">
        <v>17</v>
      </c>
      <c r="B164">
        <v>3</v>
      </c>
      <c r="C164" t="s">
        <v>308</v>
      </c>
      <c r="D164" s="4">
        <v>200</v>
      </c>
      <c r="E164" s="4">
        <v>1000</v>
      </c>
      <c r="F164" s="4">
        <v>5000</v>
      </c>
    </row>
    <row r="165" spans="1:6" x14ac:dyDescent="0.35">
      <c r="A165">
        <v>17</v>
      </c>
      <c r="B165">
        <v>4</v>
      </c>
      <c r="C165" t="s">
        <v>309</v>
      </c>
      <c r="D165" s="4">
        <v>25</v>
      </c>
      <c r="E165" s="4">
        <v>50</v>
      </c>
      <c r="F165" s="4">
        <v>70</v>
      </c>
    </row>
    <row r="166" spans="1:6" x14ac:dyDescent="0.35">
      <c r="A166">
        <v>17</v>
      </c>
      <c r="B166">
        <v>5</v>
      </c>
      <c r="C166" t="s">
        <v>310</v>
      </c>
      <c r="D166" s="4">
        <v>2</v>
      </c>
      <c r="E166" s="4">
        <v>10</v>
      </c>
      <c r="F166" s="4">
        <v>15</v>
      </c>
    </row>
    <row r="167" spans="1:6" x14ac:dyDescent="0.35">
      <c r="A167">
        <v>17</v>
      </c>
      <c r="B167">
        <v>6</v>
      </c>
      <c r="C167" t="s">
        <v>311</v>
      </c>
      <c r="D167" s="4">
        <v>50</v>
      </c>
      <c r="E167" s="4">
        <v>100</v>
      </c>
      <c r="F167" s="4">
        <v>300</v>
      </c>
    </row>
    <row r="168" spans="1:6" x14ac:dyDescent="0.35">
      <c r="A168">
        <v>17</v>
      </c>
      <c r="B168">
        <v>7</v>
      </c>
      <c r="C168" t="s">
        <v>312</v>
      </c>
      <c r="D168" s="4">
        <v>1</v>
      </c>
      <c r="E168" s="4">
        <v>5</v>
      </c>
      <c r="F168" s="4">
        <v>10</v>
      </c>
    </row>
    <row r="169" spans="1:6" x14ac:dyDescent="0.35">
      <c r="A169">
        <v>17</v>
      </c>
      <c r="B169">
        <v>8</v>
      </c>
      <c r="C169" t="s">
        <v>313</v>
      </c>
      <c r="D169" s="4">
        <v>50000</v>
      </c>
      <c r="E169" s="4">
        <v>100000</v>
      </c>
      <c r="F169" s="4">
        <v>300000</v>
      </c>
    </row>
    <row r="170" spans="1:6" x14ac:dyDescent="0.35">
      <c r="A170">
        <v>17</v>
      </c>
      <c r="B170">
        <v>9</v>
      </c>
      <c r="C170" t="s">
        <v>314</v>
      </c>
      <c r="D170" s="4">
        <v>5</v>
      </c>
      <c r="E170" s="4">
        <v>20</v>
      </c>
      <c r="F170" s="4">
        <v>50</v>
      </c>
    </row>
    <row r="171" spans="1:6" x14ac:dyDescent="0.35">
      <c r="A171">
        <v>17</v>
      </c>
      <c r="B171">
        <v>10</v>
      </c>
      <c r="C171" t="s">
        <v>315</v>
      </c>
      <c r="D171" s="4">
        <v>1.1000000000000001</v>
      </c>
      <c r="E171" s="4">
        <v>1.3</v>
      </c>
      <c r="F171" s="4">
        <v>1.5</v>
      </c>
    </row>
    <row r="172" spans="1:6" x14ac:dyDescent="0.35">
      <c r="A172">
        <v>18</v>
      </c>
      <c r="B172">
        <v>1</v>
      </c>
      <c r="C172" t="s">
        <v>306</v>
      </c>
      <c r="D172" s="4">
        <v>1</v>
      </c>
      <c r="E172" s="4">
        <v>5</v>
      </c>
      <c r="F172" s="4">
        <v>12</v>
      </c>
    </row>
    <row r="173" spans="1:6" x14ac:dyDescent="0.35">
      <c r="A173">
        <v>18</v>
      </c>
      <c r="B173">
        <v>2</v>
      </c>
      <c r="C173" t="s">
        <v>307</v>
      </c>
      <c r="D173" s="4">
        <v>3</v>
      </c>
      <c r="E173" s="4">
        <v>7</v>
      </c>
      <c r="F173" s="4">
        <v>15</v>
      </c>
    </row>
    <row r="174" spans="1:6" x14ac:dyDescent="0.35">
      <c r="A174">
        <v>18</v>
      </c>
      <c r="B174">
        <v>3</v>
      </c>
      <c r="C174" t="s">
        <v>308</v>
      </c>
      <c r="D174" s="4">
        <v>100</v>
      </c>
      <c r="E174" s="4">
        <v>500</v>
      </c>
      <c r="F174" s="4">
        <v>900</v>
      </c>
    </row>
    <row r="175" spans="1:6" x14ac:dyDescent="0.35">
      <c r="A175">
        <v>18</v>
      </c>
      <c r="B175">
        <v>4</v>
      </c>
      <c r="C175" t="s">
        <v>309</v>
      </c>
      <c r="D175" s="4">
        <v>33</v>
      </c>
      <c r="E175" s="4">
        <v>37</v>
      </c>
      <c r="F175" s="4">
        <v>45</v>
      </c>
    </row>
    <row r="176" spans="1:6" x14ac:dyDescent="0.35">
      <c r="A176">
        <v>18</v>
      </c>
      <c r="B176">
        <v>5</v>
      </c>
      <c r="C176" t="s">
        <v>310</v>
      </c>
      <c r="D176" s="4">
        <v>0.1</v>
      </c>
      <c r="E176" s="4">
        <v>0.3</v>
      </c>
      <c r="F176" s="4">
        <v>0.7</v>
      </c>
    </row>
    <row r="177" spans="1:6" x14ac:dyDescent="0.35">
      <c r="A177">
        <v>18</v>
      </c>
      <c r="B177">
        <v>6</v>
      </c>
      <c r="C177" t="s">
        <v>311</v>
      </c>
      <c r="D177" s="4">
        <v>25</v>
      </c>
      <c r="E177" s="4">
        <v>50</v>
      </c>
      <c r="F177" s="4">
        <v>75</v>
      </c>
    </row>
    <row r="178" spans="1:6" x14ac:dyDescent="0.35">
      <c r="A178">
        <v>18</v>
      </c>
      <c r="B178">
        <v>7</v>
      </c>
      <c r="C178" t="s">
        <v>312</v>
      </c>
      <c r="D178" s="4">
        <v>10</v>
      </c>
      <c r="E178" s="4">
        <v>20</v>
      </c>
      <c r="F178" s="4">
        <v>30</v>
      </c>
    </row>
    <row r="179" spans="1:6" x14ac:dyDescent="0.35">
      <c r="A179">
        <v>18</v>
      </c>
      <c r="B179">
        <v>8</v>
      </c>
      <c r="C179" t="s">
        <v>313</v>
      </c>
      <c r="D179" s="4">
        <v>1000</v>
      </c>
      <c r="E179" s="4">
        <v>2000</v>
      </c>
      <c r="F179" s="4">
        <v>3000</v>
      </c>
    </row>
    <row r="180" spans="1:6" x14ac:dyDescent="0.35">
      <c r="A180">
        <v>18</v>
      </c>
      <c r="B180">
        <v>9</v>
      </c>
      <c r="C180" t="s">
        <v>314</v>
      </c>
      <c r="D180" s="4">
        <v>0.2</v>
      </c>
      <c r="E180" s="4">
        <v>0.5</v>
      </c>
      <c r="F180" s="4">
        <v>0.8</v>
      </c>
    </row>
    <row r="181" spans="1:6" x14ac:dyDescent="0.35">
      <c r="A181">
        <v>18</v>
      </c>
      <c r="B181">
        <v>10</v>
      </c>
      <c r="C181" t="s">
        <v>315</v>
      </c>
      <c r="D181" s="4">
        <v>0.25</v>
      </c>
      <c r="E181" s="4">
        <v>0.5</v>
      </c>
      <c r="F181" s="4">
        <v>0.75</v>
      </c>
    </row>
    <row r="182" spans="1:6" x14ac:dyDescent="0.35">
      <c r="A182">
        <v>19</v>
      </c>
      <c r="B182">
        <v>1</v>
      </c>
      <c r="C182" t="s">
        <v>306</v>
      </c>
      <c r="D182" s="4">
        <v>0.4</v>
      </c>
      <c r="E182" s="4">
        <v>5</v>
      </c>
      <c r="F182" s="4">
        <v>10</v>
      </c>
    </row>
    <row r="183" spans="1:6" x14ac:dyDescent="0.35">
      <c r="A183">
        <v>19</v>
      </c>
      <c r="B183">
        <v>2</v>
      </c>
      <c r="C183" t="s">
        <v>307</v>
      </c>
      <c r="D183" s="4">
        <v>10</v>
      </c>
      <c r="E183" s="4">
        <v>20</v>
      </c>
      <c r="F183" s="4">
        <v>50</v>
      </c>
    </row>
    <row r="184" spans="1:6" x14ac:dyDescent="0.35">
      <c r="A184">
        <v>19</v>
      </c>
      <c r="B184">
        <v>3</v>
      </c>
      <c r="C184" t="s">
        <v>308</v>
      </c>
      <c r="D184" s="4">
        <v>500</v>
      </c>
      <c r="E184" s="4">
        <v>1200</v>
      </c>
      <c r="F184" s="4">
        <v>4000</v>
      </c>
    </row>
    <row r="185" spans="1:6" x14ac:dyDescent="0.35">
      <c r="A185">
        <v>19</v>
      </c>
      <c r="B185">
        <v>4</v>
      </c>
      <c r="C185" t="s">
        <v>309</v>
      </c>
      <c r="D185" s="4">
        <v>30</v>
      </c>
      <c r="E185" s="4">
        <v>60</v>
      </c>
      <c r="F185" s="4">
        <v>80</v>
      </c>
    </row>
    <row r="186" spans="1:6" x14ac:dyDescent="0.35">
      <c r="A186">
        <v>19</v>
      </c>
      <c r="B186">
        <v>5</v>
      </c>
      <c r="C186" t="s">
        <v>310</v>
      </c>
      <c r="D186" s="4">
        <v>4</v>
      </c>
      <c r="E186" s="4">
        <v>6</v>
      </c>
      <c r="F186" s="4">
        <v>12</v>
      </c>
    </row>
    <row r="187" spans="1:6" x14ac:dyDescent="0.35">
      <c r="A187">
        <v>19</v>
      </c>
      <c r="B187">
        <v>6</v>
      </c>
      <c r="C187" t="s">
        <v>311</v>
      </c>
      <c r="D187" s="4">
        <v>70</v>
      </c>
      <c r="E187" s="4">
        <v>200</v>
      </c>
      <c r="F187" s="4">
        <v>600</v>
      </c>
    </row>
    <row r="188" spans="1:6" x14ac:dyDescent="0.35">
      <c r="A188">
        <v>19</v>
      </c>
      <c r="B188">
        <v>7</v>
      </c>
      <c r="C188" t="s">
        <v>312</v>
      </c>
      <c r="D188" s="4">
        <v>5</v>
      </c>
      <c r="E188" s="4">
        <v>10</v>
      </c>
      <c r="F188" s="4">
        <v>30</v>
      </c>
    </row>
    <row r="189" spans="1:6" x14ac:dyDescent="0.35">
      <c r="A189">
        <v>19</v>
      </c>
      <c r="B189">
        <v>8</v>
      </c>
      <c r="C189" t="s">
        <v>313</v>
      </c>
      <c r="D189" s="4">
        <v>5000</v>
      </c>
      <c r="E189" s="4">
        <v>12000</v>
      </c>
      <c r="F189" s="4">
        <v>40000</v>
      </c>
    </row>
    <row r="190" spans="1:6" x14ac:dyDescent="0.35">
      <c r="A190">
        <v>19</v>
      </c>
      <c r="B190">
        <v>9</v>
      </c>
      <c r="C190" t="s">
        <v>314</v>
      </c>
      <c r="D190" s="4">
        <v>8</v>
      </c>
      <c r="E190" s="4">
        <v>15</v>
      </c>
      <c r="F190" s="4">
        <v>25</v>
      </c>
    </row>
    <row r="191" spans="1:6" x14ac:dyDescent="0.35">
      <c r="A191">
        <v>19</v>
      </c>
      <c r="B191">
        <v>10</v>
      </c>
      <c r="C191" t="s">
        <v>315</v>
      </c>
      <c r="D191" s="4">
        <v>0.8</v>
      </c>
      <c r="E191" s="4">
        <v>1</v>
      </c>
      <c r="F191" s="4">
        <v>1.3</v>
      </c>
    </row>
    <row r="192" spans="1:6" x14ac:dyDescent="0.35">
      <c r="A192">
        <v>20</v>
      </c>
      <c r="B192">
        <v>1</v>
      </c>
      <c r="C192" t="s">
        <v>306</v>
      </c>
      <c r="D192" s="4">
        <v>1</v>
      </c>
      <c r="E192" s="4">
        <v>5</v>
      </c>
      <c r="F192" s="4">
        <v>10</v>
      </c>
    </row>
    <row r="193" spans="1:6" x14ac:dyDescent="0.35">
      <c r="A193">
        <v>20</v>
      </c>
      <c r="B193">
        <v>2</v>
      </c>
      <c r="C193" t="s">
        <v>307</v>
      </c>
      <c r="D193" s="4">
        <v>1</v>
      </c>
      <c r="E193" s="4">
        <v>2</v>
      </c>
      <c r="F193" s="4">
        <v>3</v>
      </c>
    </row>
    <row r="194" spans="1:6" x14ac:dyDescent="0.35">
      <c r="A194">
        <v>20</v>
      </c>
      <c r="B194">
        <v>3</v>
      </c>
      <c r="C194" t="s">
        <v>308</v>
      </c>
      <c r="D194" s="4">
        <v>250</v>
      </c>
      <c r="E194" s="4">
        <v>500</v>
      </c>
      <c r="F194" s="4">
        <v>1000</v>
      </c>
    </row>
    <row r="195" spans="1:6" x14ac:dyDescent="0.35">
      <c r="A195">
        <v>20</v>
      </c>
      <c r="B195">
        <v>4</v>
      </c>
      <c r="C195" t="s">
        <v>309</v>
      </c>
      <c r="D195" s="4">
        <v>10</v>
      </c>
      <c r="E195" s="4">
        <v>30</v>
      </c>
      <c r="F195" s="4">
        <v>50</v>
      </c>
    </row>
    <row r="196" spans="1:6" x14ac:dyDescent="0.35">
      <c r="A196">
        <v>20</v>
      </c>
      <c r="B196">
        <v>5</v>
      </c>
      <c r="C196" t="s">
        <v>310</v>
      </c>
      <c r="D196" s="4">
        <v>1</v>
      </c>
      <c r="E196" s="4">
        <v>3</v>
      </c>
      <c r="F196" s="4">
        <v>5</v>
      </c>
    </row>
    <row r="197" spans="1:6" x14ac:dyDescent="0.35">
      <c r="A197">
        <v>20</v>
      </c>
      <c r="B197">
        <v>6</v>
      </c>
      <c r="C197" t="s">
        <v>311</v>
      </c>
      <c r="D197" s="4">
        <v>100</v>
      </c>
      <c r="E197" s="4">
        <v>300</v>
      </c>
      <c r="F197" s="4">
        <v>500</v>
      </c>
    </row>
    <row r="198" spans="1:6" x14ac:dyDescent="0.35">
      <c r="A198">
        <v>20</v>
      </c>
      <c r="B198">
        <v>7</v>
      </c>
      <c r="C198" t="s">
        <v>312</v>
      </c>
      <c r="D198" s="4">
        <v>5</v>
      </c>
      <c r="E198" s="4">
        <v>20</v>
      </c>
      <c r="F198" s="4">
        <v>30</v>
      </c>
    </row>
    <row r="199" spans="1:6" x14ac:dyDescent="0.35">
      <c r="A199">
        <v>20</v>
      </c>
      <c r="B199">
        <v>8</v>
      </c>
      <c r="C199" t="s">
        <v>313</v>
      </c>
      <c r="D199" s="4">
        <v>1000</v>
      </c>
      <c r="E199" s="4">
        <v>50000</v>
      </c>
      <c r="F199" s="4">
        <v>100000</v>
      </c>
    </row>
    <row r="200" spans="1:6" x14ac:dyDescent="0.35">
      <c r="A200">
        <v>20</v>
      </c>
      <c r="B200">
        <v>9</v>
      </c>
      <c r="C200" t="s">
        <v>314</v>
      </c>
      <c r="D200" s="4">
        <v>3</v>
      </c>
      <c r="E200" s="4">
        <v>5</v>
      </c>
      <c r="F200" s="4">
        <v>10</v>
      </c>
    </row>
    <row r="201" spans="1:6" x14ac:dyDescent="0.35">
      <c r="A201">
        <v>20</v>
      </c>
      <c r="B201">
        <v>10</v>
      </c>
      <c r="C201" t="s">
        <v>315</v>
      </c>
      <c r="D201" s="4">
        <v>1.5</v>
      </c>
      <c r="E201" s="4">
        <v>2.25</v>
      </c>
      <c r="F201" s="4">
        <v>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4"/>
  <dimension ref="A1:R111"/>
  <sheetViews>
    <sheetView workbookViewId="0"/>
  </sheetViews>
  <sheetFormatPr defaultRowHeight="14.5" x14ac:dyDescent="0.35"/>
  <cols>
    <col min="1" max="1" width="5.81640625" customWidth="1"/>
    <col min="2" max="2" width="8" customWidth="1"/>
    <col min="3" max="3" width="11.36328125" bestFit="1" customWidth="1"/>
    <col min="4" max="4" width="13.36328125" customWidth="1"/>
    <col min="5" max="5" width="11.453125" bestFit="1" customWidth="1"/>
    <col min="8" max="8" width="18.54296875" customWidth="1"/>
    <col min="9" max="9" width="14.453125" style="14" customWidth="1"/>
    <col min="10" max="18" width="8.90625"/>
  </cols>
  <sheetData>
    <row r="1" spans="1:18" x14ac:dyDescent="0.35">
      <c r="A1" t="s">
        <v>348</v>
      </c>
      <c r="H1" t="s">
        <v>58</v>
      </c>
      <c r="I1" s="14" t="s">
        <v>341</v>
      </c>
      <c r="J1" t="s">
        <v>13</v>
      </c>
      <c r="K1" t="s">
        <v>14</v>
      </c>
      <c r="L1" t="s">
        <v>12</v>
      </c>
      <c r="M1" t="s">
        <v>264</v>
      </c>
      <c r="N1" t="s">
        <v>193</v>
      </c>
      <c r="O1" t="s">
        <v>194</v>
      </c>
      <c r="P1" t="s">
        <v>195</v>
      </c>
      <c r="Q1" t="s">
        <v>265</v>
      </c>
    </row>
    <row r="2" spans="1:18" x14ac:dyDescent="0.35">
      <c r="A2">
        <v>1</v>
      </c>
      <c r="B2">
        <v>1</v>
      </c>
      <c r="D2" s="4">
        <v>3</v>
      </c>
      <c r="E2" s="4">
        <v>6</v>
      </c>
      <c r="F2" s="4">
        <v>8</v>
      </c>
      <c r="H2" s="4">
        <v>4.8</v>
      </c>
      <c r="J2">
        <v>0.13852236549693536</v>
      </c>
      <c r="K2">
        <v>0.16943206950606546</v>
      </c>
      <c r="L2">
        <v>0.39937993209874967</v>
      </c>
      <c r="M2">
        <v>1.6950630538000842E-7</v>
      </c>
      <c r="N2">
        <v>0.93300000000000005</v>
      </c>
      <c r="O2">
        <v>0.76500000000000001</v>
      </c>
      <c r="P2">
        <v>0.55300000000000005</v>
      </c>
      <c r="Q2">
        <v>0.98</v>
      </c>
    </row>
    <row r="3" spans="1:18" x14ac:dyDescent="0.35">
      <c r="A3">
        <v>1</v>
      </c>
      <c r="B3">
        <v>2</v>
      </c>
      <c r="D3" s="4">
        <v>1.5</v>
      </c>
      <c r="E3" s="4">
        <v>3</v>
      </c>
      <c r="F3" s="4">
        <v>8</v>
      </c>
      <c r="H3" s="4">
        <v>3.4</v>
      </c>
      <c r="I3" s="14" t="s">
        <v>346</v>
      </c>
      <c r="J3" t="s">
        <v>13</v>
      </c>
      <c r="K3" t="s">
        <v>14</v>
      </c>
      <c r="L3" t="s">
        <v>12</v>
      </c>
      <c r="M3" t="s">
        <v>264</v>
      </c>
      <c r="N3" t="s">
        <v>193</v>
      </c>
      <c r="O3" t="s">
        <v>194</v>
      </c>
      <c r="P3" t="s">
        <v>195</v>
      </c>
      <c r="Q3" t="s">
        <v>265</v>
      </c>
    </row>
    <row r="4" spans="1:18" x14ac:dyDescent="0.35">
      <c r="A4">
        <v>1</v>
      </c>
      <c r="B4">
        <v>3</v>
      </c>
      <c r="D4" s="4">
        <v>4</v>
      </c>
      <c r="E4" s="4">
        <v>7</v>
      </c>
      <c r="F4" s="4">
        <v>9</v>
      </c>
      <c r="H4" s="4">
        <v>1.1000000000000001</v>
      </c>
      <c r="J4">
        <v>0.99879267008585193</v>
      </c>
      <c r="K4">
        <v>0.3726522352100412</v>
      </c>
      <c r="L4">
        <v>1.5989268434883892</v>
      </c>
      <c r="M4">
        <v>0.55410695509916252</v>
      </c>
      <c r="N4" t="s">
        <v>349</v>
      </c>
      <c r="O4">
        <v>1</v>
      </c>
      <c r="P4">
        <v>0.997</v>
      </c>
      <c r="Q4">
        <v>0.98</v>
      </c>
    </row>
    <row r="5" spans="1:18" x14ac:dyDescent="0.35">
      <c r="A5">
        <v>1</v>
      </c>
      <c r="B5">
        <v>4</v>
      </c>
      <c r="D5" s="4">
        <v>-0.6</v>
      </c>
      <c r="E5" s="4">
        <v>-0.45</v>
      </c>
      <c r="F5" s="4">
        <v>-0.3</v>
      </c>
      <c r="H5" s="4">
        <v>-0.42120000000000002</v>
      </c>
      <c r="I5" s="14" t="s">
        <v>347</v>
      </c>
      <c r="J5" t="s">
        <v>13</v>
      </c>
      <c r="K5" t="s">
        <v>14</v>
      </c>
      <c r="L5" t="s">
        <v>12</v>
      </c>
      <c r="M5" t="s">
        <v>264</v>
      </c>
      <c r="N5" t="s">
        <v>193</v>
      </c>
      <c r="O5" t="s">
        <v>194</v>
      </c>
      <c r="P5" t="s">
        <v>195</v>
      </c>
      <c r="Q5" t="s">
        <v>265</v>
      </c>
    </row>
    <row r="6" spans="1:18" x14ac:dyDescent="0.35">
      <c r="A6">
        <v>1</v>
      </c>
      <c r="B6">
        <v>5</v>
      </c>
      <c r="D6" s="4">
        <v>-0.2</v>
      </c>
      <c r="E6" s="4">
        <v>0</v>
      </c>
      <c r="F6" s="4">
        <v>0.3</v>
      </c>
      <c r="H6" s="4">
        <v>-0.27500000000000002</v>
      </c>
      <c r="J6">
        <v>9.4669728962964744E-2</v>
      </c>
      <c r="K6">
        <v>0.11189012194609511</v>
      </c>
      <c r="L6">
        <v>0.2786367488022225</v>
      </c>
      <c r="M6">
        <v>2.7102818181263582E-7</v>
      </c>
      <c r="N6">
        <v>0.81200000000000006</v>
      </c>
      <c r="O6">
        <v>0.58899999999999997</v>
      </c>
      <c r="P6">
        <v>0.41199999999999998</v>
      </c>
      <c r="Q6">
        <v>0.97599999999999998</v>
      </c>
    </row>
    <row r="7" spans="1:18" x14ac:dyDescent="0.35">
      <c r="A7">
        <v>1</v>
      </c>
      <c r="B7">
        <v>6</v>
      </c>
      <c r="D7" s="4">
        <v>15</v>
      </c>
      <c r="E7" s="4">
        <v>19</v>
      </c>
      <c r="F7" s="4">
        <v>22</v>
      </c>
      <c r="H7" s="4">
        <v>18</v>
      </c>
    </row>
    <row r="8" spans="1:18" ht="15" thickBot="1" x14ac:dyDescent="0.4">
      <c r="A8">
        <v>1</v>
      </c>
      <c r="B8">
        <v>7</v>
      </c>
      <c r="D8" s="4">
        <v>5</v>
      </c>
      <c r="E8" s="4">
        <v>12</v>
      </c>
      <c r="F8" s="4">
        <v>20</v>
      </c>
      <c r="H8" s="4">
        <v>20</v>
      </c>
    </row>
    <row r="9" spans="1:18" x14ac:dyDescent="0.35">
      <c r="A9">
        <v>1</v>
      </c>
      <c r="B9">
        <v>8</v>
      </c>
      <c r="D9" s="4">
        <v>-0.1</v>
      </c>
      <c r="E9" s="4">
        <v>0</v>
      </c>
      <c r="F9" s="4">
        <v>0.2</v>
      </c>
      <c r="H9" s="4">
        <v>0.34420000000000001</v>
      </c>
      <c r="I9" s="163"/>
      <c r="J9" s="164"/>
      <c r="K9" s="159" t="s">
        <v>351</v>
      </c>
      <c r="L9" s="159"/>
      <c r="M9" s="159"/>
      <c r="N9" s="160"/>
      <c r="O9" s="161" t="s">
        <v>353</v>
      </c>
      <c r="P9" s="159"/>
      <c r="Q9" s="159"/>
      <c r="R9" s="162"/>
    </row>
    <row r="10" spans="1:18" x14ac:dyDescent="0.35">
      <c r="A10">
        <v>1</v>
      </c>
      <c r="B10">
        <v>9</v>
      </c>
      <c r="D10" s="4">
        <v>-0.7</v>
      </c>
      <c r="E10" s="4">
        <v>-0.55000000000000004</v>
      </c>
      <c r="F10" s="4">
        <v>-0.45</v>
      </c>
      <c r="H10" s="4">
        <v>-0.70182</v>
      </c>
      <c r="I10" s="165"/>
      <c r="J10" s="166"/>
      <c r="K10" s="28" t="s">
        <v>13</v>
      </c>
      <c r="L10" s="28" t="s">
        <v>14</v>
      </c>
      <c r="M10" s="28" t="s">
        <v>12</v>
      </c>
      <c r="N10" s="31" t="s">
        <v>264</v>
      </c>
      <c r="O10" s="33" t="s">
        <v>352</v>
      </c>
      <c r="P10" s="28" t="s">
        <v>194</v>
      </c>
      <c r="Q10" s="28" t="s">
        <v>195</v>
      </c>
      <c r="R10" s="36" t="s">
        <v>265</v>
      </c>
    </row>
    <row r="11" spans="1:18" x14ac:dyDescent="0.35">
      <c r="A11">
        <v>1</v>
      </c>
      <c r="B11">
        <v>10</v>
      </c>
      <c r="D11" s="4">
        <v>0</v>
      </c>
      <c r="E11" s="4">
        <v>10</v>
      </c>
      <c r="F11" s="4">
        <v>40</v>
      </c>
      <c r="H11" s="4">
        <v>11.85</v>
      </c>
      <c r="I11" s="167" t="s">
        <v>345</v>
      </c>
      <c r="J11" s="30" t="s">
        <v>341</v>
      </c>
      <c r="K11" s="25">
        <v>0.22510322346803557</v>
      </c>
      <c r="L11" s="25">
        <v>0.22868134141995325</v>
      </c>
      <c r="M11" s="25">
        <v>0.7063129744327834</v>
      </c>
      <c r="N11" s="32">
        <v>3.00443525144039E-4</v>
      </c>
      <c r="O11" s="34">
        <v>0.14099999999999999</v>
      </c>
      <c r="P11" s="26">
        <v>0.30499999999999999</v>
      </c>
      <c r="Q11" s="26">
        <v>0.35899999999999999</v>
      </c>
      <c r="R11" s="37">
        <v>0.91200000000000003</v>
      </c>
    </row>
    <row r="12" spans="1:18" x14ac:dyDescent="0.35">
      <c r="A12">
        <v>1</v>
      </c>
      <c r="B12">
        <v>11</v>
      </c>
      <c r="D12" s="4">
        <v>5</v>
      </c>
      <c r="E12" s="4">
        <v>15</v>
      </c>
      <c r="F12" s="4">
        <v>25</v>
      </c>
      <c r="H12" s="4">
        <v>7.33</v>
      </c>
      <c r="I12" s="167"/>
      <c r="J12" s="30" t="s">
        <v>346</v>
      </c>
      <c r="K12" s="25">
        <v>0.82720937127769523</v>
      </c>
      <c r="L12" s="25">
        <v>0.27091432032351664</v>
      </c>
      <c r="M12" s="25">
        <v>1.1384870342744327</v>
      </c>
      <c r="N12" s="32">
        <v>0.29605201359765926</v>
      </c>
      <c r="O12" s="35" t="s">
        <v>349</v>
      </c>
      <c r="P12" s="26">
        <v>1</v>
      </c>
      <c r="Q12" s="26">
        <v>0.95699999999999996</v>
      </c>
      <c r="R12" s="37">
        <v>1</v>
      </c>
    </row>
    <row r="13" spans="1:18" x14ac:dyDescent="0.35">
      <c r="A13">
        <v>2</v>
      </c>
      <c r="B13">
        <v>1</v>
      </c>
      <c r="D13" s="4">
        <v>4.2</v>
      </c>
      <c r="E13" s="4">
        <v>4.5999999999999996</v>
      </c>
      <c r="F13" s="4">
        <v>5</v>
      </c>
      <c r="I13" s="167" t="s">
        <v>350</v>
      </c>
      <c r="J13" s="30" t="s">
        <v>341</v>
      </c>
      <c r="K13" s="25">
        <v>0.13852236549693536</v>
      </c>
      <c r="L13" s="25">
        <v>0.16943206950606546</v>
      </c>
      <c r="M13" s="25">
        <v>0.39937993209874967</v>
      </c>
      <c r="N13" s="32">
        <v>1.6950630538000842E-7</v>
      </c>
      <c r="O13" s="34">
        <v>0.93300000000000005</v>
      </c>
      <c r="P13" s="26">
        <v>0.76500000000000001</v>
      </c>
      <c r="Q13" s="26">
        <v>0.55300000000000005</v>
      </c>
      <c r="R13" s="37">
        <v>0.98</v>
      </c>
    </row>
    <row r="14" spans="1:18" ht="15" thickBot="1" x14ac:dyDescent="0.4">
      <c r="A14">
        <v>2</v>
      </c>
      <c r="B14">
        <v>2</v>
      </c>
      <c r="D14" s="4">
        <v>3.5</v>
      </c>
      <c r="E14" s="4">
        <v>4.4000000000000004</v>
      </c>
      <c r="F14" s="4">
        <v>5.5</v>
      </c>
      <c r="I14" s="168"/>
      <c r="J14" s="38" t="s">
        <v>346</v>
      </c>
      <c r="K14" s="39">
        <v>0.99879267008585193</v>
      </c>
      <c r="L14" s="39">
        <v>0.3726522352100412</v>
      </c>
      <c r="M14" s="39">
        <v>1.5989268434883892</v>
      </c>
      <c r="N14" s="40">
        <v>0.55410695509916252</v>
      </c>
      <c r="O14" s="41" t="s">
        <v>349</v>
      </c>
      <c r="P14" s="42">
        <v>1</v>
      </c>
      <c r="Q14" s="42">
        <v>0.997</v>
      </c>
      <c r="R14" s="43">
        <v>0.98</v>
      </c>
    </row>
    <row r="15" spans="1:18" x14ac:dyDescent="0.35">
      <c r="A15">
        <v>2</v>
      </c>
      <c r="B15">
        <v>3</v>
      </c>
      <c r="D15" s="4">
        <v>3</v>
      </c>
      <c r="E15" s="4">
        <v>5</v>
      </c>
      <c r="F15" s="4">
        <v>7</v>
      </c>
      <c r="I15" s="29"/>
      <c r="J15" s="29"/>
      <c r="K15" s="27"/>
      <c r="L15" s="27"/>
      <c r="M15" s="27"/>
      <c r="N15" s="27"/>
      <c r="O15" s="16"/>
      <c r="P15" s="16"/>
      <c r="Q15" s="16"/>
      <c r="R15" s="16"/>
    </row>
    <row r="16" spans="1:18" x14ac:dyDescent="0.35">
      <c r="A16">
        <v>2</v>
      </c>
      <c r="B16">
        <v>4</v>
      </c>
      <c r="D16" s="4">
        <v>-0.4</v>
      </c>
      <c r="E16" s="4">
        <v>-0.33100000000000002</v>
      </c>
      <c r="F16" s="4">
        <v>-0.25</v>
      </c>
      <c r="I16" s="29"/>
    </row>
    <row r="17" spans="1:10" x14ac:dyDescent="0.35">
      <c r="A17">
        <v>2</v>
      </c>
      <c r="B17">
        <v>5</v>
      </c>
      <c r="D17" s="4">
        <v>-0.2</v>
      </c>
      <c r="E17" s="4">
        <v>0</v>
      </c>
      <c r="F17" s="4">
        <v>0.2</v>
      </c>
    </row>
    <row r="18" spans="1:10" x14ac:dyDescent="0.35">
      <c r="A18">
        <v>2</v>
      </c>
      <c r="B18">
        <v>6</v>
      </c>
      <c r="D18" s="4">
        <v>10</v>
      </c>
      <c r="E18" s="4">
        <v>15</v>
      </c>
      <c r="F18" s="4">
        <v>26</v>
      </c>
      <c r="J18" s="29"/>
    </row>
    <row r="19" spans="1:10" x14ac:dyDescent="0.35">
      <c r="A19">
        <v>2</v>
      </c>
      <c r="B19">
        <v>7</v>
      </c>
      <c r="D19" s="4">
        <v>2</v>
      </c>
      <c r="E19" s="4">
        <v>8</v>
      </c>
      <c r="F19" s="4">
        <v>15</v>
      </c>
    </row>
    <row r="20" spans="1:10" x14ac:dyDescent="0.35">
      <c r="A20">
        <v>2</v>
      </c>
      <c r="B20">
        <v>8</v>
      </c>
      <c r="D20" s="4">
        <v>-0.25</v>
      </c>
      <c r="E20" s="4">
        <v>-0.1</v>
      </c>
      <c r="F20" s="4">
        <v>0</v>
      </c>
      <c r="J20" s="14"/>
    </row>
    <row r="21" spans="1:10" x14ac:dyDescent="0.35">
      <c r="A21">
        <v>2</v>
      </c>
      <c r="B21">
        <v>9</v>
      </c>
      <c r="D21" s="4">
        <v>-0.7</v>
      </c>
      <c r="E21" s="4">
        <v>-0.5</v>
      </c>
      <c r="F21" s="4">
        <v>-0.45</v>
      </c>
      <c r="J21" s="14"/>
    </row>
    <row r="22" spans="1:10" x14ac:dyDescent="0.35">
      <c r="A22">
        <v>2</v>
      </c>
      <c r="B22">
        <v>10</v>
      </c>
      <c r="D22" s="4">
        <v>-2</v>
      </c>
      <c r="E22" s="4">
        <v>3</v>
      </c>
      <c r="F22" s="4">
        <v>8</v>
      </c>
    </row>
    <row r="23" spans="1:10" x14ac:dyDescent="0.35">
      <c r="A23">
        <v>2</v>
      </c>
      <c r="B23">
        <v>11</v>
      </c>
      <c r="D23" s="4">
        <v>4</v>
      </c>
      <c r="E23" s="4">
        <v>8</v>
      </c>
      <c r="F23" s="4">
        <v>12</v>
      </c>
    </row>
    <row r="24" spans="1:10" x14ac:dyDescent="0.35">
      <c r="A24">
        <v>3</v>
      </c>
      <c r="B24">
        <v>1</v>
      </c>
      <c r="D24" s="4">
        <v>2</v>
      </c>
      <c r="E24" s="4">
        <v>3</v>
      </c>
      <c r="F24" s="4">
        <v>4</v>
      </c>
    </row>
    <row r="25" spans="1:10" x14ac:dyDescent="0.35">
      <c r="A25">
        <v>3</v>
      </c>
      <c r="B25">
        <v>2</v>
      </c>
      <c r="D25" s="4">
        <v>2.5</v>
      </c>
      <c r="E25" s="4">
        <v>3.5</v>
      </c>
      <c r="F25" s="4">
        <v>4.5</v>
      </c>
    </row>
    <row r="26" spans="1:10" x14ac:dyDescent="0.35">
      <c r="A26">
        <v>3</v>
      </c>
      <c r="B26">
        <v>3</v>
      </c>
      <c r="D26" s="4">
        <v>3</v>
      </c>
      <c r="E26" s="4">
        <v>4.5</v>
      </c>
      <c r="F26" s="4">
        <v>5</v>
      </c>
    </row>
    <row r="27" spans="1:10" x14ac:dyDescent="0.35">
      <c r="A27">
        <v>3</v>
      </c>
      <c r="B27">
        <v>4</v>
      </c>
      <c r="D27" s="4">
        <v>-0.3</v>
      </c>
      <c r="E27" s="4">
        <v>-0.2</v>
      </c>
      <c r="F27" s="4">
        <v>-0.15</v>
      </c>
    </row>
    <row r="28" spans="1:10" x14ac:dyDescent="0.35">
      <c r="A28">
        <v>3</v>
      </c>
      <c r="B28">
        <v>5</v>
      </c>
      <c r="D28" s="4">
        <v>0.1</v>
      </c>
      <c r="E28" s="4">
        <v>0.2</v>
      </c>
      <c r="F28" s="4">
        <v>0.3</v>
      </c>
    </row>
    <row r="29" spans="1:10" x14ac:dyDescent="0.35">
      <c r="A29">
        <v>3</v>
      </c>
      <c r="B29">
        <v>6</v>
      </c>
      <c r="D29" s="4">
        <v>15</v>
      </c>
      <c r="E29" s="4">
        <v>20</v>
      </c>
      <c r="F29" s="4">
        <v>24</v>
      </c>
    </row>
    <row r="30" spans="1:10" x14ac:dyDescent="0.35">
      <c r="A30">
        <v>3</v>
      </c>
      <c r="B30">
        <v>7</v>
      </c>
      <c r="D30" s="4">
        <v>10</v>
      </c>
      <c r="E30" s="4">
        <v>14</v>
      </c>
      <c r="F30" s="4">
        <v>18</v>
      </c>
    </row>
    <row r="31" spans="1:10" x14ac:dyDescent="0.35">
      <c r="A31">
        <v>3</v>
      </c>
      <c r="B31">
        <v>8</v>
      </c>
      <c r="D31" s="4">
        <v>-0.2</v>
      </c>
      <c r="E31" s="4">
        <v>-0.1</v>
      </c>
      <c r="F31" s="4">
        <v>0</v>
      </c>
    </row>
    <row r="32" spans="1:10" x14ac:dyDescent="0.35">
      <c r="A32">
        <v>3</v>
      </c>
      <c r="B32">
        <v>9</v>
      </c>
      <c r="D32" s="4">
        <v>-0.7</v>
      </c>
      <c r="E32" s="4">
        <v>-0.5</v>
      </c>
      <c r="F32" s="4">
        <v>-0.3</v>
      </c>
    </row>
    <row r="33" spans="1:6" x14ac:dyDescent="0.35">
      <c r="A33">
        <v>3</v>
      </c>
      <c r="B33">
        <v>10</v>
      </c>
      <c r="D33" s="4">
        <v>0</v>
      </c>
      <c r="E33" s="4">
        <v>1</v>
      </c>
      <c r="F33" s="4">
        <v>2</v>
      </c>
    </row>
    <row r="34" spans="1:6" x14ac:dyDescent="0.35">
      <c r="A34">
        <v>3</v>
      </c>
      <c r="B34">
        <v>11</v>
      </c>
      <c r="D34" s="4">
        <v>8</v>
      </c>
      <c r="E34" s="4">
        <v>10</v>
      </c>
      <c r="F34" s="4">
        <v>15</v>
      </c>
    </row>
    <row r="35" spans="1:6" x14ac:dyDescent="0.35">
      <c r="A35">
        <v>4</v>
      </c>
      <c r="B35">
        <v>1</v>
      </c>
      <c r="D35" s="4">
        <v>1.8</v>
      </c>
      <c r="E35" s="4">
        <v>2.5</v>
      </c>
      <c r="F35" s="4">
        <v>3.8</v>
      </c>
    </row>
    <row r="36" spans="1:6" x14ac:dyDescent="0.35">
      <c r="A36">
        <v>4</v>
      </c>
      <c r="B36">
        <v>2</v>
      </c>
      <c r="D36" s="4">
        <v>2</v>
      </c>
      <c r="E36" s="4">
        <v>5</v>
      </c>
      <c r="F36" s="4">
        <v>6</v>
      </c>
    </row>
    <row r="37" spans="1:6" x14ac:dyDescent="0.35">
      <c r="A37">
        <v>4</v>
      </c>
      <c r="B37">
        <v>3</v>
      </c>
      <c r="D37" s="4">
        <v>4.8</v>
      </c>
      <c r="E37" s="4">
        <v>6</v>
      </c>
      <c r="F37" s="4">
        <v>6.5</v>
      </c>
    </row>
    <row r="38" spans="1:6" x14ac:dyDescent="0.35">
      <c r="A38">
        <v>4</v>
      </c>
      <c r="B38">
        <v>4</v>
      </c>
      <c r="D38" s="4">
        <v>-0.6</v>
      </c>
      <c r="E38" s="4">
        <v>-0.5</v>
      </c>
      <c r="F38" s="4">
        <v>-0.38</v>
      </c>
    </row>
    <row r="39" spans="1:6" x14ac:dyDescent="0.35">
      <c r="A39">
        <v>4</v>
      </c>
      <c r="B39">
        <v>5</v>
      </c>
      <c r="D39" s="4">
        <v>-0.2</v>
      </c>
      <c r="E39" s="4">
        <v>1</v>
      </c>
      <c r="F39" s="4">
        <v>1.5</v>
      </c>
    </row>
    <row r="40" spans="1:6" x14ac:dyDescent="0.35">
      <c r="A40">
        <v>4</v>
      </c>
      <c r="B40">
        <v>6</v>
      </c>
      <c r="D40" s="4">
        <v>0</v>
      </c>
      <c r="E40" s="4">
        <v>1</v>
      </c>
      <c r="F40" s="4">
        <v>4</v>
      </c>
    </row>
    <row r="41" spans="1:6" x14ac:dyDescent="0.35">
      <c r="A41">
        <v>4</v>
      </c>
      <c r="B41">
        <v>7</v>
      </c>
      <c r="D41" s="4">
        <v>2</v>
      </c>
      <c r="E41" s="4">
        <v>4</v>
      </c>
      <c r="F41" s="4">
        <v>6</v>
      </c>
    </row>
    <row r="42" spans="1:6" x14ac:dyDescent="0.35">
      <c r="A42">
        <v>4</v>
      </c>
      <c r="B42">
        <v>8</v>
      </c>
      <c r="D42" s="4">
        <v>-0.35</v>
      </c>
      <c r="E42" s="4">
        <v>0</v>
      </c>
      <c r="F42" s="4">
        <v>0.35</v>
      </c>
    </row>
    <row r="43" spans="1:6" x14ac:dyDescent="0.35">
      <c r="A43">
        <v>4</v>
      </c>
      <c r="B43">
        <v>9</v>
      </c>
      <c r="D43" s="4">
        <v>-0.1</v>
      </c>
      <c r="E43" s="4">
        <v>0.5</v>
      </c>
      <c r="F43" s="4">
        <v>0.7</v>
      </c>
    </row>
    <row r="44" spans="1:6" x14ac:dyDescent="0.35">
      <c r="A44">
        <v>4</v>
      </c>
      <c r="B44">
        <v>10</v>
      </c>
      <c r="D44" s="4">
        <v>0</v>
      </c>
      <c r="E44" s="4">
        <v>0.5</v>
      </c>
      <c r="F44" s="4">
        <v>2</v>
      </c>
    </row>
    <row r="45" spans="1:6" x14ac:dyDescent="0.35">
      <c r="A45">
        <v>4</v>
      </c>
      <c r="B45">
        <v>11</v>
      </c>
      <c r="D45" s="4">
        <v>5</v>
      </c>
      <c r="E45" s="4">
        <v>10</v>
      </c>
      <c r="F45" s="4">
        <v>14</v>
      </c>
    </row>
    <row r="46" spans="1:6" x14ac:dyDescent="0.35">
      <c r="A46">
        <v>5</v>
      </c>
      <c r="B46">
        <v>1</v>
      </c>
      <c r="D46" s="4">
        <v>2</v>
      </c>
      <c r="E46" s="4">
        <v>5</v>
      </c>
      <c r="F46" s="4">
        <v>7</v>
      </c>
    </row>
    <row r="47" spans="1:6" x14ac:dyDescent="0.35">
      <c r="A47">
        <v>5</v>
      </c>
      <c r="B47">
        <v>2</v>
      </c>
      <c r="D47" s="4">
        <v>4</v>
      </c>
      <c r="E47" s="4">
        <v>7</v>
      </c>
      <c r="F47" s="4">
        <v>9</v>
      </c>
    </row>
    <row r="48" spans="1:6" x14ac:dyDescent="0.35">
      <c r="A48">
        <v>5</v>
      </c>
      <c r="B48">
        <v>3</v>
      </c>
      <c r="D48" s="4">
        <v>6</v>
      </c>
      <c r="E48" s="4">
        <v>9</v>
      </c>
      <c r="F48" s="4">
        <v>11</v>
      </c>
    </row>
    <row r="49" spans="1:6" x14ac:dyDescent="0.35">
      <c r="A49">
        <v>5</v>
      </c>
      <c r="B49">
        <v>4</v>
      </c>
      <c r="D49" s="4">
        <v>-0.4</v>
      </c>
      <c r="E49" s="4">
        <v>-0.2</v>
      </c>
      <c r="F49" s="4">
        <v>-0.1</v>
      </c>
    </row>
    <row r="50" spans="1:6" x14ac:dyDescent="0.35">
      <c r="A50">
        <v>5</v>
      </c>
      <c r="B50">
        <v>5</v>
      </c>
      <c r="D50" s="4">
        <v>-0.6</v>
      </c>
      <c r="E50" s="4">
        <v>-0.4</v>
      </c>
      <c r="F50" s="4">
        <v>-0.2</v>
      </c>
    </row>
    <row r="51" spans="1:6" x14ac:dyDescent="0.35">
      <c r="A51">
        <v>5</v>
      </c>
      <c r="B51">
        <v>6</v>
      </c>
      <c r="D51" s="4">
        <v>14</v>
      </c>
      <c r="E51" s="4">
        <v>22</v>
      </c>
      <c r="F51" s="4">
        <v>26</v>
      </c>
    </row>
    <row r="52" spans="1:6" x14ac:dyDescent="0.35">
      <c r="A52">
        <v>5</v>
      </c>
      <c r="B52">
        <v>7</v>
      </c>
      <c r="D52" s="4">
        <v>11</v>
      </c>
      <c r="E52" s="4">
        <v>19</v>
      </c>
      <c r="F52" s="4">
        <v>23</v>
      </c>
    </row>
    <row r="53" spans="1:6" x14ac:dyDescent="0.35">
      <c r="A53">
        <v>5</v>
      </c>
      <c r="B53">
        <v>8</v>
      </c>
      <c r="D53" s="4">
        <v>-0.1</v>
      </c>
      <c r="E53" s="4">
        <v>-0.05</v>
      </c>
      <c r="F53" s="4">
        <v>0.15</v>
      </c>
    </row>
    <row r="54" spans="1:6" x14ac:dyDescent="0.35">
      <c r="A54">
        <v>5</v>
      </c>
      <c r="B54">
        <v>9</v>
      </c>
      <c r="D54" s="4">
        <v>-0.85</v>
      </c>
      <c r="E54" s="4">
        <v>-0.7</v>
      </c>
      <c r="F54" s="4">
        <v>-0.5</v>
      </c>
    </row>
    <row r="55" spans="1:6" x14ac:dyDescent="0.35">
      <c r="A55">
        <v>5</v>
      </c>
      <c r="B55">
        <v>10</v>
      </c>
      <c r="D55" s="4">
        <v>0.5</v>
      </c>
      <c r="E55" s="4">
        <v>1</v>
      </c>
      <c r="F55" s="4">
        <v>1.5</v>
      </c>
    </row>
    <row r="56" spans="1:6" x14ac:dyDescent="0.35">
      <c r="A56">
        <v>5</v>
      </c>
      <c r="B56">
        <v>11</v>
      </c>
      <c r="D56" s="4">
        <v>1</v>
      </c>
      <c r="E56" s="4">
        <v>5</v>
      </c>
      <c r="F56" s="4">
        <v>7</v>
      </c>
    </row>
    <row r="57" spans="1:6" x14ac:dyDescent="0.35">
      <c r="A57">
        <v>6</v>
      </c>
      <c r="B57">
        <v>1</v>
      </c>
      <c r="D57" s="4">
        <v>2</v>
      </c>
      <c r="E57" s="4">
        <v>4.0999999999999996</v>
      </c>
      <c r="F57" s="4">
        <v>8</v>
      </c>
    </row>
    <row r="58" spans="1:6" x14ac:dyDescent="0.35">
      <c r="A58">
        <v>6</v>
      </c>
      <c r="B58">
        <v>2</v>
      </c>
      <c r="D58" s="4">
        <v>3</v>
      </c>
      <c r="E58" s="4">
        <v>6</v>
      </c>
      <c r="F58" s="4">
        <v>20</v>
      </c>
    </row>
    <row r="59" spans="1:6" x14ac:dyDescent="0.35">
      <c r="A59">
        <v>6</v>
      </c>
      <c r="B59">
        <v>3</v>
      </c>
      <c r="D59" s="4">
        <v>3</v>
      </c>
      <c r="E59" s="4">
        <v>6</v>
      </c>
      <c r="F59" s="4">
        <v>20</v>
      </c>
    </row>
    <row r="60" spans="1:6" x14ac:dyDescent="0.35">
      <c r="A60">
        <v>6</v>
      </c>
      <c r="B60">
        <v>4</v>
      </c>
      <c r="D60" s="4">
        <v>-0.7</v>
      </c>
      <c r="E60" s="4">
        <v>-0.4</v>
      </c>
      <c r="F60" s="4">
        <v>-0.2</v>
      </c>
    </row>
    <row r="61" spans="1:6" x14ac:dyDescent="0.35">
      <c r="A61">
        <v>6</v>
      </c>
      <c r="B61">
        <v>5</v>
      </c>
      <c r="D61" s="4">
        <v>-0.5</v>
      </c>
      <c r="E61" s="4">
        <v>-0.33</v>
      </c>
      <c r="F61" s="4">
        <v>0</v>
      </c>
    </row>
    <row r="62" spans="1:6" x14ac:dyDescent="0.35">
      <c r="A62">
        <v>6</v>
      </c>
      <c r="B62">
        <v>6</v>
      </c>
      <c r="D62" s="4">
        <v>5</v>
      </c>
      <c r="E62" s="4">
        <v>22</v>
      </c>
      <c r="F62" s="4">
        <v>27</v>
      </c>
    </row>
    <row r="63" spans="1:6" x14ac:dyDescent="0.35">
      <c r="A63">
        <v>6</v>
      </c>
      <c r="B63">
        <v>7</v>
      </c>
      <c r="D63" s="4">
        <v>5</v>
      </c>
      <c r="E63" s="4">
        <v>22</v>
      </c>
      <c r="F63" s="4">
        <v>27</v>
      </c>
    </row>
    <row r="64" spans="1:6" x14ac:dyDescent="0.35">
      <c r="A64">
        <v>6</v>
      </c>
      <c r="B64">
        <v>8</v>
      </c>
      <c r="D64" s="4">
        <v>-0.4</v>
      </c>
      <c r="E64" s="4">
        <v>-0.2</v>
      </c>
      <c r="F64" s="4">
        <v>0</v>
      </c>
    </row>
    <row r="65" spans="1:6" x14ac:dyDescent="0.35">
      <c r="A65">
        <v>6</v>
      </c>
      <c r="B65">
        <v>9</v>
      </c>
      <c r="D65" s="4">
        <v>-0.4</v>
      </c>
      <c r="E65" s="4">
        <v>-0.2</v>
      </c>
      <c r="F65" s="4">
        <v>0</v>
      </c>
    </row>
    <row r="66" spans="1:6" x14ac:dyDescent="0.35">
      <c r="A66">
        <v>6</v>
      </c>
      <c r="B66">
        <v>10</v>
      </c>
      <c r="D66" s="4">
        <v>-10</v>
      </c>
      <c r="E66" s="4">
        <v>4.59</v>
      </c>
      <c r="F66" s="4">
        <v>40</v>
      </c>
    </row>
    <row r="67" spans="1:6" x14ac:dyDescent="0.35">
      <c r="A67">
        <v>6</v>
      </c>
      <c r="B67">
        <v>11</v>
      </c>
      <c r="D67" s="4">
        <v>0</v>
      </c>
      <c r="E67" s="4">
        <v>4.59</v>
      </c>
      <c r="F67" s="4">
        <v>25</v>
      </c>
    </row>
    <row r="68" spans="1:6" x14ac:dyDescent="0.35">
      <c r="A68">
        <v>7</v>
      </c>
      <c r="B68">
        <v>1</v>
      </c>
      <c r="D68" s="4">
        <v>2</v>
      </c>
      <c r="E68" s="4">
        <v>4</v>
      </c>
      <c r="F68" s="4">
        <v>6.2</v>
      </c>
    </row>
    <row r="69" spans="1:6" x14ac:dyDescent="0.35">
      <c r="A69">
        <v>7</v>
      </c>
      <c r="B69">
        <v>2</v>
      </c>
      <c r="D69" s="4">
        <v>0.5</v>
      </c>
      <c r="E69" s="4">
        <v>5</v>
      </c>
      <c r="F69" s="4">
        <v>10</v>
      </c>
    </row>
    <row r="70" spans="1:6" x14ac:dyDescent="0.35">
      <c r="A70">
        <v>7</v>
      </c>
      <c r="B70">
        <v>3</v>
      </c>
      <c r="D70" s="4">
        <v>0.5</v>
      </c>
      <c r="E70" s="4">
        <v>5.5</v>
      </c>
      <c r="F70" s="4">
        <v>12</v>
      </c>
    </row>
    <row r="71" spans="1:6" x14ac:dyDescent="0.35">
      <c r="A71">
        <v>7</v>
      </c>
      <c r="B71">
        <v>4</v>
      </c>
      <c r="D71" s="4">
        <v>-0.75</v>
      </c>
      <c r="E71" s="4">
        <v>-0.5</v>
      </c>
      <c r="F71" s="4">
        <v>0</v>
      </c>
    </row>
    <row r="72" spans="1:6" x14ac:dyDescent="0.35">
      <c r="A72">
        <v>7</v>
      </c>
      <c r="B72">
        <v>5</v>
      </c>
      <c r="D72" s="4">
        <v>-0.1</v>
      </c>
      <c r="E72" s="4">
        <v>0.2</v>
      </c>
      <c r="F72" s="4">
        <v>0.4</v>
      </c>
    </row>
    <row r="73" spans="1:6" x14ac:dyDescent="0.35">
      <c r="A73">
        <v>7</v>
      </c>
      <c r="B73">
        <v>6</v>
      </c>
      <c r="D73" s="4">
        <v>20</v>
      </c>
      <c r="E73" s="4">
        <v>25</v>
      </c>
      <c r="F73" s="4">
        <v>28</v>
      </c>
    </row>
    <row r="74" spans="1:6" x14ac:dyDescent="0.35">
      <c r="A74">
        <v>7</v>
      </c>
      <c r="B74">
        <v>7</v>
      </c>
      <c r="D74" s="4">
        <v>18</v>
      </c>
      <c r="E74" s="4">
        <v>25</v>
      </c>
      <c r="F74" s="4">
        <v>28</v>
      </c>
    </row>
    <row r="75" spans="1:6" x14ac:dyDescent="0.35">
      <c r="A75">
        <v>7</v>
      </c>
      <c r="B75">
        <v>8</v>
      </c>
      <c r="D75" s="4">
        <v>-0.35</v>
      </c>
      <c r="E75" s="4">
        <v>-0.1</v>
      </c>
      <c r="F75" s="4">
        <v>0.1</v>
      </c>
    </row>
    <row r="76" spans="1:6" x14ac:dyDescent="0.35">
      <c r="A76">
        <v>7</v>
      </c>
      <c r="B76">
        <v>9</v>
      </c>
      <c r="D76" s="4">
        <v>-0.4</v>
      </c>
      <c r="E76" s="4">
        <v>-0.1</v>
      </c>
      <c r="F76" s="4">
        <v>0.2</v>
      </c>
    </row>
    <row r="77" spans="1:6" x14ac:dyDescent="0.35">
      <c r="A77">
        <v>7</v>
      </c>
      <c r="B77">
        <v>10</v>
      </c>
      <c r="D77" s="4">
        <v>0.1</v>
      </c>
      <c r="E77" s="4">
        <v>1</v>
      </c>
      <c r="F77" s="4">
        <v>10</v>
      </c>
    </row>
    <row r="78" spans="1:6" x14ac:dyDescent="0.35">
      <c r="A78">
        <v>7</v>
      </c>
      <c r="B78">
        <v>11</v>
      </c>
      <c r="D78" s="4">
        <v>5</v>
      </c>
      <c r="E78" s="4">
        <v>25</v>
      </c>
      <c r="F78" s="4">
        <v>50</v>
      </c>
    </row>
    <row r="79" spans="1:6" x14ac:dyDescent="0.35">
      <c r="A79">
        <v>8</v>
      </c>
      <c r="B79">
        <v>1</v>
      </c>
      <c r="D79" s="4">
        <v>3</v>
      </c>
      <c r="E79" s="4">
        <v>5</v>
      </c>
      <c r="F79" s="4">
        <v>9</v>
      </c>
    </row>
    <row r="80" spans="1:6" x14ac:dyDescent="0.35">
      <c r="A80">
        <v>8</v>
      </c>
      <c r="B80">
        <v>2</v>
      </c>
      <c r="D80" s="4">
        <v>2</v>
      </c>
      <c r="E80" s="4">
        <v>4</v>
      </c>
      <c r="F80" s="4">
        <v>10</v>
      </c>
    </row>
    <row r="81" spans="1:6" x14ac:dyDescent="0.35">
      <c r="A81">
        <v>8</v>
      </c>
      <c r="B81">
        <v>3</v>
      </c>
      <c r="D81" s="4">
        <v>3</v>
      </c>
      <c r="E81" s="4">
        <v>5</v>
      </c>
      <c r="F81" s="4">
        <v>10</v>
      </c>
    </row>
    <row r="82" spans="1:6" x14ac:dyDescent="0.35">
      <c r="A82">
        <v>8</v>
      </c>
      <c r="B82">
        <v>4</v>
      </c>
      <c r="D82" s="4">
        <v>-0.6</v>
      </c>
      <c r="E82" s="4">
        <v>-0.4</v>
      </c>
      <c r="F82" s="4">
        <v>-0.2</v>
      </c>
    </row>
    <row r="83" spans="1:6" x14ac:dyDescent="0.35">
      <c r="A83">
        <v>8</v>
      </c>
      <c r="B83">
        <v>5</v>
      </c>
      <c r="D83" s="4">
        <v>-0.3</v>
      </c>
      <c r="E83" s="4">
        <v>0</v>
      </c>
      <c r="F83" s="4">
        <v>0.3</v>
      </c>
    </row>
    <row r="84" spans="1:6" x14ac:dyDescent="0.35">
      <c r="A84">
        <v>8</v>
      </c>
      <c r="B84">
        <v>6</v>
      </c>
      <c r="D84" s="4">
        <v>6</v>
      </c>
      <c r="E84" s="4">
        <v>14</v>
      </c>
      <c r="F84" s="4">
        <v>22</v>
      </c>
    </row>
    <row r="85" spans="1:6" x14ac:dyDescent="0.35">
      <c r="A85">
        <v>8</v>
      </c>
      <c r="B85">
        <v>7</v>
      </c>
      <c r="D85" s="4">
        <v>4</v>
      </c>
      <c r="E85" s="4">
        <v>14</v>
      </c>
      <c r="F85" s="4">
        <v>24</v>
      </c>
    </row>
    <row r="86" spans="1:6" x14ac:dyDescent="0.35">
      <c r="A86">
        <v>8</v>
      </c>
      <c r="B86">
        <v>8</v>
      </c>
      <c r="D86" s="4">
        <v>-0.35</v>
      </c>
      <c r="E86" s="4">
        <v>-0.1</v>
      </c>
      <c r="F86" s="4">
        <v>0.1</v>
      </c>
    </row>
    <row r="87" spans="1:6" x14ac:dyDescent="0.35">
      <c r="A87">
        <v>8</v>
      </c>
      <c r="B87">
        <v>9</v>
      </c>
      <c r="D87" s="4">
        <v>-0.9</v>
      </c>
      <c r="E87" s="4">
        <v>-0.5</v>
      </c>
      <c r="F87" s="4">
        <v>-0.2</v>
      </c>
    </row>
    <row r="88" spans="1:6" x14ac:dyDescent="0.35">
      <c r="A88">
        <v>8</v>
      </c>
      <c r="B88">
        <v>10</v>
      </c>
      <c r="D88" s="4">
        <v>-2</v>
      </c>
      <c r="E88" s="4">
        <v>3</v>
      </c>
      <c r="F88" s="4">
        <v>9</v>
      </c>
    </row>
    <row r="89" spans="1:6" x14ac:dyDescent="0.35">
      <c r="A89">
        <v>8</v>
      </c>
      <c r="B89">
        <v>11</v>
      </c>
      <c r="D89" s="4">
        <v>5</v>
      </c>
      <c r="E89" s="4">
        <v>15</v>
      </c>
      <c r="F89" s="4">
        <v>30</v>
      </c>
    </row>
    <row r="90" spans="1:6" x14ac:dyDescent="0.35">
      <c r="A90">
        <v>9</v>
      </c>
      <c r="B90">
        <v>1</v>
      </c>
      <c r="D90" s="4">
        <v>1</v>
      </c>
      <c r="E90" s="4">
        <v>3.5</v>
      </c>
      <c r="F90" s="4">
        <v>5</v>
      </c>
    </row>
    <row r="91" spans="1:6" x14ac:dyDescent="0.35">
      <c r="A91">
        <v>9</v>
      </c>
      <c r="B91">
        <v>2</v>
      </c>
      <c r="D91" s="4">
        <v>1</v>
      </c>
      <c r="E91" s="4">
        <v>5</v>
      </c>
      <c r="F91" s="4">
        <v>7</v>
      </c>
    </row>
    <row r="92" spans="1:6" x14ac:dyDescent="0.35">
      <c r="A92">
        <v>9</v>
      </c>
      <c r="B92">
        <v>3</v>
      </c>
      <c r="D92" s="4">
        <v>1.5</v>
      </c>
      <c r="E92" s="4">
        <v>4.8</v>
      </c>
      <c r="F92" s="4">
        <v>7</v>
      </c>
    </row>
    <row r="93" spans="1:6" x14ac:dyDescent="0.35">
      <c r="A93">
        <v>9</v>
      </c>
      <c r="B93">
        <v>4</v>
      </c>
      <c r="D93" s="4">
        <v>-0.8</v>
      </c>
      <c r="E93" s="4">
        <v>-0.5</v>
      </c>
      <c r="F93" s="4">
        <v>-0.25</v>
      </c>
    </row>
    <row r="94" spans="1:6" x14ac:dyDescent="0.35">
      <c r="A94">
        <v>9</v>
      </c>
      <c r="B94">
        <v>5</v>
      </c>
      <c r="D94" s="4">
        <v>-0.3</v>
      </c>
      <c r="E94" s="4">
        <v>-0.15</v>
      </c>
      <c r="F94" s="4">
        <v>0.1</v>
      </c>
    </row>
    <row r="95" spans="1:6" x14ac:dyDescent="0.35">
      <c r="A95">
        <v>9</v>
      </c>
      <c r="B95">
        <v>6</v>
      </c>
      <c r="D95" s="4">
        <v>5</v>
      </c>
      <c r="E95" s="4">
        <v>18</v>
      </c>
      <c r="F95" s="4">
        <v>25</v>
      </c>
    </row>
    <row r="96" spans="1:6" x14ac:dyDescent="0.35">
      <c r="A96">
        <v>9</v>
      </c>
      <c r="B96">
        <v>7</v>
      </c>
      <c r="D96" s="4">
        <v>5</v>
      </c>
      <c r="E96" s="4">
        <v>12</v>
      </c>
      <c r="F96" s="4">
        <v>25</v>
      </c>
    </row>
    <row r="97" spans="1:6" x14ac:dyDescent="0.35">
      <c r="A97">
        <v>9</v>
      </c>
      <c r="B97">
        <v>8</v>
      </c>
      <c r="D97" s="4">
        <v>-0.2</v>
      </c>
      <c r="E97" s="4">
        <v>-0.05</v>
      </c>
      <c r="F97" s="4">
        <v>0.1</v>
      </c>
    </row>
    <row r="98" spans="1:6" x14ac:dyDescent="0.35">
      <c r="A98">
        <v>9</v>
      </c>
      <c r="B98">
        <v>9</v>
      </c>
      <c r="D98" s="4">
        <v>-0.4</v>
      </c>
      <c r="E98" s="4">
        <v>-0.25</v>
      </c>
      <c r="F98" s="4">
        <v>-0.05</v>
      </c>
    </row>
    <row r="99" spans="1:6" x14ac:dyDescent="0.35">
      <c r="A99">
        <v>9</v>
      </c>
      <c r="B99">
        <v>10</v>
      </c>
      <c r="D99" s="4">
        <v>4</v>
      </c>
      <c r="E99" s="4">
        <v>10</v>
      </c>
      <c r="F99" s="4">
        <v>20</v>
      </c>
    </row>
    <row r="100" spans="1:6" x14ac:dyDescent="0.35">
      <c r="A100">
        <v>9</v>
      </c>
      <c r="B100">
        <v>11</v>
      </c>
      <c r="D100" s="4">
        <v>2</v>
      </c>
      <c r="E100" s="4">
        <v>5</v>
      </c>
      <c r="F100" s="4">
        <v>20</v>
      </c>
    </row>
    <row r="101" spans="1:6" x14ac:dyDescent="0.35">
      <c r="A101">
        <v>10</v>
      </c>
      <c r="B101">
        <v>1</v>
      </c>
      <c r="D101" s="4">
        <v>1</v>
      </c>
      <c r="E101" s="4">
        <v>3</v>
      </c>
      <c r="F101" s="4">
        <v>6</v>
      </c>
    </row>
    <row r="102" spans="1:6" x14ac:dyDescent="0.35">
      <c r="A102">
        <v>10</v>
      </c>
      <c r="B102">
        <v>2</v>
      </c>
      <c r="D102" s="4">
        <v>1</v>
      </c>
      <c r="E102" s="4">
        <v>6</v>
      </c>
      <c r="F102" s="4">
        <v>10</v>
      </c>
    </row>
    <row r="103" spans="1:6" x14ac:dyDescent="0.35">
      <c r="A103">
        <v>10</v>
      </c>
      <c r="B103">
        <v>3</v>
      </c>
      <c r="D103" s="4">
        <v>1</v>
      </c>
      <c r="E103" s="4">
        <v>2</v>
      </c>
      <c r="F103" s="4">
        <v>8</v>
      </c>
    </row>
    <row r="104" spans="1:6" x14ac:dyDescent="0.35">
      <c r="A104">
        <v>10</v>
      </c>
      <c r="B104">
        <v>4</v>
      </c>
      <c r="D104" s="4">
        <v>-0.6</v>
      </c>
      <c r="E104" s="4">
        <v>-0.4</v>
      </c>
      <c r="F104" s="4">
        <v>-0.2</v>
      </c>
    </row>
    <row r="105" spans="1:6" x14ac:dyDescent="0.35">
      <c r="A105">
        <v>10</v>
      </c>
      <c r="B105">
        <v>5</v>
      </c>
      <c r="D105" s="4">
        <v>-0.66</v>
      </c>
      <c r="E105" s="4">
        <v>-0.33</v>
      </c>
      <c r="F105" s="4">
        <v>-0.1</v>
      </c>
    </row>
    <row r="106" spans="1:6" x14ac:dyDescent="0.35">
      <c r="A106">
        <v>10</v>
      </c>
      <c r="B106">
        <v>6</v>
      </c>
      <c r="D106" s="4">
        <v>14</v>
      </c>
      <c r="E106" s="4">
        <v>22</v>
      </c>
      <c r="F106" s="4">
        <v>28</v>
      </c>
    </row>
    <row r="107" spans="1:6" x14ac:dyDescent="0.35">
      <c r="A107">
        <v>10</v>
      </c>
      <c r="B107">
        <v>7</v>
      </c>
      <c r="D107" s="4">
        <v>10</v>
      </c>
      <c r="E107" s="4">
        <v>20</v>
      </c>
      <c r="F107" s="4">
        <v>28</v>
      </c>
    </row>
    <row r="108" spans="1:6" x14ac:dyDescent="0.35">
      <c r="A108">
        <v>10</v>
      </c>
      <c r="B108">
        <v>8</v>
      </c>
      <c r="D108" s="4">
        <v>-0.6</v>
      </c>
      <c r="E108" s="4">
        <v>-0.25</v>
      </c>
      <c r="F108" s="4">
        <v>-0.05</v>
      </c>
    </row>
    <row r="109" spans="1:6" x14ac:dyDescent="0.35">
      <c r="A109">
        <v>10</v>
      </c>
      <c r="B109">
        <v>9</v>
      </c>
      <c r="D109" s="4">
        <v>-0.8</v>
      </c>
      <c r="E109" s="4">
        <v>-0.5</v>
      </c>
      <c r="F109" s="4">
        <v>-0.2</v>
      </c>
    </row>
    <row r="110" spans="1:6" x14ac:dyDescent="0.35">
      <c r="A110">
        <v>10</v>
      </c>
      <c r="B110">
        <v>10</v>
      </c>
      <c r="D110" s="4">
        <v>-30</v>
      </c>
      <c r="E110" s="4">
        <v>0</v>
      </c>
      <c r="F110" s="4">
        <v>30</v>
      </c>
    </row>
    <row r="111" spans="1:6" x14ac:dyDescent="0.35">
      <c r="A111">
        <v>10</v>
      </c>
      <c r="B111">
        <v>11</v>
      </c>
      <c r="D111" s="4">
        <v>3</v>
      </c>
      <c r="E111" s="4">
        <v>10</v>
      </c>
      <c r="F111" s="4">
        <v>25</v>
      </c>
    </row>
  </sheetData>
  <mergeCells count="5">
    <mergeCell ref="K9:N9"/>
    <mergeCell ref="O9:R9"/>
    <mergeCell ref="I9:J10"/>
    <mergeCell ref="I11:I12"/>
    <mergeCell ref="I13:I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728D4-C392-437A-B6F3-D87AB07B8590}">
  <sheetPr codeName="Sheet181"/>
  <dimension ref="A1:I1041"/>
  <sheetViews>
    <sheetView workbookViewId="0">
      <selection activeCell="M16" sqref="M16"/>
    </sheetView>
  </sheetViews>
  <sheetFormatPr defaultRowHeight="14.5" x14ac:dyDescent="0.35"/>
  <cols>
    <col min="4" max="4" width="11.54296875" customWidth="1"/>
    <col min="5" max="6" width="12.1796875" customWidth="1"/>
    <col min="8" max="9" width="13.54296875" customWidth="1"/>
  </cols>
  <sheetData>
    <row r="1" spans="1:9" x14ac:dyDescent="0.35">
      <c r="A1" t="s">
        <v>1057</v>
      </c>
    </row>
    <row r="2" spans="1:9" x14ac:dyDescent="0.35">
      <c r="A2">
        <v>1</v>
      </c>
      <c r="B2">
        <v>1</v>
      </c>
      <c r="C2" t="s">
        <v>318</v>
      </c>
      <c r="D2" s="4">
        <v>5500</v>
      </c>
      <c r="E2" s="4">
        <v>5800</v>
      </c>
      <c r="F2" s="4">
        <v>6500</v>
      </c>
      <c r="G2" s="4"/>
      <c r="H2" s="4">
        <v>5911</v>
      </c>
      <c r="I2" t="s">
        <v>876</v>
      </c>
    </row>
    <row r="3" spans="1:9" x14ac:dyDescent="0.35">
      <c r="A3">
        <v>1</v>
      </c>
      <c r="B3">
        <v>2</v>
      </c>
      <c r="C3" t="s">
        <v>319</v>
      </c>
      <c r="D3" s="4">
        <v>1000000</v>
      </c>
      <c r="E3" s="4">
        <v>2000000</v>
      </c>
      <c r="F3" s="4">
        <v>3000000</v>
      </c>
      <c r="G3" s="4"/>
      <c r="H3" s="4">
        <v>2064780</v>
      </c>
      <c r="I3" t="s">
        <v>876</v>
      </c>
    </row>
    <row r="4" spans="1:9" x14ac:dyDescent="0.35">
      <c r="A4">
        <v>1</v>
      </c>
      <c r="B4">
        <v>3</v>
      </c>
      <c r="C4" t="s">
        <v>320</v>
      </c>
      <c r="D4" s="4">
        <v>10</v>
      </c>
      <c r="E4" s="4">
        <v>50</v>
      </c>
      <c r="F4" s="4">
        <v>70</v>
      </c>
      <c r="G4" s="4"/>
      <c r="H4" s="4">
        <v>25</v>
      </c>
      <c r="I4" t="s">
        <v>876</v>
      </c>
    </row>
    <row r="5" spans="1:9" x14ac:dyDescent="0.35">
      <c r="A5">
        <v>1</v>
      </c>
      <c r="B5">
        <v>4</v>
      </c>
      <c r="C5" t="s">
        <v>321</v>
      </c>
      <c r="D5" s="4">
        <v>100</v>
      </c>
      <c r="E5" s="4">
        <v>1200</v>
      </c>
      <c r="F5" s="4">
        <v>4000</v>
      </c>
      <c r="G5" s="4"/>
      <c r="H5" s="4">
        <v>837</v>
      </c>
      <c r="I5" t="s">
        <v>1017</v>
      </c>
    </row>
    <row r="6" spans="1:9" x14ac:dyDescent="0.35">
      <c r="A6">
        <v>1</v>
      </c>
      <c r="B6">
        <v>5</v>
      </c>
      <c r="C6" t="s">
        <v>322</v>
      </c>
      <c r="D6" s="4">
        <v>5</v>
      </c>
      <c r="E6" s="4">
        <v>20</v>
      </c>
      <c r="F6" s="4">
        <v>50</v>
      </c>
      <c r="G6" s="4"/>
      <c r="H6" s="4">
        <v>27.51</v>
      </c>
      <c r="I6" t="s">
        <v>876</v>
      </c>
    </row>
    <row r="7" spans="1:9" x14ac:dyDescent="0.35">
      <c r="A7">
        <v>1</v>
      </c>
      <c r="B7">
        <v>6</v>
      </c>
      <c r="C7" t="s">
        <v>323</v>
      </c>
      <c r="D7" s="4">
        <v>10</v>
      </c>
      <c r="E7" s="4">
        <v>100</v>
      </c>
      <c r="F7" s="4">
        <v>1000</v>
      </c>
      <c r="G7" s="4"/>
      <c r="H7" s="4">
        <v>12</v>
      </c>
      <c r="I7" t="s">
        <v>1017</v>
      </c>
    </row>
    <row r="8" spans="1:9" x14ac:dyDescent="0.35">
      <c r="A8">
        <v>1</v>
      </c>
      <c r="B8">
        <v>7</v>
      </c>
      <c r="C8" t="s">
        <v>324</v>
      </c>
      <c r="D8" s="4">
        <v>45</v>
      </c>
      <c r="E8" s="4">
        <v>90</v>
      </c>
      <c r="F8" s="4">
        <v>135</v>
      </c>
      <c r="G8" s="4"/>
      <c r="H8" s="4">
        <v>268</v>
      </c>
      <c r="I8" t="s">
        <v>876</v>
      </c>
    </row>
    <row r="9" spans="1:9" x14ac:dyDescent="0.35">
      <c r="A9">
        <v>1</v>
      </c>
      <c r="B9">
        <v>8</v>
      </c>
      <c r="C9" t="s">
        <v>325</v>
      </c>
      <c r="D9" s="4">
        <v>20</v>
      </c>
      <c r="E9" s="4">
        <v>50</v>
      </c>
      <c r="F9" s="4">
        <v>80</v>
      </c>
      <c r="G9" s="4"/>
      <c r="H9" s="4">
        <v>40</v>
      </c>
      <c r="I9" t="s">
        <v>876</v>
      </c>
    </row>
    <row r="10" spans="1:9" x14ac:dyDescent="0.35">
      <c r="A10">
        <v>1</v>
      </c>
      <c r="B10">
        <v>9</v>
      </c>
      <c r="C10" t="s">
        <v>326</v>
      </c>
      <c r="D10" s="4">
        <v>50</v>
      </c>
      <c r="E10" s="4">
        <v>60</v>
      </c>
      <c r="F10" s="4">
        <v>80</v>
      </c>
      <c r="G10" s="4"/>
      <c r="H10" s="4">
        <v>58.19</v>
      </c>
      <c r="I10" t="s">
        <v>876</v>
      </c>
    </row>
    <row r="11" spans="1:9" x14ac:dyDescent="0.35">
      <c r="A11">
        <v>1</v>
      </c>
      <c r="B11">
        <v>10</v>
      </c>
      <c r="C11" t="s">
        <v>327</v>
      </c>
      <c r="D11" s="4">
        <v>10000</v>
      </c>
      <c r="E11" s="4">
        <v>100000</v>
      </c>
      <c r="F11" s="4">
        <v>1000000</v>
      </c>
      <c r="G11" s="4"/>
      <c r="H11" s="4">
        <v>36000000</v>
      </c>
      <c r="I11" t="s">
        <v>1017</v>
      </c>
    </row>
    <row r="12" spans="1:9" x14ac:dyDescent="0.35">
      <c r="A12">
        <v>1</v>
      </c>
      <c r="B12">
        <v>11</v>
      </c>
      <c r="C12" t="s">
        <v>328</v>
      </c>
      <c r="D12" s="4">
        <v>4</v>
      </c>
      <c r="E12" s="4">
        <v>8</v>
      </c>
      <c r="F12" s="4">
        <v>12</v>
      </c>
      <c r="G12" s="4"/>
      <c r="H12" s="4">
        <v>5.69</v>
      </c>
      <c r="I12" t="s">
        <v>876</v>
      </c>
    </row>
    <row r="13" spans="1:9" x14ac:dyDescent="0.35">
      <c r="A13">
        <v>1</v>
      </c>
      <c r="B13">
        <v>12</v>
      </c>
      <c r="C13" t="s">
        <v>329</v>
      </c>
      <c r="D13" s="4">
        <v>1000</v>
      </c>
      <c r="E13" s="4">
        <v>5000</v>
      </c>
      <c r="F13" s="4">
        <v>10000</v>
      </c>
      <c r="G13" s="4"/>
      <c r="H13" s="4">
        <v>2980</v>
      </c>
      <c r="I13" t="s">
        <v>876</v>
      </c>
    </row>
    <row r="14" spans="1:9" x14ac:dyDescent="0.35">
      <c r="A14">
        <v>1</v>
      </c>
      <c r="B14">
        <v>13</v>
      </c>
      <c r="C14" t="s">
        <v>330</v>
      </c>
      <c r="D14" s="4">
        <v>30</v>
      </c>
      <c r="E14" s="4">
        <v>70</v>
      </c>
      <c r="F14" s="4">
        <v>90</v>
      </c>
      <c r="G14" s="4"/>
      <c r="H14" s="4">
        <v>51</v>
      </c>
      <c r="I14" t="s">
        <v>876</v>
      </c>
    </row>
    <row r="15" spans="1:9" x14ac:dyDescent="0.35">
      <c r="A15">
        <v>1</v>
      </c>
      <c r="B15">
        <v>14</v>
      </c>
      <c r="C15" t="s">
        <v>1018</v>
      </c>
      <c r="D15" s="4">
        <v>5</v>
      </c>
      <c r="E15" s="4">
        <v>10</v>
      </c>
      <c r="F15" s="4">
        <v>20</v>
      </c>
      <c r="G15" s="4"/>
      <c r="H15" s="4"/>
    </row>
    <row r="16" spans="1:9" x14ac:dyDescent="0.35">
      <c r="A16">
        <v>1</v>
      </c>
      <c r="B16">
        <v>15</v>
      </c>
      <c r="C16" t="s">
        <v>1019</v>
      </c>
      <c r="D16" s="4">
        <v>75</v>
      </c>
      <c r="E16" s="4">
        <v>90</v>
      </c>
      <c r="F16" s="4">
        <v>98</v>
      </c>
      <c r="G16" s="4"/>
      <c r="H16" s="4"/>
    </row>
    <row r="17" spans="1:9" x14ac:dyDescent="0.35">
      <c r="A17">
        <v>1</v>
      </c>
      <c r="B17">
        <v>16</v>
      </c>
      <c r="C17" t="s">
        <v>1020</v>
      </c>
      <c r="D17" s="4">
        <v>5</v>
      </c>
      <c r="E17" s="4">
        <v>20</v>
      </c>
      <c r="F17" s="4">
        <v>40</v>
      </c>
      <c r="G17" s="4"/>
      <c r="H17" s="4"/>
    </row>
    <row r="18" spans="1:9" x14ac:dyDescent="0.35">
      <c r="A18">
        <v>1</v>
      </c>
      <c r="B18">
        <v>17</v>
      </c>
      <c r="C18" t="s">
        <v>1021</v>
      </c>
      <c r="D18" s="4">
        <v>50</v>
      </c>
      <c r="E18" s="4">
        <v>70</v>
      </c>
      <c r="F18" s="4">
        <v>95</v>
      </c>
      <c r="G18" s="4"/>
      <c r="H18" s="4"/>
      <c r="I18" s="4"/>
    </row>
    <row r="19" spans="1:9" x14ac:dyDescent="0.35">
      <c r="A19">
        <v>1</v>
      </c>
      <c r="B19">
        <v>18</v>
      </c>
      <c r="C19" t="s">
        <v>1022</v>
      </c>
      <c r="D19" s="4">
        <v>2</v>
      </c>
      <c r="E19" s="4">
        <v>10</v>
      </c>
      <c r="F19" s="4">
        <v>20</v>
      </c>
      <c r="G19" s="4"/>
      <c r="H19" s="4"/>
    </row>
    <row r="20" spans="1:9" x14ac:dyDescent="0.35">
      <c r="A20">
        <v>1</v>
      </c>
      <c r="B20">
        <v>19</v>
      </c>
      <c r="C20" t="s">
        <v>1023</v>
      </c>
      <c r="D20" s="4">
        <v>5</v>
      </c>
      <c r="E20" s="4">
        <v>15</v>
      </c>
      <c r="F20" s="4">
        <v>25</v>
      </c>
      <c r="G20" s="4"/>
      <c r="H20" s="4"/>
    </row>
    <row r="21" spans="1:9" x14ac:dyDescent="0.35">
      <c r="A21">
        <v>1</v>
      </c>
      <c r="B21">
        <v>20</v>
      </c>
      <c r="C21" t="s">
        <v>1024</v>
      </c>
      <c r="D21" s="4">
        <v>50</v>
      </c>
      <c r="E21" s="4">
        <v>60</v>
      </c>
      <c r="F21" s="4">
        <v>80</v>
      </c>
      <c r="G21" s="4"/>
      <c r="H21" s="4"/>
    </row>
    <row r="22" spans="1:9" x14ac:dyDescent="0.35">
      <c r="A22">
        <v>1</v>
      </c>
      <c r="B22">
        <v>21</v>
      </c>
      <c r="C22" t="s">
        <v>1025</v>
      </c>
      <c r="D22" s="4">
        <v>3</v>
      </c>
      <c r="E22" s="4">
        <v>10</v>
      </c>
      <c r="F22" s="4">
        <v>25</v>
      </c>
      <c r="G22" s="4"/>
      <c r="H22" s="4"/>
    </row>
    <row r="23" spans="1:9" x14ac:dyDescent="0.35">
      <c r="A23">
        <v>1</v>
      </c>
      <c r="B23">
        <v>22</v>
      </c>
      <c r="C23" t="s">
        <v>1026</v>
      </c>
      <c r="D23" s="4">
        <v>3</v>
      </c>
      <c r="E23" s="4">
        <v>10</v>
      </c>
      <c r="F23" s="4">
        <v>20</v>
      </c>
      <c r="G23" s="4"/>
      <c r="H23" s="4"/>
    </row>
    <row r="24" spans="1:9" x14ac:dyDescent="0.35">
      <c r="A24">
        <v>1</v>
      </c>
      <c r="B24">
        <v>23</v>
      </c>
      <c r="C24" t="s">
        <v>1027</v>
      </c>
      <c r="D24" s="4">
        <v>1</v>
      </c>
      <c r="E24" s="4">
        <v>5</v>
      </c>
      <c r="F24" s="4">
        <v>10</v>
      </c>
      <c r="G24" s="4"/>
      <c r="H24" s="4"/>
    </row>
    <row r="25" spans="1:9" x14ac:dyDescent="0.35">
      <c r="A25">
        <v>1</v>
      </c>
      <c r="B25">
        <v>24</v>
      </c>
      <c r="C25" t="s">
        <v>1028</v>
      </c>
      <c r="D25" s="4">
        <v>12</v>
      </c>
      <c r="E25" s="4">
        <v>180</v>
      </c>
      <c r="F25" s="4">
        <v>600</v>
      </c>
      <c r="G25" s="4"/>
      <c r="H25" s="4"/>
    </row>
    <row r="26" spans="1:9" x14ac:dyDescent="0.35">
      <c r="A26">
        <v>1</v>
      </c>
      <c r="B26">
        <v>25</v>
      </c>
      <c r="C26" t="s">
        <v>1029</v>
      </c>
      <c r="D26" s="4">
        <v>1000000000</v>
      </c>
      <c r="E26" s="4">
        <v>10000000000</v>
      </c>
      <c r="F26" s="4">
        <v>100000000000</v>
      </c>
      <c r="G26" s="4"/>
      <c r="H26" s="4"/>
    </row>
    <row r="27" spans="1:9" x14ac:dyDescent="0.35">
      <c r="A27">
        <v>1</v>
      </c>
      <c r="B27">
        <v>26</v>
      </c>
      <c r="C27" t="s">
        <v>1030</v>
      </c>
      <c r="D27" s="4">
        <v>10000</v>
      </c>
      <c r="E27" s="4">
        <v>15000</v>
      </c>
      <c r="F27" s="4">
        <v>20000</v>
      </c>
      <c r="G27" s="4"/>
      <c r="H27" s="4"/>
    </row>
    <row r="28" spans="1:9" x14ac:dyDescent="0.35">
      <c r="A28">
        <v>1</v>
      </c>
      <c r="B28">
        <v>27</v>
      </c>
      <c r="C28" t="s">
        <v>1031</v>
      </c>
      <c r="D28" s="4">
        <v>30</v>
      </c>
      <c r="E28" s="4">
        <v>300</v>
      </c>
      <c r="F28" s="4">
        <v>900</v>
      </c>
      <c r="G28" s="4"/>
      <c r="H28" s="4"/>
    </row>
    <row r="29" spans="1:9" x14ac:dyDescent="0.35">
      <c r="A29">
        <v>1</v>
      </c>
      <c r="B29">
        <v>28</v>
      </c>
      <c r="C29" t="s">
        <v>1032</v>
      </c>
      <c r="D29" s="4">
        <v>5000000000</v>
      </c>
      <c r="E29" s="4">
        <v>100000000000</v>
      </c>
      <c r="F29" s="4">
        <v>5000000000000</v>
      </c>
      <c r="G29" s="4"/>
      <c r="H29" s="4"/>
    </row>
    <row r="30" spans="1:9" x14ac:dyDescent="0.35">
      <c r="A30">
        <v>1</v>
      </c>
      <c r="B30">
        <v>29</v>
      </c>
      <c r="C30" t="s">
        <v>1033</v>
      </c>
      <c r="D30" s="4">
        <v>15000</v>
      </c>
      <c r="E30" s="4">
        <v>25000</v>
      </c>
      <c r="F30" s="4">
        <v>40000</v>
      </c>
      <c r="G30" s="4"/>
      <c r="H30" s="4"/>
    </row>
    <row r="31" spans="1:9" x14ac:dyDescent="0.35">
      <c r="A31">
        <v>1</v>
      </c>
      <c r="B31">
        <v>30</v>
      </c>
      <c r="C31" t="s">
        <v>1034</v>
      </c>
      <c r="D31" s="4">
        <v>14400</v>
      </c>
      <c r="E31" s="4">
        <v>144000</v>
      </c>
      <c r="F31" s="4">
        <v>288000</v>
      </c>
      <c r="G31" s="4"/>
      <c r="H31" s="4"/>
    </row>
    <row r="32" spans="1:9" x14ac:dyDescent="0.35">
      <c r="A32">
        <v>1</v>
      </c>
      <c r="B32">
        <v>31</v>
      </c>
      <c r="C32" t="s">
        <v>1035</v>
      </c>
      <c r="D32" s="4">
        <v>10000000</v>
      </c>
      <c r="E32" s="4">
        <v>1000000000</v>
      </c>
      <c r="F32" s="4">
        <v>10000000000</v>
      </c>
      <c r="G32" s="4"/>
      <c r="H32" s="4"/>
    </row>
    <row r="33" spans="1:8" x14ac:dyDescent="0.35">
      <c r="A33">
        <v>1</v>
      </c>
      <c r="B33">
        <v>32</v>
      </c>
      <c r="C33" t="s">
        <v>1036</v>
      </c>
      <c r="D33" s="4">
        <v>500</v>
      </c>
      <c r="E33" s="4">
        <v>5000</v>
      </c>
      <c r="F33" s="4">
        <v>15000</v>
      </c>
      <c r="G33" s="4"/>
      <c r="H33" s="4"/>
    </row>
    <row r="34" spans="1:8" x14ac:dyDescent="0.35">
      <c r="A34">
        <v>1</v>
      </c>
      <c r="B34">
        <v>33</v>
      </c>
      <c r="C34" t="s">
        <v>1037</v>
      </c>
      <c r="D34" s="4">
        <v>30</v>
      </c>
      <c r="E34" s="4">
        <v>120</v>
      </c>
      <c r="F34" s="4">
        <v>300</v>
      </c>
      <c r="G34" s="4"/>
      <c r="H34" s="4"/>
    </row>
    <row r="35" spans="1:8" x14ac:dyDescent="0.35">
      <c r="A35">
        <v>1</v>
      </c>
      <c r="B35">
        <v>34</v>
      </c>
      <c r="C35" t="s">
        <v>1038</v>
      </c>
      <c r="D35" s="4">
        <v>100000000</v>
      </c>
      <c r="E35" s="4">
        <v>1000000000</v>
      </c>
      <c r="F35" s="4">
        <v>10000000000</v>
      </c>
      <c r="G35" s="4"/>
      <c r="H35" s="4"/>
    </row>
    <row r="36" spans="1:8" x14ac:dyDescent="0.35">
      <c r="A36">
        <v>1</v>
      </c>
      <c r="B36">
        <v>35</v>
      </c>
      <c r="C36" t="s">
        <v>1039</v>
      </c>
      <c r="D36" s="4">
        <v>500</v>
      </c>
      <c r="E36" s="4">
        <v>5000</v>
      </c>
      <c r="F36" s="4">
        <v>8000</v>
      </c>
      <c r="G36" s="4"/>
      <c r="H36" s="4"/>
    </row>
    <row r="37" spans="1:8" x14ac:dyDescent="0.35">
      <c r="A37">
        <v>1</v>
      </c>
      <c r="B37">
        <v>36</v>
      </c>
      <c r="C37" t="s">
        <v>1040</v>
      </c>
      <c r="D37" s="4">
        <v>30</v>
      </c>
      <c r="E37" s="4">
        <v>180</v>
      </c>
      <c r="F37" s="4">
        <v>600</v>
      </c>
      <c r="G37" s="4"/>
      <c r="H37" s="4"/>
    </row>
    <row r="38" spans="1:8" x14ac:dyDescent="0.35">
      <c r="A38">
        <v>1</v>
      </c>
      <c r="B38">
        <v>37</v>
      </c>
      <c r="C38" t="s">
        <v>1041</v>
      </c>
      <c r="D38" s="4">
        <v>1000000000</v>
      </c>
      <c r="E38" s="4">
        <v>10000000000</v>
      </c>
      <c r="F38" s="4">
        <v>100000000000</v>
      </c>
      <c r="G38" s="4"/>
      <c r="H38" s="4"/>
    </row>
    <row r="39" spans="1:8" x14ac:dyDescent="0.35">
      <c r="A39">
        <v>1</v>
      </c>
      <c r="B39">
        <v>38</v>
      </c>
      <c r="C39" t="s">
        <v>1042</v>
      </c>
      <c r="D39" s="4">
        <v>10000</v>
      </c>
      <c r="E39" s="4">
        <v>15000</v>
      </c>
      <c r="F39" s="4">
        <v>20000</v>
      </c>
      <c r="G39" s="4"/>
      <c r="H39" s="4"/>
    </row>
    <row r="40" spans="1:8" x14ac:dyDescent="0.35">
      <c r="A40">
        <v>1</v>
      </c>
      <c r="B40">
        <v>39</v>
      </c>
      <c r="C40" t="s">
        <v>1043</v>
      </c>
      <c r="D40" s="4">
        <v>30</v>
      </c>
      <c r="E40" s="4">
        <v>300</v>
      </c>
      <c r="F40" s="4">
        <v>900</v>
      </c>
      <c r="G40" s="4"/>
      <c r="H40" s="4"/>
    </row>
    <row r="41" spans="1:8" x14ac:dyDescent="0.35">
      <c r="A41">
        <v>1</v>
      </c>
      <c r="B41">
        <v>40</v>
      </c>
      <c r="C41" t="s">
        <v>1044</v>
      </c>
      <c r="D41" s="4">
        <v>5000000000</v>
      </c>
      <c r="E41" s="4">
        <v>100000000000</v>
      </c>
      <c r="F41" s="4">
        <v>5000000000000</v>
      </c>
      <c r="G41" s="4"/>
      <c r="H41" s="4"/>
    </row>
    <row r="42" spans="1:8" x14ac:dyDescent="0.35">
      <c r="A42">
        <v>1</v>
      </c>
      <c r="B42">
        <v>41</v>
      </c>
      <c r="C42" t="s">
        <v>1045</v>
      </c>
      <c r="D42" s="4">
        <v>15000</v>
      </c>
      <c r="E42" s="4">
        <v>25000</v>
      </c>
      <c r="F42" s="4">
        <v>40000</v>
      </c>
      <c r="G42" s="4"/>
      <c r="H42" s="4"/>
    </row>
    <row r="43" spans="1:8" x14ac:dyDescent="0.35">
      <c r="A43">
        <v>1</v>
      </c>
      <c r="B43">
        <v>42</v>
      </c>
      <c r="C43" t="s">
        <v>1046</v>
      </c>
      <c r="D43" s="4">
        <v>5</v>
      </c>
      <c r="E43" s="4">
        <v>20</v>
      </c>
      <c r="F43" s="4">
        <v>50</v>
      </c>
      <c r="G43" s="4"/>
      <c r="H43" s="4"/>
    </row>
    <row r="44" spans="1:8" x14ac:dyDescent="0.35">
      <c r="A44">
        <v>1</v>
      </c>
      <c r="B44">
        <v>43</v>
      </c>
      <c r="C44" t="s">
        <v>1047</v>
      </c>
      <c r="D44" s="4">
        <v>2</v>
      </c>
      <c r="E44" s="4">
        <v>15</v>
      </c>
      <c r="F44" s="4">
        <v>25</v>
      </c>
      <c r="G44" s="4"/>
      <c r="H44" s="4"/>
    </row>
    <row r="45" spans="1:8" x14ac:dyDescent="0.35">
      <c r="A45">
        <v>1</v>
      </c>
      <c r="B45">
        <v>44</v>
      </c>
      <c r="C45" t="s">
        <v>1048</v>
      </c>
      <c r="D45" s="4">
        <v>75</v>
      </c>
      <c r="E45" s="4">
        <v>90</v>
      </c>
      <c r="F45" s="4">
        <v>98</v>
      </c>
      <c r="G45" s="4"/>
      <c r="H45" s="4"/>
    </row>
    <row r="46" spans="1:8" x14ac:dyDescent="0.35">
      <c r="A46">
        <v>1</v>
      </c>
      <c r="B46">
        <v>45</v>
      </c>
      <c r="C46" t="s">
        <v>1049</v>
      </c>
      <c r="D46" s="4">
        <v>10</v>
      </c>
      <c r="E46" s="4">
        <v>30</v>
      </c>
      <c r="F46" s="4">
        <v>40</v>
      </c>
      <c r="G46" s="4"/>
      <c r="H46" s="4"/>
    </row>
    <row r="47" spans="1:8" x14ac:dyDescent="0.35">
      <c r="A47">
        <v>1</v>
      </c>
      <c r="B47">
        <v>46</v>
      </c>
      <c r="C47" t="s">
        <v>1050</v>
      </c>
      <c r="D47" s="4">
        <v>50</v>
      </c>
      <c r="E47" s="4">
        <v>60</v>
      </c>
      <c r="F47" s="4">
        <v>90</v>
      </c>
      <c r="G47" s="4"/>
      <c r="H47" s="4"/>
    </row>
    <row r="48" spans="1:8" x14ac:dyDescent="0.35">
      <c r="A48">
        <v>1</v>
      </c>
      <c r="B48">
        <v>47</v>
      </c>
      <c r="C48" t="s">
        <v>1051</v>
      </c>
      <c r="D48" s="4">
        <v>5</v>
      </c>
      <c r="E48" s="4">
        <v>20</v>
      </c>
      <c r="F48" s="4">
        <v>30</v>
      </c>
      <c r="G48" s="4"/>
      <c r="H48" s="4"/>
    </row>
    <row r="49" spans="1:8" x14ac:dyDescent="0.35">
      <c r="A49">
        <v>1</v>
      </c>
      <c r="B49">
        <v>48</v>
      </c>
      <c r="C49" t="s">
        <v>1052</v>
      </c>
      <c r="D49" s="4">
        <v>5</v>
      </c>
      <c r="E49" s="4">
        <v>20</v>
      </c>
      <c r="F49" s="4">
        <v>30</v>
      </c>
      <c r="G49" s="4"/>
      <c r="H49" s="4"/>
    </row>
    <row r="50" spans="1:8" x14ac:dyDescent="0.35">
      <c r="A50">
        <v>1</v>
      </c>
      <c r="B50">
        <v>49</v>
      </c>
      <c r="C50" t="s">
        <v>1053</v>
      </c>
      <c r="D50" s="4">
        <v>50</v>
      </c>
      <c r="E50" s="4">
        <v>65</v>
      </c>
      <c r="F50" s="4">
        <v>80</v>
      </c>
      <c r="G50" s="4"/>
      <c r="H50" s="4"/>
    </row>
    <row r="51" spans="1:8" x14ac:dyDescent="0.35">
      <c r="A51">
        <v>1</v>
      </c>
      <c r="B51">
        <v>50</v>
      </c>
      <c r="C51" t="s">
        <v>1054</v>
      </c>
      <c r="D51" s="4">
        <v>5</v>
      </c>
      <c r="E51" s="4">
        <v>20</v>
      </c>
      <c r="F51" s="4">
        <v>30</v>
      </c>
      <c r="G51" s="4"/>
      <c r="H51" s="4"/>
    </row>
    <row r="52" spans="1:8" x14ac:dyDescent="0.35">
      <c r="A52">
        <v>1</v>
      </c>
      <c r="B52">
        <v>51</v>
      </c>
      <c r="C52" t="s">
        <v>1055</v>
      </c>
      <c r="D52" s="4">
        <v>5</v>
      </c>
      <c r="E52" s="4">
        <v>20</v>
      </c>
      <c r="F52" s="4">
        <v>30</v>
      </c>
      <c r="G52" s="4"/>
      <c r="H52" s="4"/>
    </row>
    <row r="53" spans="1:8" x14ac:dyDescent="0.35">
      <c r="A53">
        <v>1</v>
      </c>
      <c r="B53">
        <v>52</v>
      </c>
      <c r="C53" t="s">
        <v>1056</v>
      </c>
      <c r="D53" s="4">
        <v>2</v>
      </c>
      <c r="E53" s="4">
        <v>10</v>
      </c>
      <c r="F53" s="4">
        <v>20</v>
      </c>
      <c r="G53" s="4"/>
      <c r="H53" s="4"/>
    </row>
    <row r="54" spans="1:8" x14ac:dyDescent="0.35">
      <c r="A54">
        <v>2</v>
      </c>
      <c r="B54">
        <v>1</v>
      </c>
      <c r="C54" t="s">
        <v>318</v>
      </c>
      <c r="D54" s="4">
        <v>3900</v>
      </c>
      <c r="E54" s="4">
        <v>5000</v>
      </c>
      <c r="F54" s="4">
        <v>6100</v>
      </c>
      <c r="G54" s="4"/>
      <c r="H54" s="4"/>
    </row>
    <row r="55" spans="1:8" x14ac:dyDescent="0.35">
      <c r="A55">
        <v>2</v>
      </c>
      <c r="B55">
        <v>2</v>
      </c>
      <c r="C55" t="s">
        <v>319</v>
      </c>
      <c r="D55" s="4">
        <v>1000000</v>
      </c>
      <c r="E55" s="4">
        <v>2800000</v>
      </c>
      <c r="F55" s="4">
        <v>4000000</v>
      </c>
      <c r="G55" s="4"/>
      <c r="H55" s="4"/>
    </row>
    <row r="56" spans="1:8" x14ac:dyDescent="0.35">
      <c r="A56">
        <v>2</v>
      </c>
      <c r="B56">
        <v>3</v>
      </c>
      <c r="C56" t="s">
        <v>320</v>
      </c>
      <c r="D56" s="4">
        <v>15</v>
      </c>
      <c r="E56" s="4">
        <v>30</v>
      </c>
      <c r="F56" s="4">
        <v>45</v>
      </c>
      <c r="G56" s="4"/>
      <c r="H56" s="4"/>
    </row>
    <row r="57" spans="1:8" x14ac:dyDescent="0.35">
      <c r="A57">
        <v>2</v>
      </c>
      <c r="B57">
        <v>4</v>
      </c>
      <c r="C57" t="s">
        <v>321</v>
      </c>
      <c r="D57" s="4">
        <v>250</v>
      </c>
      <c r="E57" s="4">
        <v>2500</v>
      </c>
      <c r="F57" s="4">
        <v>10000</v>
      </c>
      <c r="G57" s="4"/>
      <c r="H57" s="4"/>
    </row>
    <row r="58" spans="1:8" x14ac:dyDescent="0.35">
      <c r="A58">
        <v>2</v>
      </c>
      <c r="B58">
        <v>5</v>
      </c>
      <c r="C58" t="s">
        <v>322</v>
      </c>
      <c r="D58" s="4">
        <v>10</v>
      </c>
      <c r="E58" s="4">
        <v>40</v>
      </c>
      <c r="F58" s="4">
        <v>70</v>
      </c>
      <c r="G58" s="4"/>
      <c r="H58" s="4"/>
    </row>
    <row r="59" spans="1:8" x14ac:dyDescent="0.35">
      <c r="A59">
        <v>2</v>
      </c>
      <c r="B59">
        <v>6</v>
      </c>
      <c r="C59" t="s">
        <v>323</v>
      </c>
      <c r="D59" s="4">
        <v>2</v>
      </c>
      <c r="E59" s="4">
        <v>10</v>
      </c>
      <c r="F59" s="4">
        <v>30</v>
      </c>
      <c r="G59" s="4"/>
      <c r="H59" s="4"/>
    </row>
    <row r="60" spans="1:8" x14ac:dyDescent="0.35">
      <c r="A60">
        <v>2</v>
      </c>
      <c r="B60">
        <v>7</v>
      </c>
      <c r="C60" t="s">
        <v>324</v>
      </c>
      <c r="D60" s="4">
        <v>190</v>
      </c>
      <c r="E60" s="4">
        <v>270</v>
      </c>
      <c r="F60" s="4">
        <v>350</v>
      </c>
      <c r="G60" s="4"/>
      <c r="H60" s="4"/>
    </row>
    <row r="61" spans="1:8" x14ac:dyDescent="0.35">
      <c r="A61">
        <v>2</v>
      </c>
      <c r="B61">
        <v>8</v>
      </c>
      <c r="C61" t="s">
        <v>325</v>
      </c>
      <c r="D61" s="4">
        <v>5</v>
      </c>
      <c r="E61" s="4">
        <v>35</v>
      </c>
      <c r="F61" s="4">
        <v>55</v>
      </c>
      <c r="G61" s="4"/>
      <c r="H61" s="4"/>
    </row>
    <row r="62" spans="1:8" x14ac:dyDescent="0.35">
      <c r="A62">
        <v>2</v>
      </c>
      <c r="B62">
        <v>9</v>
      </c>
      <c r="C62" t="s">
        <v>326</v>
      </c>
      <c r="D62" s="4">
        <v>50</v>
      </c>
      <c r="E62" s="4">
        <v>70</v>
      </c>
      <c r="F62" s="4">
        <v>95</v>
      </c>
      <c r="G62" s="4"/>
      <c r="H62" s="4"/>
    </row>
    <row r="63" spans="1:8" x14ac:dyDescent="0.35">
      <c r="A63">
        <v>2</v>
      </c>
      <c r="B63">
        <v>10</v>
      </c>
      <c r="C63" t="s">
        <v>327</v>
      </c>
      <c r="D63" s="4">
        <v>500000</v>
      </c>
      <c r="E63" s="4">
        <v>10000000</v>
      </c>
      <c r="F63" s="4">
        <v>500000000</v>
      </c>
      <c r="G63" s="4"/>
      <c r="H63" s="4"/>
    </row>
    <row r="64" spans="1:8" x14ac:dyDescent="0.35">
      <c r="A64">
        <v>2</v>
      </c>
      <c r="B64">
        <v>11</v>
      </c>
      <c r="C64" t="s">
        <v>328</v>
      </c>
      <c r="D64" s="4">
        <v>2</v>
      </c>
      <c r="E64" s="4">
        <v>10</v>
      </c>
      <c r="F64" s="4">
        <v>20</v>
      </c>
      <c r="G64" s="4"/>
      <c r="H64" s="4"/>
    </row>
    <row r="65" spans="1:8" x14ac:dyDescent="0.35">
      <c r="A65">
        <v>2</v>
      </c>
      <c r="B65">
        <v>12</v>
      </c>
      <c r="C65" t="s">
        <v>329</v>
      </c>
      <c r="D65" s="4">
        <v>300</v>
      </c>
      <c r="E65" s="4">
        <v>1500</v>
      </c>
      <c r="F65" s="4">
        <v>4000</v>
      </c>
      <c r="G65" s="4"/>
      <c r="H65" s="4"/>
    </row>
    <row r="66" spans="1:8" x14ac:dyDescent="0.35">
      <c r="A66">
        <v>2</v>
      </c>
      <c r="B66">
        <v>13</v>
      </c>
      <c r="C66" t="s">
        <v>330</v>
      </c>
      <c r="D66" s="4">
        <v>5</v>
      </c>
      <c r="E66" s="4">
        <v>20</v>
      </c>
      <c r="F66" s="4">
        <v>60</v>
      </c>
      <c r="G66" s="4"/>
      <c r="H66" s="4"/>
    </row>
    <row r="67" spans="1:8" x14ac:dyDescent="0.35">
      <c r="A67">
        <v>2</v>
      </c>
      <c r="B67">
        <v>14</v>
      </c>
      <c r="C67" t="s">
        <v>1018</v>
      </c>
      <c r="D67" s="4">
        <v>1</v>
      </c>
      <c r="E67" s="4">
        <v>5</v>
      </c>
      <c r="F67" s="4">
        <v>10</v>
      </c>
      <c r="G67" s="4"/>
      <c r="H67" s="4"/>
    </row>
    <row r="68" spans="1:8" x14ac:dyDescent="0.35">
      <c r="A68">
        <v>2</v>
      </c>
      <c r="B68">
        <v>15</v>
      </c>
      <c r="C68" t="s">
        <v>1019</v>
      </c>
      <c r="D68" s="4">
        <v>90</v>
      </c>
      <c r="E68" s="4">
        <v>95</v>
      </c>
      <c r="F68" s="4">
        <v>99</v>
      </c>
      <c r="G68" s="4"/>
      <c r="H68" s="4"/>
    </row>
    <row r="69" spans="1:8" x14ac:dyDescent="0.35">
      <c r="A69">
        <v>2</v>
      </c>
      <c r="B69">
        <v>16</v>
      </c>
      <c r="C69" t="s">
        <v>1020</v>
      </c>
      <c r="D69" s="4">
        <v>5</v>
      </c>
      <c r="E69" s="4">
        <v>15</v>
      </c>
      <c r="F69" s="4">
        <v>25</v>
      </c>
      <c r="G69" s="4"/>
      <c r="H69" s="4"/>
    </row>
    <row r="70" spans="1:8" x14ac:dyDescent="0.35">
      <c r="A70">
        <v>2</v>
      </c>
      <c r="B70">
        <v>17</v>
      </c>
      <c r="C70" t="s">
        <v>1021</v>
      </c>
      <c r="D70" s="4">
        <v>60</v>
      </c>
      <c r="E70" s="4">
        <v>80</v>
      </c>
      <c r="F70" s="4">
        <v>90</v>
      </c>
      <c r="G70" s="4"/>
      <c r="H70" s="4"/>
    </row>
    <row r="71" spans="1:8" x14ac:dyDescent="0.35">
      <c r="A71">
        <v>2</v>
      </c>
      <c r="B71">
        <v>18</v>
      </c>
      <c r="C71" t="s">
        <v>1022</v>
      </c>
      <c r="D71" s="4">
        <v>1</v>
      </c>
      <c r="E71" s="4">
        <v>5</v>
      </c>
      <c r="F71" s="4">
        <v>10</v>
      </c>
      <c r="G71" s="4"/>
      <c r="H71" s="4"/>
    </row>
    <row r="72" spans="1:8" x14ac:dyDescent="0.35">
      <c r="A72">
        <v>2</v>
      </c>
      <c r="B72">
        <v>19</v>
      </c>
      <c r="C72" t="s">
        <v>1023</v>
      </c>
      <c r="D72" s="4">
        <v>70</v>
      </c>
      <c r="E72" s="4">
        <v>80</v>
      </c>
      <c r="F72" s="4">
        <v>95</v>
      </c>
      <c r="G72" s="4"/>
      <c r="H72" s="4"/>
    </row>
    <row r="73" spans="1:8" x14ac:dyDescent="0.35">
      <c r="A73">
        <v>2</v>
      </c>
      <c r="B73">
        <v>20</v>
      </c>
      <c r="C73" t="s">
        <v>1024</v>
      </c>
      <c r="D73" s="4">
        <v>5</v>
      </c>
      <c r="E73" s="4">
        <v>10</v>
      </c>
      <c r="F73" s="4">
        <v>20</v>
      </c>
      <c r="G73" s="4"/>
      <c r="H73" s="4"/>
    </row>
    <row r="74" spans="1:8" x14ac:dyDescent="0.35">
      <c r="A74">
        <v>2</v>
      </c>
      <c r="B74">
        <v>21</v>
      </c>
      <c r="C74" t="s">
        <v>1025</v>
      </c>
      <c r="D74" s="4">
        <v>1</v>
      </c>
      <c r="E74" s="4">
        <v>5</v>
      </c>
      <c r="F74" s="4">
        <v>10</v>
      </c>
      <c r="G74" s="4"/>
      <c r="H74" s="4"/>
    </row>
    <row r="75" spans="1:8" x14ac:dyDescent="0.35">
      <c r="A75">
        <v>2</v>
      </c>
      <c r="B75">
        <v>22</v>
      </c>
      <c r="C75" t="s">
        <v>1026</v>
      </c>
      <c r="D75" s="4">
        <v>0.5</v>
      </c>
      <c r="E75" s="4">
        <v>1</v>
      </c>
      <c r="F75" s="4">
        <v>5</v>
      </c>
      <c r="G75" s="4"/>
      <c r="H75" s="4"/>
    </row>
    <row r="76" spans="1:8" x14ac:dyDescent="0.35">
      <c r="A76">
        <v>2</v>
      </c>
      <c r="B76">
        <v>23</v>
      </c>
      <c r="C76" t="s">
        <v>1027</v>
      </c>
      <c r="D76" s="4">
        <v>1</v>
      </c>
      <c r="E76" s="4">
        <v>4</v>
      </c>
      <c r="F76" s="4">
        <v>10</v>
      </c>
      <c r="G76" s="4"/>
      <c r="H76" s="4"/>
    </row>
    <row r="77" spans="1:8" x14ac:dyDescent="0.35">
      <c r="A77">
        <v>2</v>
      </c>
      <c r="B77">
        <v>24</v>
      </c>
      <c r="C77" t="s">
        <v>1028</v>
      </c>
      <c r="D77" s="4">
        <v>60</v>
      </c>
      <c r="E77" s="4">
        <v>600</v>
      </c>
      <c r="F77" s="4">
        <v>3000</v>
      </c>
      <c r="G77" s="4"/>
      <c r="H77" s="4"/>
    </row>
    <row r="78" spans="1:8" x14ac:dyDescent="0.35">
      <c r="A78">
        <v>2</v>
      </c>
      <c r="B78">
        <v>25</v>
      </c>
      <c r="C78" t="s">
        <v>1029</v>
      </c>
      <c r="D78" s="4">
        <v>1000000000</v>
      </c>
      <c r="E78" s="4">
        <v>50000000000</v>
      </c>
      <c r="F78" s="4">
        <v>500000000000</v>
      </c>
      <c r="G78" s="4"/>
      <c r="H78" s="4"/>
    </row>
    <row r="79" spans="1:8" x14ac:dyDescent="0.35">
      <c r="A79">
        <v>2</v>
      </c>
      <c r="B79">
        <v>26</v>
      </c>
      <c r="C79" t="s">
        <v>1030</v>
      </c>
      <c r="D79" s="4">
        <v>11000</v>
      </c>
      <c r="E79" s="4">
        <v>20000</v>
      </c>
      <c r="F79" s="4">
        <v>29000</v>
      </c>
      <c r="G79" s="4"/>
      <c r="H79" s="4"/>
    </row>
    <row r="80" spans="1:8" x14ac:dyDescent="0.35">
      <c r="A80">
        <v>2</v>
      </c>
      <c r="B80">
        <v>27</v>
      </c>
      <c r="C80" t="s">
        <v>1031</v>
      </c>
      <c r="D80" s="4">
        <v>30</v>
      </c>
      <c r="E80" s="4">
        <v>420</v>
      </c>
      <c r="F80" s="4">
        <v>1800</v>
      </c>
      <c r="G80" s="4"/>
      <c r="H80" s="4"/>
    </row>
    <row r="81" spans="1:8" x14ac:dyDescent="0.35">
      <c r="A81">
        <v>2</v>
      </c>
      <c r="B81">
        <v>28</v>
      </c>
      <c r="C81" t="s">
        <v>1032</v>
      </c>
      <c r="D81" s="4">
        <v>10000000000</v>
      </c>
      <c r="E81" s="4">
        <v>1000000000000</v>
      </c>
      <c r="F81" s="4">
        <v>10000000000000</v>
      </c>
      <c r="G81" s="4"/>
      <c r="H81" s="4"/>
    </row>
    <row r="82" spans="1:8" x14ac:dyDescent="0.35">
      <c r="A82">
        <v>2</v>
      </c>
      <c r="B82">
        <v>29</v>
      </c>
      <c r="C82" t="s">
        <v>1033</v>
      </c>
      <c r="D82" s="4">
        <v>20000</v>
      </c>
      <c r="E82" s="4">
        <v>28000</v>
      </c>
      <c r="F82" s="4">
        <v>40000</v>
      </c>
      <c r="G82" s="4"/>
      <c r="H82" s="4"/>
    </row>
    <row r="83" spans="1:8" x14ac:dyDescent="0.35">
      <c r="A83">
        <v>2</v>
      </c>
      <c r="B83">
        <v>30</v>
      </c>
      <c r="C83" t="s">
        <v>1034</v>
      </c>
      <c r="D83" s="4">
        <v>2880</v>
      </c>
      <c r="E83" s="4">
        <v>43200</v>
      </c>
      <c r="F83" s="4">
        <v>288000</v>
      </c>
      <c r="G83" s="4"/>
      <c r="H83" s="4"/>
    </row>
    <row r="84" spans="1:8" x14ac:dyDescent="0.35">
      <c r="A84">
        <v>2</v>
      </c>
      <c r="B84">
        <v>31</v>
      </c>
      <c r="C84" t="s">
        <v>1035</v>
      </c>
      <c r="D84" s="4">
        <v>100000000</v>
      </c>
      <c r="E84" s="4">
        <v>1000000000</v>
      </c>
      <c r="F84" s="4">
        <v>10000000000</v>
      </c>
      <c r="G84" s="4"/>
      <c r="H84" s="4"/>
    </row>
    <row r="85" spans="1:8" x14ac:dyDescent="0.35">
      <c r="A85">
        <v>2</v>
      </c>
      <c r="B85">
        <v>32</v>
      </c>
      <c r="C85" t="s">
        <v>1036</v>
      </c>
      <c r="D85" s="4">
        <v>200</v>
      </c>
      <c r="E85" s="4">
        <v>3000</v>
      </c>
      <c r="F85" s="4">
        <v>9000</v>
      </c>
      <c r="G85" s="4"/>
      <c r="H85" s="4"/>
    </row>
    <row r="86" spans="1:8" x14ac:dyDescent="0.35">
      <c r="A86">
        <v>2</v>
      </c>
      <c r="B86">
        <v>33</v>
      </c>
      <c r="C86" t="s">
        <v>1037</v>
      </c>
      <c r="D86" s="4">
        <v>60</v>
      </c>
      <c r="E86" s="4">
        <v>600</v>
      </c>
      <c r="F86" s="4">
        <v>2880</v>
      </c>
      <c r="G86" s="4"/>
      <c r="H86" s="4"/>
    </row>
    <row r="87" spans="1:8" x14ac:dyDescent="0.35">
      <c r="A87">
        <v>2</v>
      </c>
      <c r="B87">
        <v>34</v>
      </c>
      <c r="C87" t="s">
        <v>1038</v>
      </c>
      <c r="D87" s="4">
        <v>100000000</v>
      </c>
      <c r="E87" s="4">
        <v>500000000</v>
      </c>
      <c r="F87" s="4">
        <v>1000000000</v>
      </c>
      <c r="G87" s="4"/>
      <c r="H87" s="4"/>
    </row>
    <row r="88" spans="1:8" x14ac:dyDescent="0.35">
      <c r="A88">
        <v>2</v>
      </c>
      <c r="B88">
        <v>35</v>
      </c>
      <c r="C88" t="s">
        <v>1039</v>
      </c>
      <c r="D88" s="4">
        <v>1000</v>
      </c>
      <c r="E88" s="4">
        <v>6000</v>
      </c>
      <c r="F88" s="4">
        <v>10000</v>
      </c>
      <c r="G88" s="4"/>
      <c r="H88" s="4"/>
    </row>
    <row r="89" spans="1:8" x14ac:dyDescent="0.35">
      <c r="A89">
        <v>2</v>
      </c>
      <c r="B89">
        <v>36</v>
      </c>
      <c r="C89" t="s">
        <v>1040</v>
      </c>
      <c r="D89" s="4">
        <v>30</v>
      </c>
      <c r="E89" s="4">
        <v>300</v>
      </c>
      <c r="F89" s="4">
        <v>1200</v>
      </c>
      <c r="G89" s="4"/>
      <c r="H89" s="4"/>
    </row>
    <row r="90" spans="1:8" x14ac:dyDescent="0.35">
      <c r="A90">
        <v>2</v>
      </c>
      <c r="B90">
        <v>37</v>
      </c>
      <c r="C90" t="s">
        <v>1041</v>
      </c>
      <c r="D90" s="4">
        <v>5000000000</v>
      </c>
      <c r="E90" s="4">
        <v>30000000000</v>
      </c>
      <c r="F90" s="4">
        <v>100000000000</v>
      </c>
      <c r="G90" s="4"/>
      <c r="H90" s="4"/>
    </row>
    <row r="91" spans="1:8" x14ac:dyDescent="0.35">
      <c r="A91">
        <v>2</v>
      </c>
      <c r="B91">
        <v>38</v>
      </c>
      <c r="C91" t="s">
        <v>1042</v>
      </c>
      <c r="D91" s="4">
        <v>10000</v>
      </c>
      <c r="E91" s="4">
        <v>20000</v>
      </c>
      <c r="F91" s="4">
        <v>28000</v>
      </c>
      <c r="G91" s="4"/>
      <c r="H91" s="4"/>
    </row>
    <row r="92" spans="1:8" x14ac:dyDescent="0.35">
      <c r="A92">
        <v>2</v>
      </c>
      <c r="B92">
        <v>39</v>
      </c>
      <c r="C92" t="s">
        <v>1043</v>
      </c>
      <c r="D92" s="4">
        <v>60</v>
      </c>
      <c r="E92" s="4">
        <v>600</v>
      </c>
      <c r="F92" s="4">
        <v>3000</v>
      </c>
      <c r="G92" s="4"/>
      <c r="H92" s="4"/>
    </row>
    <row r="93" spans="1:8" x14ac:dyDescent="0.35">
      <c r="A93">
        <v>2</v>
      </c>
      <c r="B93">
        <v>40</v>
      </c>
      <c r="C93" t="s">
        <v>1044</v>
      </c>
      <c r="D93" s="4">
        <v>50000000000</v>
      </c>
      <c r="E93" s="4">
        <v>200000000000</v>
      </c>
      <c r="F93" s="4">
        <v>2000000000000</v>
      </c>
      <c r="G93" s="4"/>
      <c r="H93" s="4"/>
    </row>
    <row r="94" spans="1:8" x14ac:dyDescent="0.35">
      <c r="A94">
        <v>2</v>
      </c>
      <c r="B94">
        <v>41</v>
      </c>
      <c r="C94" t="s">
        <v>1045</v>
      </c>
      <c r="D94" s="4">
        <v>19000</v>
      </c>
      <c r="E94" s="4">
        <v>26000</v>
      </c>
      <c r="F94" s="4">
        <v>35000</v>
      </c>
      <c r="G94" s="4"/>
      <c r="H94" s="4"/>
    </row>
    <row r="95" spans="1:8" x14ac:dyDescent="0.35">
      <c r="A95">
        <v>2</v>
      </c>
      <c r="B95">
        <v>42</v>
      </c>
      <c r="C95" t="s">
        <v>1046</v>
      </c>
      <c r="D95" s="4">
        <v>30</v>
      </c>
      <c r="E95" s="4">
        <v>70</v>
      </c>
      <c r="F95" s="4">
        <v>100</v>
      </c>
      <c r="G95" s="4"/>
      <c r="H95" s="4"/>
    </row>
    <row r="96" spans="1:8" x14ac:dyDescent="0.35">
      <c r="A96">
        <v>2</v>
      </c>
      <c r="B96">
        <v>43</v>
      </c>
      <c r="C96" t="s">
        <v>1047</v>
      </c>
      <c r="D96" s="4">
        <v>5</v>
      </c>
      <c r="E96" s="4">
        <v>15</v>
      </c>
      <c r="F96" s="4">
        <v>25</v>
      </c>
      <c r="G96" s="4"/>
      <c r="H96" s="4"/>
    </row>
    <row r="97" spans="1:8" x14ac:dyDescent="0.35">
      <c r="A97">
        <v>2</v>
      </c>
      <c r="B97">
        <v>44</v>
      </c>
      <c r="C97" t="s">
        <v>1048</v>
      </c>
      <c r="D97" s="4">
        <v>90</v>
      </c>
      <c r="E97" s="4">
        <v>95</v>
      </c>
      <c r="F97" s="4">
        <v>99</v>
      </c>
      <c r="G97" s="4"/>
      <c r="H97" s="4"/>
    </row>
    <row r="98" spans="1:8" x14ac:dyDescent="0.35">
      <c r="A98">
        <v>2</v>
      </c>
      <c r="B98">
        <v>45</v>
      </c>
      <c r="C98" t="s">
        <v>1049</v>
      </c>
      <c r="D98" s="4">
        <v>20</v>
      </c>
      <c r="E98" s="4">
        <v>50</v>
      </c>
      <c r="F98" s="4">
        <v>70</v>
      </c>
      <c r="G98" s="4"/>
      <c r="H98" s="4"/>
    </row>
    <row r="99" spans="1:8" x14ac:dyDescent="0.35">
      <c r="A99">
        <v>2</v>
      </c>
      <c r="B99">
        <v>46</v>
      </c>
      <c r="C99" t="s">
        <v>1050</v>
      </c>
      <c r="D99" s="4">
        <v>60</v>
      </c>
      <c r="E99" s="4">
        <v>80</v>
      </c>
      <c r="F99" s="4">
        <v>90</v>
      </c>
      <c r="G99" s="4"/>
      <c r="H99" s="4"/>
    </row>
    <row r="100" spans="1:8" x14ac:dyDescent="0.35">
      <c r="A100">
        <v>2</v>
      </c>
      <c r="B100">
        <v>47</v>
      </c>
      <c r="C100" t="s">
        <v>1051</v>
      </c>
      <c r="D100" s="4">
        <v>1</v>
      </c>
      <c r="E100" s="4">
        <v>5</v>
      </c>
      <c r="F100" s="4">
        <v>10</v>
      </c>
      <c r="G100" s="4"/>
      <c r="H100" s="4"/>
    </row>
    <row r="101" spans="1:8" x14ac:dyDescent="0.35">
      <c r="A101">
        <v>2</v>
      </c>
      <c r="B101">
        <v>48</v>
      </c>
      <c r="C101" t="s">
        <v>1052</v>
      </c>
      <c r="D101" s="4">
        <v>75</v>
      </c>
      <c r="E101" s="4">
        <v>85</v>
      </c>
      <c r="F101" s="4">
        <v>95</v>
      </c>
      <c r="G101" s="4"/>
      <c r="H101" s="4"/>
    </row>
    <row r="102" spans="1:8" x14ac:dyDescent="0.35">
      <c r="A102">
        <v>2</v>
      </c>
      <c r="B102">
        <v>49</v>
      </c>
      <c r="C102" t="s">
        <v>1053</v>
      </c>
      <c r="D102" s="4">
        <v>25</v>
      </c>
      <c r="E102" s="4">
        <v>50</v>
      </c>
      <c r="F102" s="4">
        <v>75</v>
      </c>
      <c r="G102" s="4"/>
      <c r="H102" s="4"/>
    </row>
    <row r="103" spans="1:8" x14ac:dyDescent="0.35">
      <c r="A103">
        <v>2</v>
      </c>
      <c r="B103">
        <v>50</v>
      </c>
      <c r="C103" t="s">
        <v>1054</v>
      </c>
      <c r="D103" s="4">
        <v>5</v>
      </c>
      <c r="E103" s="4">
        <v>20</v>
      </c>
      <c r="F103" s="4">
        <v>50</v>
      </c>
      <c r="G103" s="4"/>
      <c r="H103" s="4"/>
    </row>
    <row r="104" spans="1:8" x14ac:dyDescent="0.35">
      <c r="A104">
        <v>2</v>
      </c>
      <c r="B104">
        <v>51</v>
      </c>
      <c r="C104" t="s">
        <v>1055</v>
      </c>
      <c r="D104" s="4">
        <v>1</v>
      </c>
      <c r="E104" s="4">
        <v>5</v>
      </c>
      <c r="F104" s="4">
        <v>15</v>
      </c>
      <c r="G104" s="4"/>
      <c r="H104" s="4"/>
    </row>
    <row r="105" spans="1:8" x14ac:dyDescent="0.35">
      <c r="A105">
        <v>2</v>
      </c>
      <c r="B105">
        <v>52</v>
      </c>
      <c r="C105" t="s">
        <v>1056</v>
      </c>
      <c r="D105" s="4">
        <v>1</v>
      </c>
      <c r="E105" s="4">
        <v>5</v>
      </c>
      <c r="F105" s="4">
        <v>15</v>
      </c>
      <c r="G105" s="4"/>
      <c r="H105" s="4"/>
    </row>
    <row r="106" spans="1:8" x14ac:dyDescent="0.35">
      <c r="A106">
        <v>3</v>
      </c>
      <c r="B106">
        <v>1</v>
      </c>
      <c r="C106" t="s">
        <v>318</v>
      </c>
      <c r="D106" s="4">
        <v>5850</v>
      </c>
      <c r="E106" s="4">
        <v>5900</v>
      </c>
      <c r="F106" s="4">
        <v>5950</v>
      </c>
      <c r="G106" s="4"/>
      <c r="H106" s="4"/>
    </row>
    <row r="107" spans="1:8" x14ac:dyDescent="0.35">
      <c r="A107">
        <v>3</v>
      </c>
      <c r="B107">
        <v>2</v>
      </c>
      <c r="C107" t="s">
        <v>319</v>
      </c>
      <c r="D107" s="4">
        <v>1500000</v>
      </c>
      <c r="E107" s="4">
        <v>2500000</v>
      </c>
      <c r="F107" s="4">
        <v>3500000</v>
      </c>
      <c r="G107" s="4"/>
      <c r="H107" s="4"/>
    </row>
    <row r="108" spans="1:8" x14ac:dyDescent="0.35">
      <c r="A108">
        <v>3</v>
      </c>
      <c r="B108">
        <v>3</v>
      </c>
      <c r="C108" t="s">
        <v>320</v>
      </c>
      <c r="D108" s="4">
        <v>30</v>
      </c>
      <c r="E108" s="4">
        <v>40</v>
      </c>
      <c r="F108" s="4">
        <v>50</v>
      </c>
      <c r="G108" s="4"/>
      <c r="H108" s="4"/>
    </row>
    <row r="109" spans="1:8" x14ac:dyDescent="0.35">
      <c r="A109">
        <v>3</v>
      </c>
      <c r="B109">
        <v>4</v>
      </c>
      <c r="C109" t="s">
        <v>321</v>
      </c>
      <c r="D109" s="4">
        <v>500</v>
      </c>
      <c r="E109" s="4">
        <v>1000</v>
      </c>
      <c r="F109" s="4">
        <v>2000</v>
      </c>
      <c r="G109" s="4"/>
      <c r="H109" s="4"/>
    </row>
    <row r="110" spans="1:8" x14ac:dyDescent="0.35">
      <c r="A110">
        <v>3</v>
      </c>
      <c r="B110">
        <v>5</v>
      </c>
      <c r="C110" t="s">
        <v>322</v>
      </c>
      <c r="D110" s="4">
        <v>5</v>
      </c>
      <c r="E110" s="4">
        <v>25</v>
      </c>
      <c r="F110" s="4">
        <v>90</v>
      </c>
      <c r="G110" s="4"/>
      <c r="H110" s="4"/>
    </row>
    <row r="111" spans="1:8" x14ac:dyDescent="0.35">
      <c r="A111">
        <v>3</v>
      </c>
      <c r="B111">
        <v>6</v>
      </c>
      <c r="C111" t="s">
        <v>323</v>
      </c>
      <c r="D111" s="4">
        <v>10</v>
      </c>
      <c r="E111" s="4">
        <v>12</v>
      </c>
      <c r="F111" s="4">
        <v>30</v>
      </c>
      <c r="G111" s="4"/>
      <c r="H111" s="4"/>
    </row>
    <row r="112" spans="1:8" x14ac:dyDescent="0.35">
      <c r="A112">
        <v>3</v>
      </c>
      <c r="B112">
        <v>7</v>
      </c>
      <c r="C112" t="s">
        <v>324</v>
      </c>
      <c r="D112" s="4">
        <v>250</v>
      </c>
      <c r="E112" s="4">
        <v>270</v>
      </c>
      <c r="F112" s="4">
        <v>300</v>
      </c>
      <c r="G112" s="4"/>
      <c r="H112" s="4"/>
    </row>
    <row r="113" spans="1:8" x14ac:dyDescent="0.35">
      <c r="A113">
        <v>3</v>
      </c>
      <c r="B113">
        <v>8</v>
      </c>
      <c r="C113" t="s">
        <v>325</v>
      </c>
      <c r="D113" s="4">
        <v>10</v>
      </c>
      <c r="E113" s="4">
        <v>25</v>
      </c>
      <c r="F113" s="4">
        <v>50</v>
      </c>
      <c r="G113" s="4"/>
      <c r="H113" s="4"/>
    </row>
    <row r="114" spans="1:8" x14ac:dyDescent="0.35">
      <c r="A114">
        <v>3</v>
      </c>
      <c r="B114">
        <v>9</v>
      </c>
      <c r="C114" t="s">
        <v>326</v>
      </c>
      <c r="D114" s="4">
        <v>40</v>
      </c>
      <c r="E114" s="4">
        <v>60</v>
      </c>
      <c r="F114" s="4">
        <v>80</v>
      </c>
      <c r="G114" s="4"/>
      <c r="H114" s="4"/>
    </row>
    <row r="115" spans="1:8" x14ac:dyDescent="0.35">
      <c r="A115">
        <v>3</v>
      </c>
      <c r="B115">
        <v>10</v>
      </c>
      <c r="C115" t="s">
        <v>327</v>
      </c>
      <c r="D115" s="4">
        <v>500000000</v>
      </c>
      <c r="E115" s="4">
        <v>750000000</v>
      </c>
      <c r="F115" s="4">
        <v>1000000000</v>
      </c>
      <c r="G115" s="4"/>
      <c r="H115" s="4"/>
    </row>
    <row r="116" spans="1:8" x14ac:dyDescent="0.35">
      <c r="A116">
        <v>3</v>
      </c>
      <c r="B116">
        <v>11</v>
      </c>
      <c r="C116" t="s">
        <v>328</v>
      </c>
      <c r="D116" s="4">
        <v>4</v>
      </c>
      <c r="E116" s="4">
        <v>6</v>
      </c>
      <c r="F116" s="4">
        <v>7</v>
      </c>
      <c r="G116" s="4"/>
      <c r="H116" s="4"/>
    </row>
    <row r="117" spans="1:8" x14ac:dyDescent="0.35">
      <c r="A117">
        <v>3</v>
      </c>
      <c r="B117">
        <v>12</v>
      </c>
      <c r="C117" t="s">
        <v>329</v>
      </c>
      <c r="D117" s="4">
        <v>500</v>
      </c>
      <c r="E117" s="4">
        <v>2000</v>
      </c>
      <c r="F117" s="4">
        <v>5000</v>
      </c>
      <c r="G117" s="4"/>
      <c r="H117" s="4"/>
    </row>
    <row r="118" spans="1:8" x14ac:dyDescent="0.35">
      <c r="A118">
        <v>3</v>
      </c>
      <c r="B118">
        <v>13</v>
      </c>
      <c r="C118" t="s">
        <v>330</v>
      </c>
      <c r="D118" s="4">
        <v>1</v>
      </c>
      <c r="E118" s="4">
        <v>5</v>
      </c>
      <c r="F118" s="4">
        <v>10</v>
      </c>
      <c r="G118" s="4"/>
      <c r="H118" s="4"/>
    </row>
    <row r="119" spans="1:8" x14ac:dyDescent="0.35">
      <c r="A119">
        <v>3</v>
      </c>
      <c r="B119">
        <v>14</v>
      </c>
      <c r="C119" t="s">
        <v>1018</v>
      </c>
      <c r="D119" s="4">
        <v>1</v>
      </c>
      <c r="E119" s="4">
        <v>5</v>
      </c>
      <c r="F119" s="4">
        <v>10</v>
      </c>
      <c r="G119" s="4"/>
      <c r="H119" s="4"/>
    </row>
    <row r="120" spans="1:8" x14ac:dyDescent="0.35">
      <c r="A120">
        <v>3</v>
      </c>
      <c r="B120">
        <v>15</v>
      </c>
      <c r="C120" t="s">
        <v>1019</v>
      </c>
      <c r="D120" s="4">
        <v>90</v>
      </c>
      <c r="E120" s="4">
        <v>95</v>
      </c>
      <c r="F120" s="4">
        <v>99</v>
      </c>
      <c r="G120" s="4"/>
      <c r="H120" s="4"/>
    </row>
    <row r="121" spans="1:8" x14ac:dyDescent="0.35">
      <c r="A121">
        <v>3</v>
      </c>
      <c r="B121">
        <v>16</v>
      </c>
      <c r="C121" t="s">
        <v>1020</v>
      </c>
      <c r="D121" s="4">
        <v>40</v>
      </c>
      <c r="E121" s="4">
        <v>60</v>
      </c>
      <c r="F121" s="4">
        <v>80</v>
      </c>
      <c r="G121" s="4"/>
      <c r="H121" s="4"/>
    </row>
    <row r="122" spans="1:8" x14ac:dyDescent="0.35">
      <c r="A122">
        <v>3</v>
      </c>
      <c r="B122">
        <v>17</v>
      </c>
      <c r="C122" t="s">
        <v>1021</v>
      </c>
      <c r="D122" s="4">
        <v>20</v>
      </c>
      <c r="E122" s="4">
        <v>30</v>
      </c>
      <c r="F122" s="4">
        <v>40</v>
      </c>
      <c r="G122" s="4"/>
      <c r="H122" s="4"/>
    </row>
    <row r="123" spans="1:8" x14ac:dyDescent="0.35">
      <c r="A123">
        <v>3</v>
      </c>
      <c r="B123">
        <v>18</v>
      </c>
      <c r="C123" t="s">
        <v>1022</v>
      </c>
      <c r="D123" s="4">
        <v>5</v>
      </c>
      <c r="E123" s="4">
        <v>10</v>
      </c>
      <c r="F123" s="4">
        <v>15</v>
      </c>
      <c r="G123" s="4"/>
      <c r="H123" s="4"/>
    </row>
    <row r="124" spans="1:8" x14ac:dyDescent="0.35">
      <c r="A124">
        <v>3</v>
      </c>
      <c r="B124">
        <v>19</v>
      </c>
      <c r="C124" t="s">
        <v>1023</v>
      </c>
      <c r="D124" s="4">
        <v>60</v>
      </c>
      <c r="E124" s="4">
        <v>70</v>
      </c>
      <c r="F124" s="4">
        <v>80</v>
      </c>
      <c r="G124" s="4"/>
      <c r="H124" s="4"/>
    </row>
    <row r="125" spans="1:8" x14ac:dyDescent="0.35">
      <c r="A125">
        <v>3</v>
      </c>
      <c r="B125">
        <v>20</v>
      </c>
      <c r="C125" t="s">
        <v>1024</v>
      </c>
      <c r="D125" s="4">
        <v>1</v>
      </c>
      <c r="E125" s="4">
        <v>5</v>
      </c>
      <c r="F125" s="4">
        <v>10</v>
      </c>
      <c r="G125" s="4"/>
      <c r="H125" s="4"/>
    </row>
    <row r="126" spans="1:8" x14ac:dyDescent="0.35">
      <c r="A126">
        <v>3</v>
      </c>
      <c r="B126">
        <v>21</v>
      </c>
      <c r="C126" t="s">
        <v>1025</v>
      </c>
      <c r="D126" s="4">
        <v>5</v>
      </c>
      <c r="E126" s="4">
        <v>15</v>
      </c>
      <c r="F126" s="4">
        <v>25</v>
      </c>
      <c r="G126" s="4"/>
      <c r="H126" s="4"/>
    </row>
    <row r="127" spans="1:8" x14ac:dyDescent="0.35">
      <c r="A127">
        <v>3</v>
      </c>
      <c r="B127">
        <v>22</v>
      </c>
      <c r="C127" t="s">
        <v>1026</v>
      </c>
      <c r="D127" s="4">
        <v>1</v>
      </c>
      <c r="E127" s="4">
        <v>5</v>
      </c>
      <c r="F127" s="4">
        <v>10</v>
      </c>
      <c r="G127" s="4"/>
      <c r="H127" s="4"/>
    </row>
    <row r="128" spans="1:8" x14ac:dyDescent="0.35">
      <c r="A128">
        <v>3</v>
      </c>
      <c r="B128">
        <v>23</v>
      </c>
      <c r="C128" t="s">
        <v>1027</v>
      </c>
      <c r="D128" s="4">
        <v>1</v>
      </c>
      <c r="E128" s="4">
        <v>5</v>
      </c>
      <c r="F128" s="4">
        <v>10</v>
      </c>
      <c r="G128" s="4"/>
      <c r="H128" s="4"/>
    </row>
    <row r="129" spans="1:8" x14ac:dyDescent="0.35">
      <c r="A129">
        <v>3</v>
      </c>
      <c r="B129">
        <v>24</v>
      </c>
      <c r="C129" t="s">
        <v>1028</v>
      </c>
      <c r="D129" s="4">
        <v>30</v>
      </c>
      <c r="E129" s="4">
        <v>60</v>
      </c>
      <c r="F129" s="4">
        <v>120</v>
      </c>
      <c r="G129" s="4"/>
      <c r="H129" s="4"/>
    </row>
    <row r="130" spans="1:8" x14ac:dyDescent="0.35">
      <c r="A130">
        <v>3</v>
      </c>
      <c r="B130">
        <v>25</v>
      </c>
      <c r="C130" t="s">
        <v>1029</v>
      </c>
      <c r="D130" s="4">
        <v>10000000000</v>
      </c>
      <c r="E130" s="4">
        <v>30000000000</v>
      </c>
      <c r="F130" s="4">
        <v>100000000000</v>
      </c>
      <c r="G130" s="4"/>
      <c r="H130" s="4"/>
    </row>
    <row r="131" spans="1:8" x14ac:dyDescent="0.35">
      <c r="A131">
        <v>3</v>
      </c>
      <c r="B131">
        <v>26</v>
      </c>
      <c r="C131" t="s">
        <v>1030</v>
      </c>
      <c r="D131" s="4">
        <v>15000</v>
      </c>
      <c r="E131" s="4">
        <v>20000</v>
      </c>
      <c r="F131" s="4">
        <v>25000</v>
      </c>
      <c r="G131" s="4"/>
      <c r="H131" s="4"/>
    </row>
    <row r="132" spans="1:8" x14ac:dyDescent="0.35">
      <c r="A132">
        <v>3</v>
      </c>
      <c r="B132">
        <v>27</v>
      </c>
      <c r="C132" t="s">
        <v>1031</v>
      </c>
      <c r="D132" s="4">
        <v>60</v>
      </c>
      <c r="E132" s="4">
        <v>120</v>
      </c>
      <c r="F132" s="4">
        <v>600</v>
      </c>
      <c r="G132" s="4"/>
      <c r="H132" s="4"/>
    </row>
    <row r="133" spans="1:8" x14ac:dyDescent="0.35">
      <c r="A133">
        <v>3</v>
      </c>
      <c r="B133">
        <v>28</v>
      </c>
      <c r="C133" t="s">
        <v>1032</v>
      </c>
      <c r="D133" s="4">
        <v>100000000000</v>
      </c>
      <c r="E133" s="4">
        <v>200000000000</v>
      </c>
      <c r="F133" s="4">
        <v>1000000000000</v>
      </c>
      <c r="G133" s="4"/>
      <c r="H133" s="4"/>
    </row>
    <row r="134" spans="1:8" x14ac:dyDescent="0.35">
      <c r="A134">
        <v>3</v>
      </c>
      <c r="B134">
        <v>29</v>
      </c>
      <c r="C134" t="s">
        <v>1033</v>
      </c>
      <c r="D134" s="4">
        <v>20000</v>
      </c>
      <c r="E134" s="4">
        <v>30000</v>
      </c>
      <c r="F134" s="4">
        <v>35000</v>
      </c>
      <c r="G134" s="4"/>
      <c r="H134" s="4"/>
    </row>
    <row r="135" spans="1:8" x14ac:dyDescent="0.35">
      <c r="A135">
        <v>3</v>
      </c>
      <c r="B135">
        <v>30</v>
      </c>
      <c r="C135" t="s">
        <v>1034</v>
      </c>
      <c r="D135" s="4">
        <v>21600</v>
      </c>
      <c r="E135" s="4">
        <v>64800</v>
      </c>
      <c r="F135" s="4">
        <v>172800</v>
      </c>
      <c r="G135" s="4"/>
      <c r="H135" s="4"/>
    </row>
    <row r="136" spans="1:8" x14ac:dyDescent="0.35">
      <c r="A136">
        <v>3</v>
      </c>
      <c r="B136">
        <v>31</v>
      </c>
      <c r="C136" t="s">
        <v>1035</v>
      </c>
      <c r="D136" s="4">
        <v>100000000</v>
      </c>
      <c r="E136" s="4">
        <v>1000000000</v>
      </c>
      <c r="F136" s="4">
        <v>10000000000</v>
      </c>
      <c r="G136" s="4"/>
      <c r="H136" s="4"/>
    </row>
    <row r="137" spans="1:8" x14ac:dyDescent="0.35">
      <c r="A137">
        <v>3</v>
      </c>
      <c r="B137">
        <v>32</v>
      </c>
      <c r="C137" t="s">
        <v>1036</v>
      </c>
      <c r="D137" s="4">
        <v>1000</v>
      </c>
      <c r="E137" s="4">
        <v>5000</v>
      </c>
      <c r="F137" s="4">
        <v>10000</v>
      </c>
      <c r="G137" s="4"/>
      <c r="H137" s="4"/>
    </row>
    <row r="138" spans="1:8" x14ac:dyDescent="0.35">
      <c r="A138">
        <v>3</v>
      </c>
      <c r="B138">
        <v>33</v>
      </c>
      <c r="C138" t="s">
        <v>1037</v>
      </c>
      <c r="D138" s="4">
        <v>6</v>
      </c>
      <c r="E138" s="4">
        <v>30</v>
      </c>
      <c r="F138" s="4">
        <v>60</v>
      </c>
      <c r="G138" s="4"/>
      <c r="H138" s="4"/>
    </row>
    <row r="139" spans="1:8" x14ac:dyDescent="0.35">
      <c r="A139">
        <v>3</v>
      </c>
      <c r="B139">
        <v>34</v>
      </c>
      <c r="C139" t="s">
        <v>1038</v>
      </c>
      <c r="D139" s="4">
        <v>1000000000</v>
      </c>
      <c r="E139" s="4">
        <v>5000000000</v>
      </c>
      <c r="F139" s="4">
        <v>10000000000</v>
      </c>
      <c r="G139" s="4"/>
      <c r="H139" s="4"/>
    </row>
    <row r="140" spans="1:8" x14ac:dyDescent="0.35">
      <c r="A140">
        <v>3</v>
      </c>
      <c r="B140">
        <v>35</v>
      </c>
      <c r="C140" t="s">
        <v>1039</v>
      </c>
      <c r="D140" s="4">
        <v>5000</v>
      </c>
      <c r="E140" s="4">
        <v>10000</v>
      </c>
      <c r="F140" s="4">
        <v>15000</v>
      </c>
      <c r="G140" s="4"/>
      <c r="H140" s="4"/>
    </row>
    <row r="141" spans="1:8" x14ac:dyDescent="0.35">
      <c r="A141">
        <v>3</v>
      </c>
      <c r="B141">
        <v>36</v>
      </c>
      <c r="C141" t="s">
        <v>1040</v>
      </c>
      <c r="D141" s="4">
        <v>30</v>
      </c>
      <c r="E141" s="4">
        <v>60</v>
      </c>
      <c r="F141" s="4">
        <v>120</v>
      </c>
      <c r="G141" s="4"/>
      <c r="H141" s="4"/>
    </row>
    <row r="142" spans="1:8" x14ac:dyDescent="0.35">
      <c r="A142">
        <v>3</v>
      </c>
      <c r="B142">
        <v>37</v>
      </c>
      <c r="C142" t="s">
        <v>1041</v>
      </c>
      <c r="D142" s="4">
        <v>10000000000</v>
      </c>
      <c r="E142" s="4">
        <v>30000000000</v>
      </c>
      <c r="F142" s="4">
        <v>100000000000</v>
      </c>
      <c r="G142" s="4"/>
      <c r="H142" s="4"/>
    </row>
    <row r="143" spans="1:8" x14ac:dyDescent="0.35">
      <c r="A143">
        <v>3</v>
      </c>
      <c r="B143">
        <v>38</v>
      </c>
      <c r="C143" t="s">
        <v>1042</v>
      </c>
      <c r="D143" s="4">
        <v>15000</v>
      </c>
      <c r="E143" s="4">
        <v>20000</v>
      </c>
      <c r="F143" s="4">
        <v>25000</v>
      </c>
      <c r="G143" s="4"/>
      <c r="H143" s="4"/>
    </row>
    <row r="144" spans="1:8" x14ac:dyDescent="0.35">
      <c r="A144">
        <v>3</v>
      </c>
      <c r="B144">
        <v>39</v>
      </c>
      <c r="C144" t="s">
        <v>1043</v>
      </c>
      <c r="D144" s="4">
        <v>60</v>
      </c>
      <c r="E144" s="4">
        <v>120</v>
      </c>
      <c r="F144" s="4">
        <v>600</v>
      </c>
      <c r="G144" s="4"/>
      <c r="H144" s="4"/>
    </row>
    <row r="145" spans="1:8" x14ac:dyDescent="0.35">
      <c r="A145">
        <v>3</v>
      </c>
      <c r="B145">
        <v>40</v>
      </c>
      <c r="C145" t="s">
        <v>1044</v>
      </c>
      <c r="D145" s="4">
        <v>100000000000</v>
      </c>
      <c r="E145" s="4">
        <v>200000000000</v>
      </c>
      <c r="F145" s="4">
        <v>1000000000000</v>
      </c>
      <c r="G145" s="4"/>
      <c r="H145" s="4"/>
    </row>
    <row r="146" spans="1:8" x14ac:dyDescent="0.35">
      <c r="A146">
        <v>3</v>
      </c>
      <c r="B146">
        <v>41</v>
      </c>
      <c r="C146" t="s">
        <v>1045</v>
      </c>
      <c r="D146" s="4">
        <v>20000</v>
      </c>
      <c r="E146" s="4">
        <v>30000</v>
      </c>
      <c r="F146" s="4">
        <v>35000</v>
      </c>
      <c r="G146" s="4"/>
      <c r="H146" s="4"/>
    </row>
    <row r="147" spans="1:8" x14ac:dyDescent="0.35">
      <c r="A147">
        <v>3</v>
      </c>
      <c r="B147">
        <v>42</v>
      </c>
      <c r="C147" t="s">
        <v>1046</v>
      </c>
      <c r="D147" s="4">
        <v>1</v>
      </c>
      <c r="E147" s="4">
        <v>10</v>
      </c>
      <c r="F147" s="4">
        <v>50</v>
      </c>
      <c r="G147" s="4"/>
      <c r="H147" s="4"/>
    </row>
    <row r="148" spans="1:8" x14ac:dyDescent="0.35">
      <c r="A148">
        <v>3</v>
      </c>
      <c r="B148">
        <v>43</v>
      </c>
      <c r="C148" t="s">
        <v>1047</v>
      </c>
      <c r="D148" s="4">
        <v>1</v>
      </c>
      <c r="E148" s="4">
        <v>5</v>
      </c>
      <c r="F148" s="4">
        <v>10</v>
      </c>
      <c r="G148" s="4"/>
      <c r="H148" s="4"/>
    </row>
    <row r="149" spans="1:8" x14ac:dyDescent="0.35">
      <c r="A149">
        <v>3</v>
      </c>
      <c r="B149">
        <v>44</v>
      </c>
      <c r="C149" t="s">
        <v>1048</v>
      </c>
      <c r="D149" s="4">
        <v>90</v>
      </c>
      <c r="E149" s="4">
        <v>95</v>
      </c>
      <c r="F149" s="4">
        <v>99</v>
      </c>
      <c r="G149" s="4"/>
      <c r="H149" s="4"/>
    </row>
    <row r="150" spans="1:8" x14ac:dyDescent="0.35">
      <c r="A150">
        <v>3</v>
      </c>
      <c r="B150">
        <v>45</v>
      </c>
      <c r="C150" t="s">
        <v>1049</v>
      </c>
      <c r="D150" s="4">
        <v>40</v>
      </c>
      <c r="E150" s="4">
        <v>60</v>
      </c>
      <c r="F150" s="4">
        <v>80</v>
      </c>
      <c r="G150" s="4"/>
      <c r="H150" s="4"/>
    </row>
    <row r="151" spans="1:8" x14ac:dyDescent="0.35">
      <c r="A151">
        <v>3</v>
      </c>
      <c r="B151">
        <v>46</v>
      </c>
      <c r="C151" t="s">
        <v>1050</v>
      </c>
      <c r="D151" s="4">
        <v>20</v>
      </c>
      <c r="E151" s="4">
        <v>30</v>
      </c>
      <c r="F151" s="4">
        <v>40</v>
      </c>
      <c r="G151" s="4"/>
      <c r="H151" s="4"/>
    </row>
    <row r="152" spans="1:8" x14ac:dyDescent="0.35">
      <c r="A152">
        <v>3</v>
      </c>
      <c r="B152">
        <v>47</v>
      </c>
      <c r="C152" t="s">
        <v>1051</v>
      </c>
      <c r="D152" s="4">
        <v>5</v>
      </c>
      <c r="E152" s="4">
        <v>10</v>
      </c>
      <c r="F152" s="4">
        <v>15</v>
      </c>
      <c r="G152" s="4"/>
      <c r="H152" s="4"/>
    </row>
    <row r="153" spans="1:8" x14ac:dyDescent="0.35">
      <c r="A153">
        <v>3</v>
      </c>
      <c r="B153">
        <v>48</v>
      </c>
      <c r="C153" t="s">
        <v>1052</v>
      </c>
      <c r="D153" s="4">
        <v>70</v>
      </c>
      <c r="E153" s="4">
        <v>80</v>
      </c>
      <c r="F153" s="4">
        <v>90</v>
      </c>
      <c r="G153" s="4"/>
      <c r="H153" s="4"/>
    </row>
    <row r="154" spans="1:8" x14ac:dyDescent="0.35">
      <c r="A154">
        <v>3</v>
      </c>
      <c r="B154">
        <v>49</v>
      </c>
      <c r="C154" t="s">
        <v>1053</v>
      </c>
      <c r="D154" s="4">
        <v>50</v>
      </c>
      <c r="E154" s="4">
        <v>70</v>
      </c>
      <c r="F154" s="4">
        <v>90</v>
      </c>
      <c r="G154" s="4"/>
      <c r="H154" s="4"/>
    </row>
    <row r="155" spans="1:8" x14ac:dyDescent="0.35">
      <c r="A155">
        <v>3</v>
      </c>
      <c r="B155">
        <v>50</v>
      </c>
      <c r="C155" t="s">
        <v>1054</v>
      </c>
      <c r="D155" s="4">
        <v>25</v>
      </c>
      <c r="E155" s="4">
        <v>50</v>
      </c>
      <c r="F155" s="4">
        <v>75</v>
      </c>
      <c r="G155" s="4"/>
      <c r="H155" s="4"/>
    </row>
    <row r="156" spans="1:8" x14ac:dyDescent="0.35">
      <c r="A156">
        <v>3</v>
      </c>
      <c r="B156">
        <v>51</v>
      </c>
      <c r="C156" t="s">
        <v>1055</v>
      </c>
      <c r="D156" s="4">
        <v>15</v>
      </c>
      <c r="E156" s="4">
        <v>30</v>
      </c>
      <c r="F156" s="4">
        <v>45</v>
      </c>
      <c r="G156" s="4"/>
      <c r="H156" s="4"/>
    </row>
    <row r="157" spans="1:8" x14ac:dyDescent="0.35">
      <c r="A157">
        <v>3</v>
      </c>
      <c r="B157">
        <v>52</v>
      </c>
      <c r="C157" t="s">
        <v>1056</v>
      </c>
      <c r="D157" s="4">
        <v>5</v>
      </c>
      <c r="E157" s="4">
        <v>10</v>
      </c>
      <c r="F157" s="4">
        <v>15</v>
      </c>
      <c r="G157" s="4"/>
      <c r="H157" s="4"/>
    </row>
    <row r="158" spans="1:8" x14ac:dyDescent="0.35">
      <c r="A158">
        <v>4</v>
      </c>
      <c r="B158">
        <v>1</v>
      </c>
      <c r="C158" t="s">
        <v>318</v>
      </c>
      <c r="D158" s="4">
        <v>5950</v>
      </c>
      <c r="E158" s="4">
        <v>5983</v>
      </c>
      <c r="F158" s="4">
        <v>6000</v>
      </c>
      <c r="G158" s="4"/>
      <c r="H158" s="4"/>
    </row>
    <row r="159" spans="1:8" x14ac:dyDescent="0.35">
      <c r="A159">
        <v>4</v>
      </c>
      <c r="B159">
        <v>2</v>
      </c>
      <c r="C159" t="s">
        <v>319</v>
      </c>
      <c r="D159" s="4">
        <v>2500000</v>
      </c>
      <c r="E159" s="4">
        <v>3000000</v>
      </c>
      <c r="F159" s="4">
        <v>3500000</v>
      </c>
      <c r="G159" s="4"/>
      <c r="H159" s="4"/>
    </row>
    <row r="160" spans="1:8" x14ac:dyDescent="0.35">
      <c r="A160">
        <v>4</v>
      </c>
      <c r="B160">
        <v>3</v>
      </c>
      <c r="C160" t="s">
        <v>320</v>
      </c>
      <c r="D160" s="4">
        <v>40</v>
      </c>
      <c r="E160" s="4">
        <v>60</v>
      </c>
      <c r="F160" s="4">
        <v>80</v>
      </c>
      <c r="G160" s="4"/>
      <c r="H160" s="4"/>
    </row>
    <row r="161" spans="1:8" x14ac:dyDescent="0.35">
      <c r="A161">
        <v>4</v>
      </c>
      <c r="B161">
        <v>4</v>
      </c>
      <c r="C161" t="s">
        <v>321</v>
      </c>
      <c r="D161" s="4">
        <v>100</v>
      </c>
      <c r="E161" s="4">
        <v>300</v>
      </c>
      <c r="F161" s="4">
        <v>900</v>
      </c>
      <c r="G161" s="4"/>
      <c r="H161" s="4"/>
    </row>
    <row r="162" spans="1:8" x14ac:dyDescent="0.35">
      <c r="A162">
        <v>4</v>
      </c>
      <c r="B162">
        <v>5</v>
      </c>
      <c r="C162" t="s">
        <v>322</v>
      </c>
      <c r="D162" s="4">
        <v>5</v>
      </c>
      <c r="E162" s="4">
        <v>20</v>
      </c>
      <c r="F162" s="4">
        <v>30</v>
      </c>
      <c r="G162" s="4"/>
      <c r="H162" s="4"/>
    </row>
    <row r="163" spans="1:8" x14ac:dyDescent="0.35">
      <c r="A163">
        <v>4</v>
      </c>
      <c r="B163">
        <v>6</v>
      </c>
      <c r="C163" t="s">
        <v>323</v>
      </c>
      <c r="D163" s="4">
        <v>10</v>
      </c>
      <c r="E163" s="4">
        <v>12</v>
      </c>
      <c r="F163" s="4">
        <v>15</v>
      </c>
      <c r="G163" s="4"/>
      <c r="H163" s="4"/>
    </row>
    <row r="164" spans="1:8" x14ac:dyDescent="0.35">
      <c r="A164">
        <v>4</v>
      </c>
      <c r="B164">
        <v>7</v>
      </c>
      <c r="C164" t="s">
        <v>324</v>
      </c>
      <c r="D164" s="4">
        <v>250</v>
      </c>
      <c r="E164" s="4">
        <v>270</v>
      </c>
      <c r="F164" s="4">
        <v>290</v>
      </c>
      <c r="G164" s="4"/>
      <c r="H164" s="4"/>
    </row>
    <row r="165" spans="1:8" x14ac:dyDescent="0.35">
      <c r="A165">
        <v>4</v>
      </c>
      <c r="B165">
        <v>8</v>
      </c>
      <c r="C165" t="s">
        <v>325</v>
      </c>
      <c r="D165" s="4">
        <v>10</v>
      </c>
      <c r="E165" s="4">
        <v>20</v>
      </c>
      <c r="F165" s="4">
        <v>40</v>
      </c>
      <c r="G165" s="4"/>
      <c r="H165" s="4"/>
    </row>
    <row r="166" spans="1:8" x14ac:dyDescent="0.35">
      <c r="A166">
        <v>4</v>
      </c>
      <c r="B166">
        <v>9</v>
      </c>
      <c r="C166" t="s">
        <v>326</v>
      </c>
      <c r="D166" s="4">
        <v>70</v>
      </c>
      <c r="E166" s="4">
        <v>80</v>
      </c>
      <c r="F166" s="4">
        <v>90</v>
      </c>
      <c r="G166" s="4"/>
      <c r="H166" s="4"/>
    </row>
    <row r="167" spans="1:8" x14ac:dyDescent="0.35">
      <c r="A167">
        <v>4</v>
      </c>
      <c r="B167">
        <v>10</v>
      </c>
      <c r="C167" t="s">
        <v>327</v>
      </c>
      <c r="D167" s="4">
        <v>1000000</v>
      </c>
      <c r="E167" s="4">
        <v>1500000</v>
      </c>
      <c r="F167" s="4">
        <v>3000000</v>
      </c>
      <c r="G167" s="4"/>
      <c r="H167" s="4"/>
    </row>
    <row r="168" spans="1:8" x14ac:dyDescent="0.35">
      <c r="A168">
        <v>4</v>
      </c>
      <c r="B168">
        <v>11</v>
      </c>
      <c r="C168" t="s">
        <v>328</v>
      </c>
      <c r="D168" s="4">
        <v>3</v>
      </c>
      <c r="E168" s="4">
        <v>4.5</v>
      </c>
      <c r="F168" s="4">
        <v>6</v>
      </c>
      <c r="G168" s="4"/>
      <c r="H168" s="4"/>
    </row>
    <row r="169" spans="1:8" x14ac:dyDescent="0.35">
      <c r="A169">
        <v>4</v>
      </c>
      <c r="B169">
        <v>12</v>
      </c>
      <c r="C169" t="s">
        <v>329</v>
      </c>
      <c r="D169" s="4">
        <v>100</v>
      </c>
      <c r="E169" s="4">
        <v>500</v>
      </c>
      <c r="F169" s="4">
        <v>1000</v>
      </c>
      <c r="G169" s="4"/>
      <c r="H169" s="4"/>
    </row>
    <row r="170" spans="1:8" x14ac:dyDescent="0.35">
      <c r="A170">
        <v>4</v>
      </c>
      <c r="B170">
        <v>13</v>
      </c>
      <c r="C170" t="s">
        <v>330</v>
      </c>
      <c r="D170" s="4">
        <v>5</v>
      </c>
      <c r="E170" s="4">
        <v>20</v>
      </c>
      <c r="F170" s="4">
        <v>40</v>
      </c>
      <c r="G170" s="4"/>
      <c r="H170" s="4"/>
    </row>
    <row r="171" spans="1:8" x14ac:dyDescent="0.35">
      <c r="A171">
        <v>4</v>
      </c>
      <c r="B171">
        <v>14</v>
      </c>
      <c r="C171" t="s">
        <v>1018</v>
      </c>
      <c r="D171" s="4">
        <v>1</v>
      </c>
      <c r="E171" s="4">
        <v>10</v>
      </c>
      <c r="F171" s="4">
        <v>15</v>
      </c>
      <c r="G171" s="4"/>
      <c r="H171" s="4"/>
    </row>
    <row r="172" spans="1:8" x14ac:dyDescent="0.35">
      <c r="A172">
        <v>4</v>
      </c>
      <c r="B172">
        <v>15</v>
      </c>
      <c r="C172" t="s">
        <v>1019</v>
      </c>
      <c r="D172" s="4">
        <v>60</v>
      </c>
      <c r="E172" s="4">
        <v>87</v>
      </c>
      <c r="F172" s="4">
        <v>99</v>
      </c>
      <c r="G172" s="4"/>
      <c r="H172" s="4"/>
    </row>
    <row r="173" spans="1:8" x14ac:dyDescent="0.35">
      <c r="A173">
        <v>4</v>
      </c>
      <c r="B173">
        <v>16</v>
      </c>
      <c r="C173" t="s">
        <v>1020</v>
      </c>
      <c r="D173" s="4">
        <v>70</v>
      </c>
      <c r="E173" s="4">
        <v>90</v>
      </c>
      <c r="F173" s="4">
        <v>95</v>
      </c>
      <c r="G173" s="4"/>
      <c r="H173" s="4"/>
    </row>
    <row r="174" spans="1:8" x14ac:dyDescent="0.35">
      <c r="A174">
        <v>4</v>
      </c>
      <c r="B174">
        <v>17</v>
      </c>
      <c r="C174" t="s">
        <v>1021</v>
      </c>
      <c r="D174" s="4">
        <v>1</v>
      </c>
      <c r="E174" s="4">
        <v>5</v>
      </c>
      <c r="F174" s="4">
        <v>10</v>
      </c>
      <c r="G174" s="4"/>
      <c r="H174" s="4"/>
    </row>
    <row r="175" spans="1:8" x14ac:dyDescent="0.35">
      <c r="A175">
        <v>4</v>
      </c>
      <c r="B175">
        <v>18</v>
      </c>
      <c r="C175" t="s">
        <v>1022</v>
      </c>
      <c r="D175" s="4">
        <v>1</v>
      </c>
      <c r="E175" s="4">
        <v>5</v>
      </c>
      <c r="F175" s="4">
        <v>10</v>
      </c>
      <c r="G175" s="4"/>
      <c r="H175" s="4"/>
    </row>
    <row r="176" spans="1:8" x14ac:dyDescent="0.35">
      <c r="A176">
        <v>4</v>
      </c>
      <c r="B176">
        <v>19</v>
      </c>
      <c r="C176" t="s">
        <v>1023</v>
      </c>
      <c r="D176" s="4">
        <v>10</v>
      </c>
      <c r="E176" s="4">
        <v>30</v>
      </c>
      <c r="F176" s="4">
        <v>50</v>
      </c>
      <c r="G176" s="4"/>
      <c r="H176" s="4"/>
    </row>
    <row r="177" spans="1:8" x14ac:dyDescent="0.35">
      <c r="A177">
        <v>4</v>
      </c>
      <c r="B177">
        <v>20</v>
      </c>
      <c r="C177" t="s">
        <v>1024</v>
      </c>
      <c r="D177" s="4">
        <v>5</v>
      </c>
      <c r="E177" s="4">
        <v>15</v>
      </c>
      <c r="F177" s="4">
        <v>50</v>
      </c>
      <c r="G177" s="4"/>
      <c r="H177" s="4"/>
    </row>
    <row r="178" spans="1:8" x14ac:dyDescent="0.35">
      <c r="A178">
        <v>4</v>
      </c>
      <c r="B178">
        <v>21</v>
      </c>
      <c r="C178" t="s">
        <v>1025</v>
      </c>
      <c r="D178" s="4">
        <v>10</v>
      </c>
      <c r="E178" s="4">
        <v>40</v>
      </c>
      <c r="F178" s="4">
        <v>80</v>
      </c>
      <c r="G178" s="4"/>
      <c r="H178" s="4"/>
    </row>
    <row r="179" spans="1:8" x14ac:dyDescent="0.35">
      <c r="A179">
        <v>4</v>
      </c>
      <c r="B179">
        <v>22</v>
      </c>
      <c r="C179" t="s">
        <v>1026</v>
      </c>
      <c r="D179" s="4">
        <v>1</v>
      </c>
      <c r="E179" s="4">
        <v>10</v>
      </c>
      <c r="F179" s="4">
        <v>20</v>
      </c>
      <c r="G179" s="4"/>
      <c r="H179" s="4"/>
    </row>
    <row r="180" spans="1:8" x14ac:dyDescent="0.35">
      <c r="A180">
        <v>4</v>
      </c>
      <c r="B180">
        <v>23</v>
      </c>
      <c r="C180" t="s">
        <v>1027</v>
      </c>
      <c r="D180" s="4">
        <v>1</v>
      </c>
      <c r="E180" s="4">
        <v>5</v>
      </c>
      <c r="F180" s="4">
        <v>20</v>
      </c>
      <c r="G180" s="4"/>
      <c r="H180" s="4"/>
    </row>
    <row r="181" spans="1:8" x14ac:dyDescent="0.35">
      <c r="A181">
        <v>4</v>
      </c>
      <c r="B181">
        <v>24</v>
      </c>
      <c r="C181" t="s">
        <v>1028</v>
      </c>
      <c r="D181" s="4">
        <v>60</v>
      </c>
      <c r="E181" s="4">
        <v>300</v>
      </c>
      <c r="F181" s="4">
        <v>720</v>
      </c>
      <c r="G181" s="4"/>
      <c r="H181" s="4"/>
    </row>
    <row r="182" spans="1:8" x14ac:dyDescent="0.35">
      <c r="A182">
        <v>4</v>
      </c>
      <c r="B182">
        <v>25</v>
      </c>
      <c r="C182" t="s">
        <v>1029</v>
      </c>
      <c r="D182" s="4">
        <v>100000000</v>
      </c>
      <c r="E182" s="4">
        <v>1000000000</v>
      </c>
      <c r="F182" s="4">
        <v>10000000000</v>
      </c>
      <c r="G182" s="4"/>
      <c r="H182" s="4"/>
    </row>
    <row r="183" spans="1:8" x14ac:dyDescent="0.35">
      <c r="A183">
        <v>4</v>
      </c>
      <c r="B183">
        <v>26</v>
      </c>
      <c r="C183" t="s">
        <v>1030</v>
      </c>
      <c r="D183" s="4">
        <v>13000</v>
      </c>
      <c r="E183" s="4">
        <v>20000</v>
      </c>
      <c r="F183" s="4">
        <v>25000</v>
      </c>
      <c r="G183" s="4"/>
      <c r="H183" s="4"/>
    </row>
    <row r="184" spans="1:8" x14ac:dyDescent="0.35">
      <c r="A184">
        <v>4</v>
      </c>
      <c r="B184">
        <v>27</v>
      </c>
      <c r="C184" t="s">
        <v>1031</v>
      </c>
      <c r="D184" s="4">
        <v>30</v>
      </c>
      <c r="E184" s="4">
        <v>180</v>
      </c>
      <c r="F184" s="4">
        <v>720</v>
      </c>
      <c r="G184" s="4"/>
      <c r="H184" s="4"/>
    </row>
    <row r="185" spans="1:8" x14ac:dyDescent="0.35">
      <c r="A185">
        <v>4</v>
      </c>
      <c r="B185">
        <v>28</v>
      </c>
      <c r="C185" t="s">
        <v>1032</v>
      </c>
      <c r="D185" s="4">
        <v>10000000000</v>
      </c>
      <c r="E185" s="4">
        <v>100000000000</v>
      </c>
      <c r="F185" s="4">
        <v>1000000000000</v>
      </c>
      <c r="G185" s="4"/>
      <c r="H185" s="4"/>
    </row>
    <row r="186" spans="1:8" x14ac:dyDescent="0.35">
      <c r="A186">
        <v>4</v>
      </c>
      <c r="B186">
        <v>29</v>
      </c>
      <c r="C186" t="s">
        <v>1033</v>
      </c>
      <c r="D186" s="4">
        <v>20000</v>
      </c>
      <c r="E186" s="4">
        <v>30000</v>
      </c>
      <c r="F186" s="4">
        <v>35000</v>
      </c>
      <c r="G186" s="4"/>
      <c r="H186" s="4"/>
    </row>
    <row r="187" spans="1:8" x14ac:dyDescent="0.35">
      <c r="A187">
        <v>4</v>
      </c>
      <c r="B187">
        <v>30</v>
      </c>
      <c r="C187" t="s">
        <v>1034</v>
      </c>
      <c r="D187" s="4">
        <v>14400</v>
      </c>
      <c r="E187" s="4">
        <v>86400</v>
      </c>
      <c r="F187" s="4">
        <v>525600</v>
      </c>
      <c r="G187" s="4"/>
      <c r="H187" s="4"/>
    </row>
    <row r="188" spans="1:8" x14ac:dyDescent="0.35">
      <c r="A188">
        <v>4</v>
      </c>
      <c r="B188">
        <v>31</v>
      </c>
      <c r="C188" t="s">
        <v>1035</v>
      </c>
      <c r="D188" s="4">
        <v>100000</v>
      </c>
      <c r="E188" s="4">
        <v>100000000</v>
      </c>
      <c r="F188" s="4">
        <v>1000000000</v>
      </c>
      <c r="G188" s="4"/>
      <c r="H188" s="4"/>
    </row>
    <row r="189" spans="1:8" x14ac:dyDescent="0.35">
      <c r="A189">
        <v>4</v>
      </c>
      <c r="B189">
        <v>32</v>
      </c>
      <c r="C189" t="s">
        <v>1036</v>
      </c>
      <c r="D189" s="4">
        <v>100</v>
      </c>
      <c r="E189" s="4">
        <v>1000</v>
      </c>
      <c r="F189" s="4">
        <v>3000</v>
      </c>
      <c r="G189" s="4"/>
      <c r="H189" s="4"/>
    </row>
    <row r="190" spans="1:8" x14ac:dyDescent="0.35">
      <c r="A190">
        <v>4</v>
      </c>
      <c r="B190">
        <v>33</v>
      </c>
      <c r="C190" t="s">
        <v>1037</v>
      </c>
      <c r="D190" s="4">
        <v>144</v>
      </c>
      <c r="E190" s="4">
        <v>1440</v>
      </c>
      <c r="F190" s="4">
        <v>7200</v>
      </c>
      <c r="G190" s="4"/>
      <c r="H190" s="4"/>
    </row>
    <row r="191" spans="1:8" x14ac:dyDescent="0.35">
      <c r="A191">
        <v>4</v>
      </c>
      <c r="B191">
        <v>34</v>
      </c>
      <c r="C191" t="s">
        <v>1038</v>
      </c>
      <c r="D191" s="4">
        <v>1000000</v>
      </c>
      <c r="E191" s="4">
        <v>100000000</v>
      </c>
      <c r="F191" s="4">
        <v>1000000000</v>
      </c>
      <c r="G191" s="4"/>
      <c r="H191" s="4"/>
    </row>
    <row r="192" spans="1:8" x14ac:dyDescent="0.35">
      <c r="A192">
        <v>4</v>
      </c>
      <c r="B192">
        <v>35</v>
      </c>
      <c r="C192" t="s">
        <v>1039</v>
      </c>
      <c r="D192" s="4">
        <v>5000</v>
      </c>
      <c r="E192" s="4">
        <v>10000</v>
      </c>
      <c r="F192" s="4">
        <v>15000</v>
      </c>
      <c r="G192" s="4"/>
      <c r="H192" s="4"/>
    </row>
    <row r="193" spans="1:8" x14ac:dyDescent="0.35">
      <c r="A193">
        <v>4</v>
      </c>
      <c r="B193">
        <v>36</v>
      </c>
      <c r="C193" t="s">
        <v>1040</v>
      </c>
      <c r="D193" s="4">
        <v>60</v>
      </c>
      <c r="E193" s="4">
        <v>300</v>
      </c>
      <c r="F193" s="4">
        <v>720</v>
      </c>
      <c r="G193" s="4"/>
      <c r="H193" s="4"/>
    </row>
    <row r="194" spans="1:8" x14ac:dyDescent="0.35">
      <c r="A194">
        <v>4</v>
      </c>
      <c r="B194">
        <v>37</v>
      </c>
      <c r="C194" t="s">
        <v>1041</v>
      </c>
      <c r="D194" s="4">
        <v>100000000</v>
      </c>
      <c r="E194" s="4">
        <v>1000000000</v>
      </c>
      <c r="F194" s="4">
        <v>10000000000</v>
      </c>
      <c r="G194" s="4"/>
      <c r="H194" s="4"/>
    </row>
    <row r="195" spans="1:8" x14ac:dyDescent="0.35">
      <c r="A195">
        <v>4</v>
      </c>
      <c r="B195">
        <v>38</v>
      </c>
      <c r="C195" t="s">
        <v>1042</v>
      </c>
      <c r="D195" s="4">
        <v>13000</v>
      </c>
      <c r="E195" s="4">
        <v>20000</v>
      </c>
      <c r="F195" s="4">
        <v>25000</v>
      </c>
      <c r="G195" s="4"/>
      <c r="H195" s="4"/>
    </row>
    <row r="196" spans="1:8" x14ac:dyDescent="0.35">
      <c r="A196">
        <v>4</v>
      </c>
      <c r="B196">
        <v>39</v>
      </c>
      <c r="C196" t="s">
        <v>1043</v>
      </c>
      <c r="D196" s="4">
        <v>30</v>
      </c>
      <c r="E196" s="4">
        <v>180</v>
      </c>
      <c r="F196" s="4">
        <v>720</v>
      </c>
      <c r="G196" s="4"/>
      <c r="H196" s="4"/>
    </row>
    <row r="197" spans="1:8" x14ac:dyDescent="0.35">
      <c r="A197">
        <v>4</v>
      </c>
      <c r="B197">
        <v>40</v>
      </c>
      <c r="C197" t="s">
        <v>1044</v>
      </c>
      <c r="D197" s="4">
        <v>10000000000</v>
      </c>
      <c r="E197" s="4">
        <v>100000000000</v>
      </c>
      <c r="F197" s="4">
        <v>1000000000000</v>
      </c>
      <c r="G197" s="4"/>
      <c r="H197" s="4"/>
    </row>
    <row r="198" spans="1:8" x14ac:dyDescent="0.35">
      <c r="A198">
        <v>4</v>
      </c>
      <c r="B198">
        <v>41</v>
      </c>
      <c r="C198" t="s">
        <v>1045</v>
      </c>
      <c r="D198" s="4">
        <v>20000</v>
      </c>
      <c r="E198" s="4">
        <v>30000</v>
      </c>
      <c r="F198" s="4">
        <v>35000</v>
      </c>
      <c r="G198" s="4"/>
      <c r="H198" s="4"/>
    </row>
    <row r="199" spans="1:8" x14ac:dyDescent="0.35">
      <c r="A199">
        <v>4</v>
      </c>
      <c r="B199">
        <v>42</v>
      </c>
      <c r="C199" t="s">
        <v>1046</v>
      </c>
      <c r="D199" s="4">
        <v>17</v>
      </c>
      <c r="E199" s="4">
        <v>50</v>
      </c>
      <c r="F199" s="4">
        <v>60</v>
      </c>
      <c r="G199" s="4"/>
      <c r="H199" s="4"/>
    </row>
    <row r="200" spans="1:8" x14ac:dyDescent="0.35">
      <c r="A200">
        <v>4</v>
      </c>
      <c r="B200">
        <v>43</v>
      </c>
      <c r="C200" t="s">
        <v>1047</v>
      </c>
      <c r="D200" s="4">
        <v>1</v>
      </c>
      <c r="E200" s="4">
        <v>10</v>
      </c>
      <c r="F200" s="4">
        <v>15</v>
      </c>
      <c r="G200" s="4"/>
      <c r="H200" s="4"/>
    </row>
    <row r="201" spans="1:8" x14ac:dyDescent="0.35">
      <c r="A201">
        <v>4</v>
      </c>
      <c r="B201">
        <v>44</v>
      </c>
      <c r="C201" t="s">
        <v>1048</v>
      </c>
      <c r="D201" s="4">
        <v>60</v>
      </c>
      <c r="E201" s="4">
        <v>87</v>
      </c>
      <c r="F201" s="4">
        <v>99</v>
      </c>
      <c r="G201" s="4"/>
      <c r="H201" s="4"/>
    </row>
    <row r="202" spans="1:8" x14ac:dyDescent="0.35">
      <c r="A202">
        <v>4</v>
      </c>
      <c r="B202">
        <v>45</v>
      </c>
      <c r="C202" t="s">
        <v>1049</v>
      </c>
      <c r="D202" s="4">
        <v>70</v>
      </c>
      <c r="E202" s="4">
        <v>90</v>
      </c>
      <c r="F202" s="4">
        <v>95</v>
      </c>
      <c r="G202" s="4"/>
      <c r="H202" s="4"/>
    </row>
    <row r="203" spans="1:8" x14ac:dyDescent="0.35">
      <c r="A203">
        <v>4</v>
      </c>
      <c r="B203">
        <v>46</v>
      </c>
      <c r="C203" t="s">
        <v>1050</v>
      </c>
      <c r="D203" s="4">
        <v>1</v>
      </c>
      <c r="E203" s="4">
        <v>5</v>
      </c>
      <c r="F203" s="4">
        <v>10</v>
      </c>
      <c r="G203" s="4"/>
      <c r="H203" s="4"/>
    </row>
    <row r="204" spans="1:8" x14ac:dyDescent="0.35">
      <c r="A204">
        <v>4</v>
      </c>
      <c r="B204">
        <v>47</v>
      </c>
      <c r="C204" t="s">
        <v>1051</v>
      </c>
      <c r="D204" s="4">
        <v>1</v>
      </c>
      <c r="E204" s="4">
        <v>5</v>
      </c>
      <c r="F204" s="4">
        <v>10</v>
      </c>
      <c r="G204" s="4"/>
      <c r="H204" s="4"/>
    </row>
    <row r="205" spans="1:8" x14ac:dyDescent="0.35">
      <c r="A205">
        <v>4</v>
      </c>
      <c r="B205">
        <v>48</v>
      </c>
      <c r="C205" t="s">
        <v>1052</v>
      </c>
      <c r="D205" s="4">
        <v>10</v>
      </c>
      <c r="E205" s="4">
        <v>30</v>
      </c>
      <c r="F205" s="4">
        <v>50</v>
      </c>
      <c r="G205" s="4"/>
      <c r="H205" s="4"/>
    </row>
    <row r="206" spans="1:8" x14ac:dyDescent="0.35">
      <c r="A206">
        <v>4</v>
      </c>
      <c r="B206">
        <v>49</v>
      </c>
      <c r="C206" t="s">
        <v>1053</v>
      </c>
      <c r="D206" s="4">
        <v>5</v>
      </c>
      <c r="E206" s="4">
        <v>15</v>
      </c>
      <c r="F206" s="4">
        <v>50</v>
      </c>
      <c r="G206" s="4"/>
      <c r="H206" s="4"/>
    </row>
    <row r="207" spans="1:8" x14ac:dyDescent="0.35">
      <c r="A207">
        <v>4</v>
      </c>
      <c r="B207">
        <v>50</v>
      </c>
      <c r="C207" t="s">
        <v>1054</v>
      </c>
      <c r="D207" s="4">
        <v>10</v>
      </c>
      <c r="E207" s="4">
        <v>40</v>
      </c>
      <c r="F207" s="4">
        <v>80</v>
      </c>
      <c r="G207" s="4"/>
      <c r="H207" s="4"/>
    </row>
    <row r="208" spans="1:8" x14ac:dyDescent="0.35">
      <c r="A208">
        <v>4</v>
      </c>
      <c r="B208">
        <v>51</v>
      </c>
      <c r="C208" t="s">
        <v>1055</v>
      </c>
      <c r="D208" s="4">
        <v>1</v>
      </c>
      <c r="E208" s="4">
        <v>10</v>
      </c>
      <c r="F208" s="4">
        <v>20</v>
      </c>
      <c r="G208" s="4"/>
      <c r="H208" s="4"/>
    </row>
    <row r="209" spans="1:8" x14ac:dyDescent="0.35">
      <c r="A209">
        <v>4</v>
      </c>
      <c r="B209">
        <v>52</v>
      </c>
      <c r="C209" t="s">
        <v>1056</v>
      </c>
      <c r="D209" s="4">
        <v>1</v>
      </c>
      <c r="E209" s="4">
        <v>5</v>
      </c>
      <c r="F209" s="4">
        <v>20</v>
      </c>
      <c r="G209" s="4"/>
      <c r="H209" s="4"/>
    </row>
    <row r="210" spans="1:8" x14ac:dyDescent="0.35">
      <c r="A210">
        <v>5</v>
      </c>
      <c r="B210">
        <v>1</v>
      </c>
      <c r="C210" t="s">
        <v>318</v>
      </c>
      <c r="D210" s="4">
        <v>5895</v>
      </c>
      <c r="E210" s="4">
        <v>5897</v>
      </c>
      <c r="F210" s="4">
        <v>5900</v>
      </c>
      <c r="G210" s="4"/>
      <c r="H210" s="4"/>
    </row>
    <row r="211" spans="1:8" x14ac:dyDescent="0.35">
      <c r="A211">
        <v>5</v>
      </c>
      <c r="B211">
        <v>2</v>
      </c>
      <c r="C211" t="s">
        <v>319</v>
      </c>
      <c r="D211" s="4">
        <v>2200000</v>
      </c>
      <c r="E211" s="4">
        <v>2700000</v>
      </c>
      <c r="F211" s="4">
        <v>3500000</v>
      </c>
      <c r="G211" s="4"/>
      <c r="H211" s="4"/>
    </row>
    <row r="212" spans="1:8" x14ac:dyDescent="0.35">
      <c r="A212">
        <v>5</v>
      </c>
      <c r="B212">
        <v>3</v>
      </c>
      <c r="C212" t="s">
        <v>320</v>
      </c>
      <c r="D212" s="4">
        <v>15</v>
      </c>
      <c r="E212" s="4">
        <v>25</v>
      </c>
      <c r="F212" s="4">
        <v>40</v>
      </c>
      <c r="G212" s="4"/>
      <c r="H212" s="4"/>
    </row>
    <row r="213" spans="1:8" x14ac:dyDescent="0.35">
      <c r="A213">
        <v>5</v>
      </c>
      <c r="B213">
        <v>4</v>
      </c>
      <c r="C213" t="s">
        <v>321</v>
      </c>
      <c r="D213" s="4">
        <v>800</v>
      </c>
      <c r="E213" s="4">
        <v>1200</v>
      </c>
      <c r="F213" s="4">
        <v>2500</v>
      </c>
      <c r="G213" s="4"/>
      <c r="H213" s="4"/>
    </row>
    <row r="214" spans="1:8" x14ac:dyDescent="0.35">
      <c r="A214">
        <v>5</v>
      </c>
      <c r="B214">
        <v>5</v>
      </c>
      <c r="C214" t="s">
        <v>322</v>
      </c>
      <c r="D214" s="4">
        <v>20</v>
      </c>
      <c r="E214" s="4">
        <v>50</v>
      </c>
      <c r="F214" s="4">
        <v>100</v>
      </c>
      <c r="G214" s="4"/>
      <c r="H214" s="4"/>
    </row>
    <row r="215" spans="1:8" x14ac:dyDescent="0.35">
      <c r="A215">
        <v>5</v>
      </c>
      <c r="B215">
        <v>6</v>
      </c>
      <c r="C215" t="s">
        <v>323</v>
      </c>
      <c r="D215" s="4">
        <v>20</v>
      </c>
      <c r="E215" s="4">
        <v>35</v>
      </c>
      <c r="F215" s="4">
        <v>50</v>
      </c>
      <c r="G215" s="4"/>
      <c r="H215" s="4"/>
    </row>
    <row r="216" spans="1:8" x14ac:dyDescent="0.35">
      <c r="A216">
        <v>5</v>
      </c>
      <c r="B216">
        <v>7</v>
      </c>
      <c r="C216" t="s">
        <v>324</v>
      </c>
      <c r="D216" s="4">
        <v>250</v>
      </c>
      <c r="E216" s="4">
        <v>300</v>
      </c>
      <c r="F216" s="4">
        <v>315</v>
      </c>
      <c r="G216" s="4"/>
      <c r="H216" s="4"/>
    </row>
    <row r="217" spans="1:8" x14ac:dyDescent="0.35">
      <c r="A217">
        <v>5</v>
      </c>
      <c r="B217">
        <v>8</v>
      </c>
      <c r="C217" t="s">
        <v>325</v>
      </c>
      <c r="D217" s="4">
        <v>60</v>
      </c>
      <c r="E217" s="4">
        <v>80</v>
      </c>
      <c r="F217" s="4">
        <v>90</v>
      </c>
      <c r="G217" s="4"/>
      <c r="H217" s="4"/>
    </row>
    <row r="218" spans="1:8" x14ac:dyDescent="0.35">
      <c r="A218">
        <v>5</v>
      </c>
      <c r="B218">
        <v>9</v>
      </c>
      <c r="C218" t="s">
        <v>326</v>
      </c>
      <c r="D218" s="4">
        <v>40</v>
      </c>
      <c r="E218" s="4">
        <v>60</v>
      </c>
      <c r="F218" s="4">
        <v>85</v>
      </c>
      <c r="G218" s="4"/>
      <c r="H218" s="4"/>
    </row>
    <row r="219" spans="1:8" x14ac:dyDescent="0.35">
      <c r="A219">
        <v>5</v>
      </c>
      <c r="B219">
        <v>10</v>
      </c>
      <c r="C219" t="s">
        <v>327</v>
      </c>
      <c r="D219" s="4">
        <v>30000000</v>
      </c>
      <c r="E219" s="4">
        <v>60000000</v>
      </c>
      <c r="F219" s="4">
        <v>100000000</v>
      </c>
      <c r="G219" s="4"/>
      <c r="H219" s="4"/>
    </row>
    <row r="220" spans="1:8" x14ac:dyDescent="0.35">
      <c r="A220">
        <v>5</v>
      </c>
      <c r="B220">
        <v>11</v>
      </c>
      <c r="C220" t="s">
        <v>328</v>
      </c>
      <c r="D220" s="4">
        <v>3</v>
      </c>
      <c r="E220" s="4">
        <v>4.5</v>
      </c>
      <c r="F220" s="4">
        <v>6.5</v>
      </c>
      <c r="G220" s="4"/>
      <c r="H220" s="4"/>
    </row>
    <row r="221" spans="1:8" x14ac:dyDescent="0.35">
      <c r="A221">
        <v>5</v>
      </c>
      <c r="B221">
        <v>12</v>
      </c>
      <c r="C221" t="s">
        <v>329</v>
      </c>
      <c r="D221" s="4">
        <v>1000</v>
      </c>
      <c r="E221" s="4">
        <v>2000</v>
      </c>
      <c r="F221" s="4">
        <v>4000</v>
      </c>
      <c r="G221" s="4"/>
      <c r="H221" s="4"/>
    </row>
    <row r="222" spans="1:8" x14ac:dyDescent="0.35">
      <c r="A222">
        <v>5</v>
      </c>
      <c r="B222">
        <v>13</v>
      </c>
      <c r="C222" t="s">
        <v>330</v>
      </c>
      <c r="D222" s="4">
        <v>15</v>
      </c>
      <c r="E222" s="4">
        <v>25</v>
      </c>
      <c r="F222" s="4">
        <v>45</v>
      </c>
      <c r="G222" s="4"/>
      <c r="H222" s="4"/>
    </row>
    <row r="223" spans="1:8" x14ac:dyDescent="0.35">
      <c r="A223">
        <v>5</v>
      </c>
      <c r="B223">
        <v>14</v>
      </c>
      <c r="C223" t="s">
        <v>1018</v>
      </c>
      <c r="D223" s="4">
        <v>2</v>
      </c>
      <c r="E223" s="4">
        <v>10</v>
      </c>
      <c r="F223" s="4">
        <v>20</v>
      </c>
      <c r="G223" s="4"/>
      <c r="H223" s="4"/>
    </row>
    <row r="224" spans="1:8" x14ac:dyDescent="0.35">
      <c r="A224">
        <v>5</v>
      </c>
      <c r="B224">
        <v>15</v>
      </c>
      <c r="C224" t="s">
        <v>1019</v>
      </c>
      <c r="D224" s="4">
        <v>80</v>
      </c>
      <c r="E224" s="4">
        <v>90</v>
      </c>
      <c r="F224" s="4">
        <v>98</v>
      </c>
      <c r="G224" s="4"/>
      <c r="H224" s="4"/>
    </row>
    <row r="225" spans="1:8" x14ac:dyDescent="0.35">
      <c r="A225">
        <v>5</v>
      </c>
      <c r="B225">
        <v>16</v>
      </c>
      <c r="C225" t="s">
        <v>1020</v>
      </c>
      <c r="D225" s="4">
        <v>40</v>
      </c>
      <c r="E225" s="4">
        <v>50</v>
      </c>
      <c r="F225" s="4">
        <v>75</v>
      </c>
      <c r="G225" s="4"/>
      <c r="H225" s="4"/>
    </row>
    <row r="226" spans="1:8" x14ac:dyDescent="0.35">
      <c r="A226">
        <v>5</v>
      </c>
      <c r="B226">
        <v>17</v>
      </c>
      <c r="C226" t="s">
        <v>1021</v>
      </c>
      <c r="D226" s="4">
        <v>10</v>
      </c>
      <c r="E226" s="4">
        <v>25</v>
      </c>
      <c r="F226" s="4">
        <v>40</v>
      </c>
      <c r="G226" s="4"/>
      <c r="H226" s="4"/>
    </row>
    <row r="227" spans="1:8" x14ac:dyDescent="0.35">
      <c r="A227">
        <v>5</v>
      </c>
      <c r="B227">
        <v>18</v>
      </c>
      <c r="C227" t="s">
        <v>1022</v>
      </c>
      <c r="D227" s="4">
        <v>10</v>
      </c>
      <c r="E227" s="4">
        <v>25</v>
      </c>
      <c r="F227" s="4">
        <v>50</v>
      </c>
      <c r="G227" s="4"/>
      <c r="H227" s="4"/>
    </row>
    <row r="228" spans="1:8" x14ac:dyDescent="0.35">
      <c r="A228">
        <v>5</v>
      </c>
      <c r="B228">
        <v>19</v>
      </c>
      <c r="C228" t="s">
        <v>1023</v>
      </c>
      <c r="D228" s="4">
        <v>30</v>
      </c>
      <c r="E228" s="4">
        <v>40</v>
      </c>
      <c r="F228" s="4">
        <v>50</v>
      </c>
      <c r="G228" s="4"/>
      <c r="H228" s="4"/>
    </row>
    <row r="229" spans="1:8" x14ac:dyDescent="0.35">
      <c r="A229">
        <v>5</v>
      </c>
      <c r="B229">
        <v>20</v>
      </c>
      <c r="C229" t="s">
        <v>1024</v>
      </c>
      <c r="D229" s="4">
        <v>20</v>
      </c>
      <c r="E229" s="4">
        <v>30</v>
      </c>
      <c r="F229" s="4">
        <v>40</v>
      </c>
      <c r="G229" s="4"/>
      <c r="H229" s="4"/>
    </row>
    <row r="230" spans="1:8" x14ac:dyDescent="0.35">
      <c r="A230">
        <v>5</v>
      </c>
      <c r="B230">
        <v>21</v>
      </c>
      <c r="C230" t="s">
        <v>1025</v>
      </c>
      <c r="D230" s="4">
        <v>10</v>
      </c>
      <c r="E230" s="4">
        <v>20</v>
      </c>
      <c r="F230" s="4">
        <v>40</v>
      </c>
      <c r="G230" s="4"/>
      <c r="H230" s="4"/>
    </row>
    <row r="231" spans="1:8" x14ac:dyDescent="0.35">
      <c r="A231">
        <v>5</v>
      </c>
      <c r="B231">
        <v>22</v>
      </c>
      <c r="C231" t="s">
        <v>1026</v>
      </c>
      <c r="D231" s="4">
        <v>1</v>
      </c>
      <c r="E231" s="4">
        <v>5</v>
      </c>
      <c r="F231" s="4">
        <v>10</v>
      </c>
      <c r="G231" s="4"/>
      <c r="H231" s="4"/>
    </row>
    <row r="232" spans="1:8" x14ac:dyDescent="0.35">
      <c r="A232">
        <v>5</v>
      </c>
      <c r="B232">
        <v>23</v>
      </c>
      <c r="C232" t="s">
        <v>1027</v>
      </c>
      <c r="D232" s="4">
        <v>1</v>
      </c>
      <c r="E232" s="4">
        <v>5</v>
      </c>
      <c r="F232" s="4">
        <v>15</v>
      </c>
      <c r="G232" s="4"/>
      <c r="H232" s="4"/>
    </row>
    <row r="233" spans="1:8" x14ac:dyDescent="0.35">
      <c r="A233">
        <v>5</v>
      </c>
      <c r="B233">
        <v>24</v>
      </c>
      <c r="C233" t="s">
        <v>1028</v>
      </c>
      <c r="D233" s="4">
        <v>30</v>
      </c>
      <c r="E233" s="4">
        <v>60</v>
      </c>
      <c r="F233" s="4">
        <v>180</v>
      </c>
      <c r="G233" s="4"/>
      <c r="H233" s="4"/>
    </row>
    <row r="234" spans="1:8" x14ac:dyDescent="0.35">
      <c r="A234">
        <v>5</v>
      </c>
      <c r="B234">
        <v>25</v>
      </c>
      <c r="C234" t="s">
        <v>1029</v>
      </c>
      <c r="D234" s="4">
        <v>5100000000</v>
      </c>
      <c r="E234" s="4">
        <v>21000000000</v>
      </c>
      <c r="F234" s="4">
        <v>51000000000</v>
      </c>
      <c r="G234" s="4"/>
      <c r="H234" s="4"/>
    </row>
    <row r="235" spans="1:8" x14ac:dyDescent="0.35">
      <c r="A235">
        <v>5</v>
      </c>
      <c r="B235">
        <v>26</v>
      </c>
      <c r="C235" t="s">
        <v>1030</v>
      </c>
      <c r="D235" s="4">
        <v>17000</v>
      </c>
      <c r="E235" s="4">
        <v>20000</v>
      </c>
      <c r="F235" s="4">
        <v>25000</v>
      </c>
      <c r="G235" s="4"/>
      <c r="H235" s="4"/>
    </row>
    <row r="236" spans="1:8" x14ac:dyDescent="0.35">
      <c r="A236">
        <v>5</v>
      </c>
      <c r="B236">
        <v>27</v>
      </c>
      <c r="C236" t="s">
        <v>1031</v>
      </c>
      <c r="D236" s="4">
        <v>120</v>
      </c>
      <c r="E236" s="4">
        <v>600</v>
      </c>
      <c r="F236" s="4">
        <v>4320</v>
      </c>
      <c r="G236" s="4"/>
      <c r="H236" s="4"/>
    </row>
    <row r="237" spans="1:8" x14ac:dyDescent="0.35">
      <c r="A237">
        <v>5</v>
      </c>
      <c r="B237">
        <v>28</v>
      </c>
      <c r="C237" t="s">
        <v>1032</v>
      </c>
      <c r="D237" s="4">
        <v>110000000000</v>
      </c>
      <c r="E237" s="4">
        <v>1100000000000</v>
      </c>
      <c r="F237" s="4">
        <v>5100000000000</v>
      </c>
      <c r="G237" s="4"/>
      <c r="H237" s="4"/>
    </row>
    <row r="238" spans="1:8" x14ac:dyDescent="0.35">
      <c r="A238">
        <v>5</v>
      </c>
      <c r="B238">
        <v>29</v>
      </c>
      <c r="C238" t="s">
        <v>1033</v>
      </c>
      <c r="D238" s="4">
        <v>25000</v>
      </c>
      <c r="E238" s="4">
        <v>30000</v>
      </c>
      <c r="F238" s="4">
        <v>35000</v>
      </c>
      <c r="G238" s="4"/>
      <c r="H238" s="4"/>
    </row>
    <row r="239" spans="1:8" x14ac:dyDescent="0.35">
      <c r="A239">
        <v>5</v>
      </c>
      <c r="B239">
        <v>30</v>
      </c>
      <c r="C239" t="s">
        <v>1034</v>
      </c>
      <c r="D239" s="4">
        <v>10080</v>
      </c>
      <c r="E239" s="4">
        <v>129600</v>
      </c>
      <c r="F239" s="4">
        <v>525600</v>
      </c>
      <c r="G239" s="4"/>
      <c r="H239" s="4"/>
    </row>
    <row r="240" spans="1:8" x14ac:dyDescent="0.35">
      <c r="A240">
        <v>5</v>
      </c>
      <c r="B240">
        <v>31</v>
      </c>
      <c r="C240" t="s">
        <v>1035</v>
      </c>
      <c r="D240" s="4">
        <v>110000000</v>
      </c>
      <c r="E240" s="4">
        <v>1100000000</v>
      </c>
      <c r="F240" s="4">
        <v>5100000000</v>
      </c>
      <c r="G240" s="4"/>
      <c r="H240" s="4"/>
    </row>
    <row r="241" spans="1:8" x14ac:dyDescent="0.35">
      <c r="A241">
        <v>5</v>
      </c>
      <c r="B241">
        <v>32</v>
      </c>
      <c r="C241" t="s">
        <v>1036</v>
      </c>
      <c r="D241" s="4">
        <v>7000</v>
      </c>
      <c r="E241" s="4">
        <v>8000</v>
      </c>
      <c r="F241" s="4">
        <v>10000</v>
      </c>
      <c r="G241" s="4"/>
      <c r="H241" s="4"/>
    </row>
    <row r="242" spans="1:8" x14ac:dyDescent="0.35">
      <c r="A242">
        <v>5</v>
      </c>
      <c r="B242">
        <v>33</v>
      </c>
      <c r="C242" t="s">
        <v>1037</v>
      </c>
      <c r="D242" s="4">
        <v>30</v>
      </c>
      <c r="E242" s="4">
        <v>60</v>
      </c>
      <c r="F242" s="4">
        <v>180</v>
      </c>
      <c r="G242" s="4"/>
      <c r="H242" s="4"/>
    </row>
    <row r="243" spans="1:8" x14ac:dyDescent="0.35">
      <c r="A243">
        <v>5</v>
      </c>
      <c r="B243">
        <v>34</v>
      </c>
      <c r="C243" t="s">
        <v>1038</v>
      </c>
      <c r="D243" s="4">
        <v>510000000</v>
      </c>
      <c r="E243" s="4">
        <v>3100000000</v>
      </c>
      <c r="F243" s="4">
        <v>11000000000</v>
      </c>
      <c r="G243" s="4"/>
      <c r="H243" s="4"/>
    </row>
    <row r="244" spans="1:8" x14ac:dyDescent="0.35">
      <c r="A244">
        <v>5</v>
      </c>
      <c r="B244">
        <v>35</v>
      </c>
      <c r="C244" t="s">
        <v>1039</v>
      </c>
      <c r="D244" s="4">
        <v>8000</v>
      </c>
      <c r="E244" s="4">
        <v>10000</v>
      </c>
      <c r="F244" s="4">
        <v>13000</v>
      </c>
      <c r="G244" s="4"/>
      <c r="H244" s="4"/>
    </row>
    <row r="245" spans="1:8" x14ac:dyDescent="0.35">
      <c r="A245">
        <v>5</v>
      </c>
      <c r="B245">
        <v>36</v>
      </c>
      <c r="C245" t="s">
        <v>1040</v>
      </c>
      <c r="D245" s="4">
        <v>60</v>
      </c>
      <c r="E245" s="4">
        <v>180</v>
      </c>
      <c r="F245" s="4">
        <v>360</v>
      </c>
      <c r="G245" s="4"/>
      <c r="H245" s="4"/>
    </row>
    <row r="246" spans="1:8" x14ac:dyDescent="0.35">
      <c r="A246">
        <v>5</v>
      </c>
      <c r="B246">
        <v>37</v>
      </c>
      <c r="C246" t="s">
        <v>1041</v>
      </c>
      <c r="D246" s="4">
        <v>5100000000</v>
      </c>
      <c r="E246" s="4">
        <v>21000000000</v>
      </c>
      <c r="F246" s="4">
        <v>110000000000</v>
      </c>
      <c r="G246" s="4"/>
      <c r="H246" s="4"/>
    </row>
    <row r="247" spans="1:8" x14ac:dyDescent="0.35">
      <c r="A247">
        <v>5</v>
      </c>
      <c r="B247">
        <v>38</v>
      </c>
      <c r="C247" t="s">
        <v>1042</v>
      </c>
      <c r="D247" s="4">
        <v>16000</v>
      </c>
      <c r="E247" s="4">
        <v>20000</v>
      </c>
      <c r="F247" s="4">
        <v>24000</v>
      </c>
      <c r="G247" s="4"/>
      <c r="H247" s="4"/>
    </row>
    <row r="248" spans="1:8" x14ac:dyDescent="0.35">
      <c r="A248">
        <v>5</v>
      </c>
      <c r="B248">
        <v>39</v>
      </c>
      <c r="C248" t="s">
        <v>1043</v>
      </c>
      <c r="D248" s="4">
        <v>60</v>
      </c>
      <c r="E248" s="4">
        <v>240</v>
      </c>
      <c r="F248" s="4">
        <v>600</v>
      </c>
      <c r="G248" s="4"/>
      <c r="H248" s="4"/>
    </row>
    <row r="249" spans="1:8" x14ac:dyDescent="0.35">
      <c r="A249">
        <v>5</v>
      </c>
      <c r="B249">
        <v>40</v>
      </c>
      <c r="C249" t="s">
        <v>1044</v>
      </c>
      <c r="D249" s="4">
        <v>210000000000</v>
      </c>
      <c r="E249" s="4">
        <v>510000000000</v>
      </c>
      <c r="F249" s="4">
        <v>2100000000000</v>
      </c>
      <c r="G249" s="4"/>
      <c r="H249" s="4"/>
    </row>
    <row r="250" spans="1:8" x14ac:dyDescent="0.35">
      <c r="A250">
        <v>5</v>
      </c>
      <c r="B250">
        <v>41</v>
      </c>
      <c r="C250" t="s">
        <v>1045</v>
      </c>
      <c r="D250" s="4">
        <v>22000</v>
      </c>
      <c r="E250" s="4">
        <v>26000</v>
      </c>
      <c r="F250" s="4">
        <v>32000</v>
      </c>
      <c r="G250" s="4"/>
      <c r="H250" s="4"/>
    </row>
    <row r="251" spans="1:8" x14ac:dyDescent="0.35">
      <c r="A251">
        <v>5</v>
      </c>
      <c r="B251">
        <v>42</v>
      </c>
      <c r="C251" t="s">
        <v>1046</v>
      </c>
      <c r="D251" s="4">
        <v>25</v>
      </c>
      <c r="E251" s="4">
        <v>75</v>
      </c>
      <c r="F251" s="4">
        <v>150</v>
      </c>
      <c r="G251" s="4"/>
      <c r="H251" s="4"/>
    </row>
    <row r="252" spans="1:8" x14ac:dyDescent="0.35">
      <c r="A252">
        <v>5</v>
      </c>
      <c r="B252">
        <v>43</v>
      </c>
      <c r="C252" t="s">
        <v>1047</v>
      </c>
      <c r="D252" s="4">
        <v>2</v>
      </c>
      <c r="E252" s="4">
        <v>10</v>
      </c>
      <c r="F252" s="4">
        <v>20</v>
      </c>
      <c r="G252" s="4"/>
      <c r="H252" s="4"/>
    </row>
    <row r="253" spans="1:8" x14ac:dyDescent="0.35">
      <c r="A253">
        <v>5</v>
      </c>
      <c r="B253">
        <v>44</v>
      </c>
      <c r="C253" t="s">
        <v>1048</v>
      </c>
      <c r="D253" s="4">
        <v>60</v>
      </c>
      <c r="E253" s="4">
        <v>70</v>
      </c>
      <c r="F253" s="4">
        <v>90</v>
      </c>
      <c r="G253" s="4"/>
      <c r="H253" s="4"/>
    </row>
    <row r="254" spans="1:8" x14ac:dyDescent="0.35">
      <c r="A254">
        <v>5</v>
      </c>
      <c r="B254">
        <v>45</v>
      </c>
      <c r="C254" t="s">
        <v>1049</v>
      </c>
      <c r="D254" s="4">
        <v>1</v>
      </c>
      <c r="E254" s="4">
        <v>5</v>
      </c>
      <c r="F254" s="4">
        <v>15</v>
      </c>
      <c r="G254" s="4"/>
      <c r="H254" s="4"/>
    </row>
    <row r="255" spans="1:8" x14ac:dyDescent="0.35">
      <c r="A255">
        <v>5</v>
      </c>
      <c r="B255">
        <v>46</v>
      </c>
      <c r="C255" t="s">
        <v>1050</v>
      </c>
      <c r="D255" s="4">
        <v>1</v>
      </c>
      <c r="E255" s="4">
        <v>3</v>
      </c>
      <c r="F255" s="4">
        <v>5</v>
      </c>
      <c r="G255" s="4"/>
      <c r="H255" s="4"/>
    </row>
    <row r="256" spans="1:8" x14ac:dyDescent="0.35">
      <c r="A256">
        <v>5</v>
      </c>
      <c r="B256">
        <v>47</v>
      </c>
      <c r="C256" t="s">
        <v>1051</v>
      </c>
      <c r="D256" s="4">
        <v>1</v>
      </c>
      <c r="E256" s="4">
        <v>2</v>
      </c>
      <c r="F256" s="4">
        <v>5</v>
      </c>
      <c r="G256" s="4"/>
      <c r="H256" s="4"/>
    </row>
    <row r="257" spans="1:8" x14ac:dyDescent="0.35">
      <c r="A257">
        <v>5</v>
      </c>
      <c r="B257">
        <v>48</v>
      </c>
      <c r="C257" t="s">
        <v>1052</v>
      </c>
      <c r="D257" s="4">
        <v>50</v>
      </c>
      <c r="E257" s="4">
        <v>70</v>
      </c>
      <c r="F257" s="4">
        <v>90</v>
      </c>
      <c r="G257" s="4"/>
      <c r="H257" s="4"/>
    </row>
    <row r="258" spans="1:8" x14ac:dyDescent="0.35">
      <c r="A258">
        <v>5</v>
      </c>
      <c r="B258">
        <v>49</v>
      </c>
      <c r="C258" t="s">
        <v>1053</v>
      </c>
      <c r="D258" s="4">
        <v>40</v>
      </c>
      <c r="E258" s="4">
        <v>60</v>
      </c>
      <c r="F258" s="4">
        <v>70</v>
      </c>
      <c r="G258" s="4"/>
      <c r="H258" s="4"/>
    </row>
    <row r="259" spans="1:8" x14ac:dyDescent="0.35">
      <c r="A259">
        <v>5</v>
      </c>
      <c r="B259">
        <v>50</v>
      </c>
      <c r="C259" t="s">
        <v>1054</v>
      </c>
      <c r="D259" s="4">
        <v>20</v>
      </c>
      <c r="E259" s="4">
        <v>40</v>
      </c>
      <c r="F259" s="4">
        <v>60</v>
      </c>
      <c r="G259" s="4"/>
      <c r="H259" s="4"/>
    </row>
    <row r="260" spans="1:8" x14ac:dyDescent="0.35">
      <c r="A260">
        <v>5</v>
      </c>
      <c r="B260">
        <v>51</v>
      </c>
      <c r="C260" t="s">
        <v>1055</v>
      </c>
      <c r="D260" s="4">
        <v>5</v>
      </c>
      <c r="E260" s="4">
        <v>20</v>
      </c>
      <c r="F260" s="4">
        <v>30</v>
      </c>
      <c r="G260" s="4"/>
      <c r="H260" s="4"/>
    </row>
    <row r="261" spans="1:8" x14ac:dyDescent="0.35">
      <c r="A261">
        <v>5</v>
      </c>
      <c r="B261">
        <v>52</v>
      </c>
      <c r="C261" t="s">
        <v>1056</v>
      </c>
      <c r="D261" s="4">
        <v>15</v>
      </c>
      <c r="E261" s="4">
        <v>25</v>
      </c>
      <c r="F261" s="4">
        <v>40</v>
      </c>
      <c r="G261" s="4"/>
      <c r="H261" s="4"/>
    </row>
    <row r="262" spans="1:8" x14ac:dyDescent="0.35">
      <c r="A262">
        <v>6</v>
      </c>
      <c r="B262">
        <v>1</v>
      </c>
      <c r="C262" t="s">
        <v>318</v>
      </c>
      <c r="D262" s="4">
        <v>4000</v>
      </c>
      <c r="E262" s="4">
        <v>6000</v>
      </c>
      <c r="F262" s="4">
        <v>7000</v>
      </c>
      <c r="G262" s="4"/>
      <c r="H262" s="4"/>
    </row>
    <row r="263" spans="1:8" x14ac:dyDescent="0.35">
      <c r="A263">
        <v>6</v>
      </c>
      <c r="B263">
        <v>2</v>
      </c>
      <c r="C263" t="s">
        <v>319</v>
      </c>
      <c r="D263" s="4">
        <v>2000000</v>
      </c>
      <c r="E263" s="4">
        <v>4000000</v>
      </c>
      <c r="F263" s="4">
        <v>9000000</v>
      </c>
      <c r="G263" s="4"/>
      <c r="H263" s="4"/>
    </row>
    <row r="264" spans="1:8" x14ac:dyDescent="0.35">
      <c r="A264">
        <v>6</v>
      </c>
      <c r="B264">
        <v>3</v>
      </c>
      <c r="C264" t="s">
        <v>320</v>
      </c>
      <c r="D264" s="4">
        <v>20</v>
      </c>
      <c r="E264" s="4">
        <v>40</v>
      </c>
      <c r="F264" s="4">
        <v>70</v>
      </c>
      <c r="G264" s="4"/>
      <c r="H264" s="4"/>
    </row>
    <row r="265" spans="1:8" x14ac:dyDescent="0.35">
      <c r="A265">
        <v>6</v>
      </c>
      <c r="B265">
        <v>4</v>
      </c>
      <c r="C265" t="s">
        <v>321</v>
      </c>
      <c r="D265" s="4">
        <v>50</v>
      </c>
      <c r="E265" s="4">
        <v>5000</v>
      </c>
      <c r="F265" s="4">
        <v>15000</v>
      </c>
      <c r="G265" s="4"/>
      <c r="H265" s="4"/>
    </row>
    <row r="266" spans="1:8" x14ac:dyDescent="0.35">
      <c r="A266">
        <v>6</v>
      </c>
      <c r="B266">
        <v>5</v>
      </c>
      <c r="C266" t="s">
        <v>322</v>
      </c>
      <c r="D266" s="4">
        <v>10</v>
      </c>
      <c r="E266" s="4">
        <v>40</v>
      </c>
      <c r="F266" s="4">
        <v>90</v>
      </c>
      <c r="G266" s="4"/>
      <c r="H266" s="4"/>
    </row>
    <row r="267" spans="1:8" x14ac:dyDescent="0.35">
      <c r="A267">
        <v>6</v>
      </c>
      <c r="B267">
        <v>6</v>
      </c>
      <c r="C267" t="s">
        <v>323</v>
      </c>
      <c r="D267" s="4">
        <v>100</v>
      </c>
      <c r="E267" s="4">
        <v>1000</v>
      </c>
      <c r="F267" s="4">
        <v>10000</v>
      </c>
      <c r="G267" s="4"/>
      <c r="H267" s="4"/>
    </row>
    <row r="268" spans="1:8" x14ac:dyDescent="0.35">
      <c r="A268">
        <v>6</v>
      </c>
      <c r="B268">
        <v>7</v>
      </c>
      <c r="C268" t="s">
        <v>324</v>
      </c>
      <c r="D268" s="4">
        <v>260</v>
      </c>
      <c r="E268" s="4">
        <v>300</v>
      </c>
      <c r="F268" s="4">
        <v>340</v>
      </c>
      <c r="G268" s="4"/>
      <c r="H268" s="4"/>
    </row>
    <row r="269" spans="1:8" x14ac:dyDescent="0.35">
      <c r="A269">
        <v>6</v>
      </c>
      <c r="B269">
        <v>8</v>
      </c>
      <c r="C269" t="s">
        <v>325</v>
      </c>
      <c r="D269" s="4">
        <v>10</v>
      </c>
      <c r="E269" s="4">
        <v>50</v>
      </c>
      <c r="F269" s="4">
        <v>90</v>
      </c>
      <c r="G269" s="4"/>
      <c r="H269" s="4"/>
    </row>
    <row r="270" spans="1:8" x14ac:dyDescent="0.35">
      <c r="A270">
        <v>6</v>
      </c>
      <c r="B270">
        <v>9</v>
      </c>
      <c r="C270" t="s">
        <v>326</v>
      </c>
      <c r="D270" s="4">
        <v>1</v>
      </c>
      <c r="E270" s="4">
        <v>20</v>
      </c>
      <c r="F270" s="4">
        <v>50</v>
      </c>
      <c r="G270" s="4"/>
      <c r="H270" s="4"/>
    </row>
    <row r="271" spans="1:8" x14ac:dyDescent="0.35">
      <c r="A271">
        <v>6</v>
      </c>
      <c r="B271">
        <v>10</v>
      </c>
      <c r="C271" t="s">
        <v>327</v>
      </c>
      <c r="D271" s="4">
        <v>1000</v>
      </c>
      <c r="E271" s="4">
        <v>50000</v>
      </c>
      <c r="F271" s="4">
        <v>100000</v>
      </c>
      <c r="G271" s="4"/>
      <c r="H271" s="4"/>
    </row>
    <row r="272" spans="1:8" x14ac:dyDescent="0.35">
      <c r="A272">
        <v>6</v>
      </c>
      <c r="B272">
        <v>11</v>
      </c>
      <c r="C272" t="s">
        <v>328</v>
      </c>
      <c r="D272" s="4">
        <v>0.1</v>
      </c>
      <c r="E272" s="4">
        <v>10</v>
      </c>
      <c r="F272" s="4">
        <v>30</v>
      </c>
      <c r="G272" s="4"/>
      <c r="H272" s="4"/>
    </row>
    <row r="273" spans="1:8" x14ac:dyDescent="0.35">
      <c r="A273">
        <v>6</v>
      </c>
      <c r="B273">
        <v>12</v>
      </c>
      <c r="C273" t="s">
        <v>329</v>
      </c>
      <c r="D273" s="4">
        <v>10</v>
      </c>
      <c r="E273" s="4">
        <v>200</v>
      </c>
      <c r="F273" s="4">
        <v>1000</v>
      </c>
      <c r="G273" s="4"/>
      <c r="H273" s="4"/>
    </row>
    <row r="274" spans="1:8" x14ac:dyDescent="0.35">
      <c r="A274">
        <v>6</v>
      </c>
      <c r="B274">
        <v>13</v>
      </c>
      <c r="C274" t="s">
        <v>330</v>
      </c>
      <c r="D274" s="4">
        <v>10</v>
      </c>
      <c r="E274" s="4">
        <v>30</v>
      </c>
      <c r="F274" s="4">
        <v>70</v>
      </c>
      <c r="G274" s="4"/>
      <c r="H274" s="4"/>
    </row>
    <row r="275" spans="1:8" x14ac:dyDescent="0.35">
      <c r="A275">
        <v>6</v>
      </c>
      <c r="B275">
        <v>14</v>
      </c>
      <c r="C275" t="s">
        <v>1018</v>
      </c>
      <c r="D275" s="4">
        <v>55</v>
      </c>
      <c r="E275" s="4">
        <v>80</v>
      </c>
      <c r="F275" s="4">
        <v>99</v>
      </c>
      <c r="G275" s="4"/>
      <c r="H275" s="4"/>
    </row>
    <row r="276" spans="1:8" x14ac:dyDescent="0.35">
      <c r="A276">
        <v>6</v>
      </c>
      <c r="B276">
        <v>15</v>
      </c>
      <c r="C276" t="s">
        <v>1019</v>
      </c>
      <c r="D276" s="4">
        <v>10</v>
      </c>
      <c r="E276" s="4">
        <v>25</v>
      </c>
      <c r="F276" s="4">
        <v>40</v>
      </c>
      <c r="G276" s="4"/>
      <c r="H276" s="4"/>
    </row>
    <row r="277" spans="1:8" x14ac:dyDescent="0.35">
      <c r="A277">
        <v>6</v>
      </c>
      <c r="B277">
        <v>16</v>
      </c>
      <c r="C277" t="s">
        <v>1020</v>
      </c>
      <c r="D277" s="4">
        <v>10</v>
      </c>
      <c r="E277" s="4">
        <v>30</v>
      </c>
      <c r="F277" s="4">
        <v>40</v>
      </c>
      <c r="G277" s="4"/>
      <c r="H277" s="4"/>
    </row>
    <row r="278" spans="1:8" x14ac:dyDescent="0.35">
      <c r="A278">
        <v>6</v>
      </c>
      <c r="B278">
        <v>17</v>
      </c>
      <c r="C278" t="s">
        <v>1021</v>
      </c>
      <c r="D278" s="4">
        <v>50</v>
      </c>
      <c r="E278" s="4">
        <v>75</v>
      </c>
      <c r="F278" s="4">
        <v>95</v>
      </c>
      <c r="G278" s="4"/>
      <c r="H278" s="4"/>
    </row>
    <row r="279" spans="1:8" x14ac:dyDescent="0.35">
      <c r="A279">
        <v>6</v>
      </c>
      <c r="B279">
        <v>18</v>
      </c>
      <c r="C279" t="s">
        <v>1022</v>
      </c>
      <c r="D279" s="4">
        <v>1</v>
      </c>
      <c r="E279" s="4">
        <v>5</v>
      </c>
      <c r="F279" s="4">
        <v>30</v>
      </c>
      <c r="G279" s="4"/>
      <c r="H279" s="4"/>
    </row>
    <row r="280" spans="1:8" x14ac:dyDescent="0.35">
      <c r="A280">
        <v>6</v>
      </c>
      <c r="B280">
        <v>19</v>
      </c>
      <c r="C280" t="s">
        <v>1023</v>
      </c>
      <c r="D280" s="4">
        <v>5</v>
      </c>
      <c r="E280" s="4">
        <v>10</v>
      </c>
      <c r="F280" s="4">
        <v>20</v>
      </c>
      <c r="G280" s="4"/>
      <c r="H280" s="4"/>
    </row>
    <row r="281" spans="1:8" x14ac:dyDescent="0.35">
      <c r="A281">
        <v>6</v>
      </c>
      <c r="B281">
        <v>20</v>
      </c>
      <c r="C281" t="s">
        <v>1024</v>
      </c>
      <c r="D281" s="4">
        <v>10</v>
      </c>
      <c r="E281" s="4">
        <v>25</v>
      </c>
      <c r="F281" s="4">
        <v>40</v>
      </c>
      <c r="G281" s="4"/>
      <c r="H281" s="4"/>
    </row>
    <row r="282" spans="1:8" x14ac:dyDescent="0.35">
      <c r="A282">
        <v>6</v>
      </c>
      <c r="B282">
        <v>21</v>
      </c>
      <c r="C282" t="s">
        <v>1025</v>
      </c>
      <c r="D282" s="4">
        <v>5</v>
      </c>
      <c r="E282" s="4">
        <v>15</v>
      </c>
      <c r="F282" s="4">
        <v>30</v>
      </c>
      <c r="G282" s="4"/>
      <c r="H282" s="4"/>
    </row>
    <row r="283" spans="1:8" x14ac:dyDescent="0.35">
      <c r="A283">
        <v>6</v>
      </c>
      <c r="B283">
        <v>22</v>
      </c>
      <c r="C283" t="s">
        <v>1026</v>
      </c>
      <c r="D283" s="4">
        <v>10</v>
      </c>
      <c r="E283" s="4">
        <v>25</v>
      </c>
      <c r="F283" s="4">
        <v>35</v>
      </c>
      <c r="G283" s="4"/>
      <c r="H283" s="4"/>
    </row>
    <row r="284" spans="1:8" x14ac:dyDescent="0.35">
      <c r="A284">
        <v>6</v>
      </c>
      <c r="B284">
        <v>23</v>
      </c>
      <c r="C284" t="s">
        <v>1027</v>
      </c>
      <c r="D284" s="4">
        <v>10</v>
      </c>
      <c r="E284" s="4">
        <v>25</v>
      </c>
      <c r="F284" s="4">
        <v>35</v>
      </c>
      <c r="G284" s="4"/>
      <c r="H284" s="4"/>
    </row>
    <row r="285" spans="1:8" x14ac:dyDescent="0.35">
      <c r="A285">
        <v>6</v>
      </c>
      <c r="B285">
        <v>24</v>
      </c>
      <c r="C285" t="s">
        <v>1028</v>
      </c>
      <c r="D285" s="4">
        <v>-999.5</v>
      </c>
      <c r="E285" s="4">
        <v>-999.6</v>
      </c>
      <c r="F285" s="4">
        <v>-999.5</v>
      </c>
      <c r="G285" s="4"/>
      <c r="H285" s="4"/>
    </row>
    <row r="286" spans="1:8" x14ac:dyDescent="0.35">
      <c r="A286">
        <v>6</v>
      </c>
      <c r="B286">
        <v>25</v>
      </c>
      <c r="C286" t="s">
        <v>1029</v>
      </c>
      <c r="D286" s="4">
        <v>-999.6</v>
      </c>
      <c r="E286" s="4">
        <v>-999.6</v>
      </c>
      <c r="F286" s="4">
        <v>-999.6</v>
      </c>
      <c r="G286" s="4"/>
      <c r="H286" s="4"/>
    </row>
    <row r="287" spans="1:8" x14ac:dyDescent="0.35">
      <c r="A287">
        <v>6</v>
      </c>
      <c r="B287">
        <v>26</v>
      </c>
      <c r="C287" t="s">
        <v>1030</v>
      </c>
      <c r="D287" s="4">
        <v>-999.6</v>
      </c>
      <c r="E287" s="4">
        <v>-999.6</v>
      </c>
      <c r="F287" s="4">
        <v>-999.6</v>
      </c>
      <c r="G287" s="4"/>
      <c r="H287" s="4"/>
    </row>
    <row r="288" spans="1:8" x14ac:dyDescent="0.35">
      <c r="A288">
        <v>6</v>
      </c>
      <c r="B288">
        <v>27</v>
      </c>
      <c r="C288" t="s">
        <v>1031</v>
      </c>
      <c r="D288" s="4">
        <v>-999.6</v>
      </c>
      <c r="E288" s="4">
        <v>-999.6</v>
      </c>
      <c r="F288" s="4">
        <v>-999.6</v>
      </c>
      <c r="G288" s="4"/>
      <c r="H288" s="4"/>
    </row>
    <row r="289" spans="1:8" x14ac:dyDescent="0.35">
      <c r="A289">
        <v>6</v>
      </c>
      <c r="B289">
        <v>28</v>
      </c>
      <c r="C289" t="s">
        <v>1032</v>
      </c>
      <c r="D289" s="4">
        <v>-999.6</v>
      </c>
      <c r="E289" s="4">
        <v>-999.6</v>
      </c>
      <c r="F289" s="4">
        <v>-999.6</v>
      </c>
      <c r="G289" s="4"/>
      <c r="H289" s="4"/>
    </row>
    <row r="290" spans="1:8" x14ac:dyDescent="0.35">
      <c r="A290">
        <v>6</v>
      </c>
      <c r="B290">
        <v>29</v>
      </c>
      <c r="C290" t="s">
        <v>1033</v>
      </c>
      <c r="D290" s="4">
        <v>-999.6</v>
      </c>
      <c r="E290" s="4">
        <v>-999.6</v>
      </c>
      <c r="F290" s="4">
        <v>-999.6</v>
      </c>
      <c r="G290" s="4"/>
      <c r="H290" s="4"/>
    </row>
    <row r="291" spans="1:8" x14ac:dyDescent="0.35">
      <c r="A291">
        <v>6</v>
      </c>
      <c r="B291">
        <v>30</v>
      </c>
      <c r="C291" t="s">
        <v>1034</v>
      </c>
      <c r="D291" s="4">
        <v>28800</v>
      </c>
      <c r="E291" s="4">
        <v>144000</v>
      </c>
      <c r="F291" s="4">
        <v>288000</v>
      </c>
      <c r="G291" s="4"/>
      <c r="H291" s="4"/>
    </row>
    <row r="292" spans="1:8" x14ac:dyDescent="0.35">
      <c r="A292">
        <v>6</v>
      </c>
      <c r="B292">
        <v>31</v>
      </c>
      <c r="C292" t="s">
        <v>1035</v>
      </c>
      <c r="D292" s="4">
        <v>10000000</v>
      </c>
      <c r="E292" s="4">
        <v>1000000000</v>
      </c>
      <c r="F292" s="4">
        <v>100000000000</v>
      </c>
      <c r="G292" s="4"/>
      <c r="H292" s="4"/>
    </row>
    <row r="293" spans="1:8" x14ac:dyDescent="0.35">
      <c r="A293">
        <v>6</v>
      </c>
      <c r="B293">
        <v>32</v>
      </c>
      <c r="C293" t="s">
        <v>1036</v>
      </c>
      <c r="D293" s="4">
        <v>500</v>
      </c>
      <c r="E293" s="4">
        <v>5000</v>
      </c>
      <c r="F293" s="4">
        <v>15000</v>
      </c>
      <c r="G293" s="4"/>
      <c r="H293" s="4"/>
    </row>
    <row r="294" spans="1:8" x14ac:dyDescent="0.35">
      <c r="A294">
        <v>6</v>
      </c>
      <c r="B294">
        <v>33</v>
      </c>
      <c r="C294" t="s">
        <v>1037</v>
      </c>
      <c r="D294" s="4">
        <v>1440</v>
      </c>
      <c r="E294" s="4">
        <v>7200</v>
      </c>
      <c r="F294" s="4">
        <v>17280</v>
      </c>
      <c r="G294" s="4"/>
      <c r="H294" s="4"/>
    </row>
    <row r="295" spans="1:8" x14ac:dyDescent="0.35">
      <c r="A295">
        <v>6</v>
      </c>
      <c r="B295">
        <v>34</v>
      </c>
      <c r="C295" t="s">
        <v>1038</v>
      </c>
      <c r="D295" s="4">
        <v>100000000</v>
      </c>
      <c r="E295" s="4">
        <v>1000000000000</v>
      </c>
      <c r="F295" s="4">
        <v>100000000000000</v>
      </c>
      <c r="G295" s="4"/>
      <c r="H295" s="4"/>
    </row>
    <row r="296" spans="1:8" x14ac:dyDescent="0.35">
      <c r="A296">
        <v>6</v>
      </c>
      <c r="B296">
        <v>35</v>
      </c>
      <c r="C296" t="s">
        <v>1039</v>
      </c>
      <c r="D296" s="4">
        <v>10000</v>
      </c>
      <c r="E296" s="4">
        <v>28000</v>
      </c>
      <c r="F296" s="4">
        <v>40000</v>
      </c>
      <c r="G296" s="4"/>
      <c r="H296" s="4"/>
    </row>
    <row r="297" spans="1:8" x14ac:dyDescent="0.35">
      <c r="A297">
        <v>6</v>
      </c>
      <c r="B297">
        <v>36</v>
      </c>
      <c r="C297" t="s">
        <v>1040</v>
      </c>
      <c r="D297" s="4">
        <v>3</v>
      </c>
      <c r="E297" s="4">
        <v>15</v>
      </c>
      <c r="F297" s="4">
        <v>600</v>
      </c>
      <c r="G297" s="4"/>
      <c r="H297" s="4"/>
    </row>
    <row r="298" spans="1:8" x14ac:dyDescent="0.35">
      <c r="A298">
        <v>6</v>
      </c>
      <c r="B298">
        <v>37</v>
      </c>
      <c r="C298" t="s">
        <v>1041</v>
      </c>
      <c r="D298" s="4">
        <v>100000000</v>
      </c>
      <c r="E298" s="4">
        <v>10000000000</v>
      </c>
      <c r="F298" s="4">
        <v>1000000000000</v>
      </c>
      <c r="G298" s="4"/>
      <c r="H298" s="4"/>
    </row>
    <row r="299" spans="1:8" x14ac:dyDescent="0.35">
      <c r="A299">
        <v>6</v>
      </c>
      <c r="B299">
        <v>38</v>
      </c>
      <c r="C299" t="s">
        <v>1042</v>
      </c>
      <c r="D299" s="4">
        <v>8000</v>
      </c>
      <c r="E299" s="4">
        <v>22000</v>
      </c>
      <c r="F299" s="4">
        <v>30000</v>
      </c>
      <c r="G299" s="4"/>
      <c r="H299" s="4"/>
    </row>
    <row r="300" spans="1:8" x14ac:dyDescent="0.35">
      <c r="A300">
        <v>6</v>
      </c>
      <c r="B300">
        <v>39</v>
      </c>
      <c r="C300" t="s">
        <v>1043</v>
      </c>
      <c r="D300" s="4">
        <v>3</v>
      </c>
      <c r="E300" s="4">
        <v>120</v>
      </c>
      <c r="F300" s="4">
        <v>900</v>
      </c>
      <c r="G300" s="4"/>
      <c r="H300" s="4"/>
    </row>
    <row r="301" spans="1:8" x14ac:dyDescent="0.35">
      <c r="A301">
        <v>6</v>
      </c>
      <c r="B301">
        <v>40</v>
      </c>
      <c r="C301" t="s">
        <v>1044</v>
      </c>
      <c r="D301" s="4">
        <v>100000000</v>
      </c>
      <c r="E301" s="4">
        <v>1000000000000</v>
      </c>
      <c r="F301" s="4">
        <v>1000000000000000</v>
      </c>
      <c r="G301" s="4"/>
      <c r="H301" s="4"/>
    </row>
    <row r="302" spans="1:8" x14ac:dyDescent="0.35">
      <c r="A302">
        <v>6</v>
      </c>
      <c r="B302">
        <v>41</v>
      </c>
      <c r="C302" t="s">
        <v>1045</v>
      </c>
      <c r="D302" s="4">
        <v>10000</v>
      </c>
      <c r="E302" s="4">
        <v>25000</v>
      </c>
      <c r="F302" s="4">
        <v>35000</v>
      </c>
      <c r="G302" s="4"/>
      <c r="H302" s="4"/>
    </row>
    <row r="303" spans="1:8" x14ac:dyDescent="0.35">
      <c r="A303">
        <v>6</v>
      </c>
      <c r="B303">
        <v>42</v>
      </c>
      <c r="C303" t="s">
        <v>1046</v>
      </c>
      <c r="D303" s="4">
        <v>10</v>
      </c>
      <c r="E303" s="4">
        <v>50</v>
      </c>
      <c r="F303" s="4">
        <v>90</v>
      </c>
      <c r="G303" s="4"/>
      <c r="H303" s="4"/>
    </row>
    <row r="304" spans="1:8" x14ac:dyDescent="0.35">
      <c r="A304">
        <v>6</v>
      </c>
      <c r="B304">
        <v>43</v>
      </c>
      <c r="C304" t="s">
        <v>1047</v>
      </c>
      <c r="D304" s="4">
        <v>-999.6</v>
      </c>
      <c r="E304" s="4">
        <v>-999.6</v>
      </c>
      <c r="F304" s="4">
        <v>-999.6</v>
      </c>
      <c r="G304" s="4"/>
      <c r="H304" s="4"/>
    </row>
    <row r="305" spans="1:8" x14ac:dyDescent="0.35">
      <c r="A305">
        <v>6</v>
      </c>
      <c r="B305">
        <v>44</v>
      </c>
      <c r="C305" t="s">
        <v>1048</v>
      </c>
      <c r="D305" s="4">
        <v>-999.6</v>
      </c>
      <c r="E305" s="4">
        <v>-999.6</v>
      </c>
      <c r="F305" s="4">
        <v>-999.6</v>
      </c>
      <c r="G305" s="4"/>
      <c r="H305" s="4"/>
    </row>
    <row r="306" spans="1:8" x14ac:dyDescent="0.35">
      <c r="A306">
        <v>6</v>
      </c>
      <c r="B306">
        <v>45</v>
      </c>
      <c r="C306" t="s">
        <v>1049</v>
      </c>
      <c r="D306" s="4">
        <v>-999.6</v>
      </c>
      <c r="E306" s="4">
        <v>-999.6</v>
      </c>
      <c r="F306" s="4">
        <v>-999.6</v>
      </c>
      <c r="G306" s="4"/>
      <c r="H306" s="4"/>
    </row>
    <row r="307" spans="1:8" x14ac:dyDescent="0.35">
      <c r="A307">
        <v>6</v>
      </c>
      <c r="B307">
        <v>46</v>
      </c>
      <c r="C307" t="s">
        <v>1050</v>
      </c>
      <c r="D307" s="4">
        <v>-999.6</v>
      </c>
      <c r="E307" s="4">
        <v>-999.6</v>
      </c>
      <c r="F307" s="4">
        <v>-999.6</v>
      </c>
      <c r="G307" s="4"/>
      <c r="H307" s="4"/>
    </row>
    <row r="308" spans="1:8" x14ac:dyDescent="0.35">
      <c r="A308">
        <v>6</v>
      </c>
      <c r="B308">
        <v>47</v>
      </c>
      <c r="C308" t="s">
        <v>1051</v>
      </c>
      <c r="D308" s="4">
        <v>-999.6</v>
      </c>
      <c r="E308" s="4">
        <v>-999.6</v>
      </c>
      <c r="F308" s="4">
        <v>-999.6</v>
      </c>
      <c r="G308" s="4"/>
      <c r="H308" s="4"/>
    </row>
    <row r="309" spans="1:8" x14ac:dyDescent="0.35">
      <c r="A309">
        <v>6</v>
      </c>
      <c r="B309">
        <v>48</v>
      </c>
      <c r="C309" t="s">
        <v>1052</v>
      </c>
      <c r="D309" s="4">
        <v>-999.6</v>
      </c>
      <c r="E309" s="4">
        <v>-999.6</v>
      </c>
      <c r="F309" s="4">
        <v>-999.6</v>
      </c>
      <c r="G309" s="4"/>
      <c r="H309" s="4"/>
    </row>
    <row r="310" spans="1:8" x14ac:dyDescent="0.35">
      <c r="A310">
        <v>6</v>
      </c>
      <c r="B310">
        <v>49</v>
      </c>
      <c r="C310" t="s">
        <v>1053</v>
      </c>
      <c r="D310" s="4">
        <v>-999.6</v>
      </c>
      <c r="E310" s="4">
        <v>-999.6</v>
      </c>
      <c r="F310" s="4">
        <v>-999.6</v>
      </c>
      <c r="G310" s="4"/>
      <c r="H310" s="4"/>
    </row>
    <row r="311" spans="1:8" x14ac:dyDescent="0.35">
      <c r="A311">
        <v>6</v>
      </c>
      <c r="B311">
        <v>50</v>
      </c>
      <c r="C311" t="s">
        <v>1054</v>
      </c>
      <c r="D311" s="4">
        <v>-999.6</v>
      </c>
      <c r="E311" s="4">
        <v>-999.6</v>
      </c>
      <c r="F311" s="4">
        <v>-999.6</v>
      </c>
      <c r="G311" s="4"/>
      <c r="H311" s="4"/>
    </row>
    <row r="312" spans="1:8" x14ac:dyDescent="0.35">
      <c r="A312">
        <v>6</v>
      </c>
      <c r="B312">
        <v>51</v>
      </c>
      <c r="C312" t="s">
        <v>1055</v>
      </c>
      <c r="D312" s="4">
        <v>-999.6</v>
      </c>
      <c r="E312" s="4">
        <v>-999.6</v>
      </c>
      <c r="F312" s="4">
        <v>-999.6</v>
      </c>
      <c r="G312" s="4"/>
      <c r="H312" s="4"/>
    </row>
    <row r="313" spans="1:8" x14ac:dyDescent="0.35">
      <c r="A313">
        <v>6</v>
      </c>
      <c r="B313">
        <v>52</v>
      </c>
      <c r="C313" t="s">
        <v>1056</v>
      </c>
      <c r="D313" s="4">
        <v>-999.6</v>
      </c>
      <c r="E313" s="4">
        <v>-999.6</v>
      </c>
      <c r="F313" s="4">
        <v>-999.6</v>
      </c>
      <c r="G313" s="4"/>
      <c r="H313" s="4"/>
    </row>
    <row r="314" spans="1:8" x14ac:dyDescent="0.35">
      <c r="A314">
        <v>7</v>
      </c>
      <c r="B314">
        <v>1</v>
      </c>
      <c r="C314" t="s">
        <v>318</v>
      </c>
      <c r="D314" s="4">
        <v>600</v>
      </c>
      <c r="E314" s="4">
        <v>900</v>
      </c>
      <c r="F314" s="4">
        <v>1500</v>
      </c>
      <c r="G314" s="4"/>
      <c r="H314" s="4"/>
    </row>
    <row r="315" spans="1:8" x14ac:dyDescent="0.35">
      <c r="A315">
        <v>7</v>
      </c>
      <c r="B315">
        <v>2</v>
      </c>
      <c r="C315" t="s">
        <v>319</v>
      </c>
      <c r="D315" s="4">
        <v>1000000</v>
      </c>
      <c r="E315" s="4">
        <v>3600000</v>
      </c>
      <c r="F315" s="4">
        <v>4600000</v>
      </c>
      <c r="G315" s="4"/>
      <c r="H315" s="4"/>
    </row>
    <row r="316" spans="1:8" x14ac:dyDescent="0.35">
      <c r="A316">
        <v>7</v>
      </c>
      <c r="B316">
        <v>3</v>
      </c>
      <c r="C316" t="s">
        <v>320</v>
      </c>
      <c r="D316" s="4">
        <v>5</v>
      </c>
      <c r="E316" s="4">
        <v>15</v>
      </c>
      <c r="F316" s="4">
        <v>20</v>
      </c>
      <c r="G316" s="4"/>
      <c r="H316" s="4"/>
    </row>
    <row r="317" spans="1:8" x14ac:dyDescent="0.35">
      <c r="A317">
        <v>7</v>
      </c>
      <c r="B317">
        <v>4</v>
      </c>
      <c r="C317" t="s">
        <v>321</v>
      </c>
      <c r="D317" s="4">
        <v>500</v>
      </c>
      <c r="E317" s="4">
        <v>1500</v>
      </c>
      <c r="F317" s="4">
        <v>3000</v>
      </c>
      <c r="G317" s="4"/>
      <c r="H317" s="4"/>
    </row>
    <row r="318" spans="1:8" x14ac:dyDescent="0.35">
      <c r="A318">
        <v>7</v>
      </c>
      <c r="B318">
        <v>5</v>
      </c>
      <c r="C318" t="s">
        <v>322</v>
      </c>
      <c r="D318" s="4">
        <v>5</v>
      </c>
      <c r="E318" s="4">
        <v>30</v>
      </c>
      <c r="F318" s="4">
        <v>50</v>
      </c>
      <c r="G318" s="4"/>
      <c r="H318" s="4"/>
    </row>
    <row r="319" spans="1:8" x14ac:dyDescent="0.35">
      <c r="A319">
        <v>7</v>
      </c>
      <c r="B319">
        <v>6</v>
      </c>
      <c r="C319" t="s">
        <v>323</v>
      </c>
      <c r="D319" s="4">
        <v>800</v>
      </c>
      <c r="E319" s="4">
        <v>1500</v>
      </c>
      <c r="F319" s="4">
        <v>2500</v>
      </c>
      <c r="G319" s="4"/>
      <c r="H319" s="4"/>
    </row>
    <row r="320" spans="1:8" x14ac:dyDescent="0.35">
      <c r="A320">
        <v>7</v>
      </c>
      <c r="B320">
        <v>7</v>
      </c>
      <c r="C320" t="s">
        <v>324</v>
      </c>
      <c r="D320" s="4">
        <v>280</v>
      </c>
      <c r="E320" s="4">
        <v>300</v>
      </c>
      <c r="F320" s="4">
        <v>320</v>
      </c>
      <c r="G320" s="4"/>
      <c r="H320" s="4"/>
    </row>
    <row r="321" spans="1:8" x14ac:dyDescent="0.35">
      <c r="A321">
        <v>7</v>
      </c>
      <c r="B321">
        <v>8</v>
      </c>
      <c r="C321" t="s">
        <v>325</v>
      </c>
      <c r="D321" s="4">
        <v>20</v>
      </c>
      <c r="E321" s="4">
        <v>40</v>
      </c>
      <c r="F321" s="4">
        <v>60</v>
      </c>
      <c r="G321" s="4"/>
      <c r="H321" s="4"/>
    </row>
    <row r="322" spans="1:8" x14ac:dyDescent="0.35">
      <c r="A322">
        <v>7</v>
      </c>
      <c r="B322">
        <v>9</v>
      </c>
      <c r="C322" t="s">
        <v>326</v>
      </c>
      <c r="D322" s="4">
        <v>40</v>
      </c>
      <c r="E322" s="4">
        <v>70</v>
      </c>
      <c r="F322" s="4">
        <v>80</v>
      </c>
      <c r="G322" s="4"/>
      <c r="H322" s="4"/>
    </row>
    <row r="323" spans="1:8" x14ac:dyDescent="0.35">
      <c r="A323">
        <v>7</v>
      </c>
      <c r="B323">
        <v>10</v>
      </c>
      <c r="C323" t="s">
        <v>327</v>
      </c>
      <c r="D323" s="4">
        <v>1000</v>
      </c>
      <c r="E323" s="4">
        <v>500000</v>
      </c>
      <c r="F323" s="4">
        <v>1000000</v>
      </c>
      <c r="G323" s="4"/>
      <c r="H323" s="4"/>
    </row>
    <row r="324" spans="1:8" x14ac:dyDescent="0.35">
      <c r="A324">
        <v>7</v>
      </c>
      <c r="B324">
        <v>11</v>
      </c>
      <c r="C324" t="s">
        <v>328</v>
      </c>
      <c r="D324" s="4">
        <v>5</v>
      </c>
      <c r="E324" s="4">
        <v>15</v>
      </c>
      <c r="F324" s="4">
        <v>30</v>
      </c>
      <c r="G324" s="4"/>
      <c r="H324" s="4"/>
    </row>
    <row r="325" spans="1:8" x14ac:dyDescent="0.35">
      <c r="A325">
        <v>7</v>
      </c>
      <c r="B325">
        <v>12</v>
      </c>
      <c r="C325" t="s">
        <v>329</v>
      </c>
      <c r="D325" s="4">
        <v>8000</v>
      </c>
      <c r="E325" s="4">
        <v>10000</v>
      </c>
      <c r="F325" s="4">
        <v>15000</v>
      </c>
      <c r="G325" s="4"/>
      <c r="H325" s="4"/>
    </row>
    <row r="326" spans="1:8" x14ac:dyDescent="0.35">
      <c r="A326">
        <v>7</v>
      </c>
      <c r="B326">
        <v>13</v>
      </c>
      <c r="C326" t="s">
        <v>330</v>
      </c>
      <c r="D326" s="4">
        <v>10</v>
      </c>
      <c r="E326" s="4">
        <v>40</v>
      </c>
      <c r="F326" s="4">
        <v>70</v>
      </c>
      <c r="G326" s="4"/>
      <c r="H326" s="4"/>
    </row>
    <row r="327" spans="1:8" x14ac:dyDescent="0.35">
      <c r="A327">
        <v>7</v>
      </c>
      <c r="B327">
        <v>14</v>
      </c>
      <c r="C327" t="s">
        <v>1018</v>
      </c>
      <c r="D327" s="4">
        <v>1</v>
      </c>
      <c r="E327" s="4">
        <v>7</v>
      </c>
      <c r="F327" s="4">
        <v>10</v>
      </c>
      <c r="G327" s="4"/>
      <c r="H327" s="4"/>
    </row>
    <row r="328" spans="1:8" x14ac:dyDescent="0.35">
      <c r="A328">
        <v>7</v>
      </c>
      <c r="B328">
        <v>15</v>
      </c>
      <c r="C328" t="s">
        <v>1019</v>
      </c>
      <c r="D328" s="4">
        <v>80</v>
      </c>
      <c r="E328" s="4">
        <v>90</v>
      </c>
      <c r="F328" s="4">
        <v>95</v>
      </c>
      <c r="G328" s="4"/>
      <c r="H328" s="4"/>
    </row>
    <row r="329" spans="1:8" x14ac:dyDescent="0.35">
      <c r="A329">
        <v>7</v>
      </c>
      <c r="B329">
        <v>16</v>
      </c>
      <c r="C329" t="s">
        <v>1020</v>
      </c>
      <c r="D329" s="4">
        <v>60</v>
      </c>
      <c r="E329" s="4">
        <v>70</v>
      </c>
      <c r="F329" s="4">
        <v>80</v>
      </c>
      <c r="G329" s="4"/>
      <c r="H329" s="4"/>
    </row>
    <row r="330" spans="1:8" x14ac:dyDescent="0.35">
      <c r="A330">
        <v>7</v>
      </c>
      <c r="B330">
        <v>17</v>
      </c>
      <c r="C330" t="s">
        <v>1021</v>
      </c>
      <c r="D330" s="4">
        <v>10</v>
      </c>
      <c r="E330" s="4">
        <v>20</v>
      </c>
      <c r="F330" s="4">
        <v>30</v>
      </c>
      <c r="G330" s="4"/>
      <c r="H330" s="4"/>
    </row>
    <row r="331" spans="1:8" x14ac:dyDescent="0.35">
      <c r="A331">
        <v>7</v>
      </c>
      <c r="B331">
        <v>18</v>
      </c>
      <c r="C331" t="s">
        <v>1022</v>
      </c>
      <c r="D331" s="4">
        <v>5</v>
      </c>
      <c r="E331" s="4">
        <v>10</v>
      </c>
      <c r="F331" s="4">
        <v>20</v>
      </c>
      <c r="G331" s="4"/>
      <c r="H331" s="4"/>
    </row>
    <row r="332" spans="1:8" x14ac:dyDescent="0.35">
      <c r="A332">
        <v>7</v>
      </c>
      <c r="B332">
        <v>19</v>
      </c>
      <c r="C332" t="s">
        <v>1023</v>
      </c>
      <c r="D332" s="4">
        <v>20</v>
      </c>
      <c r="E332" s="4">
        <v>30</v>
      </c>
      <c r="F332" s="4">
        <v>40</v>
      </c>
      <c r="G332" s="4"/>
      <c r="H332" s="4"/>
    </row>
    <row r="333" spans="1:8" x14ac:dyDescent="0.35">
      <c r="A333">
        <v>7</v>
      </c>
      <c r="B333">
        <v>20</v>
      </c>
      <c r="C333" t="s">
        <v>1024</v>
      </c>
      <c r="D333" s="4">
        <v>20</v>
      </c>
      <c r="E333" s="4">
        <v>40</v>
      </c>
      <c r="F333" s="4">
        <v>60</v>
      </c>
      <c r="G333" s="4"/>
      <c r="H333" s="4"/>
    </row>
    <row r="334" spans="1:8" x14ac:dyDescent="0.35">
      <c r="A334">
        <v>7</v>
      </c>
      <c r="B334">
        <v>21</v>
      </c>
      <c r="C334" t="s">
        <v>1025</v>
      </c>
      <c r="D334" s="4">
        <v>15</v>
      </c>
      <c r="E334" s="4">
        <v>20</v>
      </c>
      <c r="F334" s="4">
        <v>40</v>
      </c>
      <c r="G334" s="4"/>
      <c r="H334" s="4"/>
    </row>
    <row r="335" spans="1:8" x14ac:dyDescent="0.35">
      <c r="A335">
        <v>7</v>
      </c>
      <c r="B335">
        <v>22</v>
      </c>
      <c r="C335" t="s">
        <v>1026</v>
      </c>
      <c r="D335" s="4">
        <v>1</v>
      </c>
      <c r="E335" s="4">
        <v>5</v>
      </c>
      <c r="F335" s="4">
        <v>10</v>
      </c>
      <c r="G335" s="4"/>
      <c r="H335" s="4"/>
    </row>
    <row r="336" spans="1:8" x14ac:dyDescent="0.35">
      <c r="A336">
        <v>7</v>
      </c>
      <c r="B336">
        <v>23</v>
      </c>
      <c r="C336" t="s">
        <v>1027</v>
      </c>
      <c r="D336" s="4">
        <v>1</v>
      </c>
      <c r="E336" s="4">
        <v>2</v>
      </c>
      <c r="F336" s="4">
        <v>10</v>
      </c>
      <c r="G336" s="4"/>
      <c r="H336" s="4"/>
    </row>
    <row r="337" spans="1:8" x14ac:dyDescent="0.35">
      <c r="A337">
        <v>7</v>
      </c>
      <c r="B337">
        <v>24</v>
      </c>
      <c r="C337" t="s">
        <v>1028</v>
      </c>
      <c r="D337" s="4">
        <v>240</v>
      </c>
      <c r="E337" s="4">
        <v>480</v>
      </c>
      <c r="F337" s="4">
        <v>720</v>
      </c>
      <c r="G337" s="4"/>
      <c r="H337" s="4"/>
    </row>
    <row r="338" spans="1:8" x14ac:dyDescent="0.35">
      <c r="A338">
        <v>7</v>
      </c>
      <c r="B338">
        <v>25</v>
      </c>
      <c r="C338" t="s">
        <v>1029</v>
      </c>
      <c r="D338" s="4">
        <v>100000000</v>
      </c>
      <c r="E338" s="4">
        <v>200000000</v>
      </c>
      <c r="F338" s="4">
        <v>300000000</v>
      </c>
      <c r="G338" s="4"/>
      <c r="H338" s="4"/>
    </row>
    <row r="339" spans="1:8" x14ac:dyDescent="0.35">
      <c r="A339">
        <v>7</v>
      </c>
      <c r="B339">
        <v>26</v>
      </c>
      <c r="C339" t="s">
        <v>1030</v>
      </c>
      <c r="D339" s="4">
        <v>18000</v>
      </c>
      <c r="E339" s="4">
        <v>24000</v>
      </c>
      <c r="F339" s="4">
        <v>28000</v>
      </c>
      <c r="G339" s="4"/>
      <c r="H339" s="4"/>
    </row>
    <row r="340" spans="1:8" x14ac:dyDescent="0.35">
      <c r="A340">
        <v>7</v>
      </c>
      <c r="B340">
        <v>27</v>
      </c>
      <c r="C340" t="s">
        <v>1031</v>
      </c>
      <c r="D340" s="4">
        <v>120</v>
      </c>
      <c r="E340" s="4">
        <v>300</v>
      </c>
      <c r="F340" s="4">
        <v>480</v>
      </c>
      <c r="G340" s="4"/>
      <c r="H340" s="4"/>
    </row>
    <row r="341" spans="1:8" x14ac:dyDescent="0.35">
      <c r="A341">
        <v>7</v>
      </c>
      <c r="B341">
        <v>28</v>
      </c>
      <c r="C341" t="s">
        <v>1032</v>
      </c>
      <c r="D341" s="4">
        <v>50000000</v>
      </c>
      <c r="E341" s="4">
        <v>100000000</v>
      </c>
      <c r="F341" s="4">
        <v>150000000</v>
      </c>
      <c r="G341" s="4"/>
      <c r="H341" s="4"/>
    </row>
    <row r="342" spans="1:8" x14ac:dyDescent="0.35">
      <c r="A342">
        <v>7</v>
      </c>
      <c r="B342">
        <v>29</v>
      </c>
      <c r="C342" t="s">
        <v>1033</v>
      </c>
      <c r="D342" s="4">
        <v>15000</v>
      </c>
      <c r="E342" s="4">
        <v>20000</v>
      </c>
      <c r="F342" s="4">
        <v>25000</v>
      </c>
      <c r="G342" s="4"/>
      <c r="H342" s="4"/>
    </row>
    <row r="343" spans="1:8" x14ac:dyDescent="0.35">
      <c r="A343">
        <v>7</v>
      </c>
      <c r="B343">
        <v>30</v>
      </c>
      <c r="C343" t="s">
        <v>1034</v>
      </c>
      <c r="D343" s="4">
        <v>43200</v>
      </c>
      <c r="E343" s="4">
        <v>129600</v>
      </c>
      <c r="F343" s="4">
        <v>259200</v>
      </c>
      <c r="G343" s="4"/>
      <c r="H343" s="4"/>
    </row>
    <row r="344" spans="1:8" x14ac:dyDescent="0.35">
      <c r="A344">
        <v>7</v>
      </c>
      <c r="B344">
        <v>31</v>
      </c>
      <c r="C344" t="s">
        <v>1035</v>
      </c>
      <c r="D344" s="4">
        <v>1000000</v>
      </c>
      <c r="E344" s="4">
        <v>5000000</v>
      </c>
      <c r="F344" s="4">
        <v>10000000</v>
      </c>
      <c r="G344" s="4"/>
      <c r="H344" s="4"/>
    </row>
    <row r="345" spans="1:8" x14ac:dyDescent="0.35">
      <c r="A345">
        <v>7</v>
      </c>
      <c r="B345">
        <v>32</v>
      </c>
      <c r="C345" t="s">
        <v>1036</v>
      </c>
      <c r="D345" s="4">
        <v>3000</v>
      </c>
      <c r="E345" s="4">
        <v>5000</v>
      </c>
      <c r="F345" s="4">
        <v>10000</v>
      </c>
      <c r="G345" s="4"/>
      <c r="H345" s="4"/>
    </row>
    <row r="346" spans="1:8" x14ac:dyDescent="0.35">
      <c r="A346">
        <v>7</v>
      </c>
      <c r="B346">
        <v>33</v>
      </c>
      <c r="C346" t="s">
        <v>1037</v>
      </c>
      <c r="D346" s="4">
        <v>259200</v>
      </c>
      <c r="E346" s="4">
        <v>432000</v>
      </c>
      <c r="F346" s="4">
        <v>518400</v>
      </c>
      <c r="G346" s="4"/>
      <c r="H346" s="4"/>
    </row>
    <row r="347" spans="1:8" x14ac:dyDescent="0.35">
      <c r="A347">
        <v>7</v>
      </c>
      <c r="B347">
        <v>34</v>
      </c>
      <c r="C347" t="s">
        <v>1038</v>
      </c>
      <c r="D347" s="4">
        <v>40000000</v>
      </c>
      <c r="E347" s="4">
        <v>100000000</v>
      </c>
      <c r="F347" s="4">
        <v>250000000</v>
      </c>
      <c r="G347" s="4"/>
      <c r="H347" s="4"/>
    </row>
    <row r="348" spans="1:8" x14ac:dyDescent="0.35">
      <c r="A348">
        <v>7</v>
      </c>
      <c r="B348">
        <v>35</v>
      </c>
      <c r="C348" t="s">
        <v>1039</v>
      </c>
      <c r="D348" s="4">
        <v>5000</v>
      </c>
      <c r="E348" s="4">
        <v>15000</v>
      </c>
      <c r="F348" s="4">
        <v>25000</v>
      </c>
      <c r="G348" s="4"/>
      <c r="H348" s="4"/>
    </row>
    <row r="349" spans="1:8" x14ac:dyDescent="0.35">
      <c r="A349">
        <v>7</v>
      </c>
      <c r="B349">
        <v>36</v>
      </c>
      <c r="C349" t="s">
        <v>1040</v>
      </c>
      <c r="D349" s="4">
        <v>180</v>
      </c>
      <c r="E349" s="4">
        <v>1440</v>
      </c>
      <c r="F349" s="4">
        <v>7200</v>
      </c>
      <c r="G349" s="4"/>
      <c r="H349" s="4"/>
    </row>
    <row r="350" spans="1:8" x14ac:dyDescent="0.35">
      <c r="A350">
        <v>7</v>
      </c>
      <c r="B350">
        <v>37</v>
      </c>
      <c r="C350" t="s">
        <v>1041</v>
      </c>
      <c r="D350" s="4">
        <v>50000000</v>
      </c>
      <c r="E350" s="4">
        <v>200000000</v>
      </c>
      <c r="F350" s="4">
        <v>300000000</v>
      </c>
      <c r="G350" s="4"/>
      <c r="H350" s="4"/>
    </row>
    <row r="351" spans="1:8" x14ac:dyDescent="0.35">
      <c r="A351">
        <v>7</v>
      </c>
      <c r="B351">
        <v>38</v>
      </c>
      <c r="C351" t="s">
        <v>1042</v>
      </c>
      <c r="D351" s="4">
        <v>10000</v>
      </c>
      <c r="E351" s="4">
        <v>20000</v>
      </c>
      <c r="F351" s="4">
        <v>30000</v>
      </c>
      <c r="G351" s="4"/>
      <c r="H351" s="4"/>
    </row>
    <row r="352" spans="1:8" x14ac:dyDescent="0.35">
      <c r="A352">
        <v>7</v>
      </c>
      <c r="B352">
        <v>39</v>
      </c>
      <c r="C352" t="s">
        <v>1043</v>
      </c>
      <c r="D352" s="4">
        <v>60</v>
      </c>
      <c r="E352" s="4">
        <v>300</v>
      </c>
      <c r="F352" s="4">
        <v>1440</v>
      </c>
      <c r="G352" s="4"/>
      <c r="H352" s="4"/>
    </row>
    <row r="353" spans="1:8" x14ac:dyDescent="0.35">
      <c r="A353">
        <v>7</v>
      </c>
      <c r="B353">
        <v>40</v>
      </c>
      <c r="C353" t="s">
        <v>1044</v>
      </c>
      <c r="D353" s="4">
        <v>100000000</v>
      </c>
      <c r="E353" s="4">
        <v>250000000</v>
      </c>
      <c r="F353" s="4">
        <v>350000000</v>
      </c>
      <c r="G353" s="4"/>
      <c r="H353" s="4"/>
    </row>
    <row r="354" spans="1:8" x14ac:dyDescent="0.35">
      <c r="A354">
        <v>7</v>
      </c>
      <c r="B354">
        <v>41</v>
      </c>
      <c r="C354" t="s">
        <v>1045</v>
      </c>
      <c r="D354" s="4">
        <v>15000</v>
      </c>
      <c r="E354" s="4">
        <v>24000</v>
      </c>
      <c r="F354" s="4">
        <v>29000</v>
      </c>
      <c r="G354" s="4"/>
      <c r="H354" s="4"/>
    </row>
    <row r="355" spans="1:8" x14ac:dyDescent="0.35">
      <c r="A355">
        <v>7</v>
      </c>
      <c r="B355">
        <v>42</v>
      </c>
      <c r="C355" t="s">
        <v>1046</v>
      </c>
      <c r="D355" s="4">
        <v>20</v>
      </c>
      <c r="E355" s="4">
        <v>50</v>
      </c>
      <c r="F355" s="4">
        <v>70</v>
      </c>
      <c r="G355" s="4"/>
      <c r="H355" s="4"/>
    </row>
    <row r="356" spans="1:8" x14ac:dyDescent="0.35">
      <c r="A356">
        <v>7</v>
      </c>
      <c r="B356">
        <v>43</v>
      </c>
      <c r="C356" t="s">
        <v>1047</v>
      </c>
      <c r="D356" s="4">
        <v>-999.6</v>
      </c>
      <c r="E356" s="4">
        <v>-999.6</v>
      </c>
      <c r="F356" s="4">
        <v>-999.6</v>
      </c>
      <c r="G356" s="4"/>
      <c r="H356" s="4"/>
    </row>
    <row r="357" spans="1:8" x14ac:dyDescent="0.35">
      <c r="A357">
        <v>7</v>
      </c>
      <c r="B357">
        <v>44</v>
      </c>
      <c r="C357" t="s">
        <v>1048</v>
      </c>
      <c r="D357" s="4">
        <v>-999.6</v>
      </c>
      <c r="E357" s="4">
        <v>-999.6</v>
      </c>
      <c r="F357" s="4">
        <v>-999.6</v>
      </c>
      <c r="G357" s="4"/>
      <c r="H357" s="4"/>
    </row>
    <row r="358" spans="1:8" x14ac:dyDescent="0.35">
      <c r="A358">
        <v>7</v>
      </c>
      <c r="B358">
        <v>45</v>
      </c>
      <c r="C358" t="s">
        <v>1049</v>
      </c>
      <c r="D358" s="4">
        <v>-999.6</v>
      </c>
      <c r="E358" s="4">
        <v>-999.6</v>
      </c>
      <c r="F358" s="4">
        <v>-999.6</v>
      </c>
      <c r="G358" s="4"/>
      <c r="H358" s="4"/>
    </row>
    <row r="359" spans="1:8" x14ac:dyDescent="0.35">
      <c r="A359">
        <v>7</v>
      </c>
      <c r="B359">
        <v>46</v>
      </c>
      <c r="C359" t="s">
        <v>1050</v>
      </c>
      <c r="D359" s="4">
        <v>-999.6</v>
      </c>
      <c r="E359" s="4">
        <v>-999.6</v>
      </c>
      <c r="F359" s="4">
        <v>-999.6</v>
      </c>
      <c r="G359" s="4"/>
      <c r="H359" s="4"/>
    </row>
    <row r="360" spans="1:8" x14ac:dyDescent="0.35">
      <c r="A360">
        <v>7</v>
      </c>
      <c r="B360">
        <v>47</v>
      </c>
      <c r="C360" t="s">
        <v>1051</v>
      </c>
      <c r="D360" s="4">
        <v>-999.6</v>
      </c>
      <c r="E360" s="4">
        <v>-999.6</v>
      </c>
      <c r="F360" s="4">
        <v>-999.6</v>
      </c>
      <c r="G360" s="4"/>
      <c r="H360" s="4"/>
    </row>
    <row r="361" spans="1:8" x14ac:dyDescent="0.35">
      <c r="A361">
        <v>7</v>
      </c>
      <c r="B361">
        <v>48</v>
      </c>
      <c r="C361" t="s">
        <v>1052</v>
      </c>
      <c r="D361" s="4">
        <v>-999.6</v>
      </c>
      <c r="E361" s="4">
        <v>-999.6</v>
      </c>
      <c r="F361" s="4">
        <v>-999.6</v>
      </c>
      <c r="G361" s="4"/>
      <c r="H361" s="4"/>
    </row>
    <row r="362" spans="1:8" x14ac:dyDescent="0.35">
      <c r="A362">
        <v>7</v>
      </c>
      <c r="B362">
        <v>49</v>
      </c>
      <c r="C362" t="s">
        <v>1053</v>
      </c>
      <c r="D362" s="4">
        <v>-999.6</v>
      </c>
      <c r="E362" s="4">
        <v>-999.6</v>
      </c>
      <c r="F362" s="4">
        <v>-999.6</v>
      </c>
      <c r="G362" s="4"/>
      <c r="H362" s="4"/>
    </row>
    <row r="363" spans="1:8" x14ac:dyDescent="0.35">
      <c r="A363">
        <v>7</v>
      </c>
      <c r="B363">
        <v>50</v>
      </c>
      <c r="C363" t="s">
        <v>1054</v>
      </c>
      <c r="D363" s="4">
        <v>-999.6</v>
      </c>
      <c r="E363" s="4">
        <v>-999.6</v>
      </c>
      <c r="F363" s="4">
        <v>-999.6</v>
      </c>
      <c r="G363" s="4"/>
      <c r="H363" s="4"/>
    </row>
    <row r="364" spans="1:8" x14ac:dyDescent="0.35">
      <c r="A364">
        <v>7</v>
      </c>
      <c r="B364">
        <v>51</v>
      </c>
      <c r="C364" t="s">
        <v>1055</v>
      </c>
      <c r="D364" s="4">
        <v>-999.6</v>
      </c>
      <c r="E364" s="4">
        <v>-999.6</v>
      </c>
      <c r="F364" s="4">
        <v>-999.6</v>
      </c>
      <c r="G364" s="4"/>
      <c r="H364" s="4"/>
    </row>
    <row r="365" spans="1:8" x14ac:dyDescent="0.35">
      <c r="A365">
        <v>7</v>
      </c>
      <c r="B365">
        <v>52</v>
      </c>
      <c r="C365" t="s">
        <v>1056</v>
      </c>
      <c r="D365" s="4">
        <v>-999.6</v>
      </c>
      <c r="E365" s="4">
        <v>-999.6</v>
      </c>
      <c r="F365" s="4">
        <v>-999.6</v>
      </c>
      <c r="G365" s="4"/>
      <c r="H365" s="4"/>
    </row>
    <row r="366" spans="1:8" x14ac:dyDescent="0.35">
      <c r="A366">
        <v>8</v>
      </c>
      <c r="B366">
        <v>1</v>
      </c>
      <c r="C366" t="s">
        <v>318</v>
      </c>
      <c r="D366" s="4">
        <v>5500</v>
      </c>
      <c r="E366" s="4">
        <v>6000</v>
      </c>
      <c r="F366" s="4">
        <v>6700</v>
      </c>
      <c r="G366" s="4"/>
      <c r="H366" s="4"/>
    </row>
    <row r="367" spans="1:8" x14ac:dyDescent="0.35">
      <c r="A367">
        <v>8</v>
      </c>
      <c r="B367">
        <v>2</v>
      </c>
      <c r="C367" t="s">
        <v>319</v>
      </c>
      <c r="D367" s="4">
        <v>2700000</v>
      </c>
      <c r="E367" s="4">
        <v>3000000</v>
      </c>
      <c r="F367" s="4">
        <v>3500000</v>
      </c>
      <c r="G367" s="4"/>
      <c r="H367" s="4"/>
    </row>
    <row r="368" spans="1:8" x14ac:dyDescent="0.35">
      <c r="A368">
        <v>8</v>
      </c>
      <c r="B368">
        <v>3</v>
      </c>
      <c r="C368" t="s">
        <v>320</v>
      </c>
      <c r="D368" s="4">
        <v>15</v>
      </c>
      <c r="E368" s="4">
        <v>25</v>
      </c>
      <c r="F368" s="4">
        <v>40</v>
      </c>
      <c r="G368" s="4"/>
      <c r="H368" s="4"/>
    </row>
    <row r="369" spans="1:8" x14ac:dyDescent="0.35">
      <c r="A369">
        <v>8</v>
      </c>
      <c r="B369">
        <v>4</v>
      </c>
      <c r="C369" t="s">
        <v>321</v>
      </c>
      <c r="D369" s="4">
        <v>1000</v>
      </c>
      <c r="E369" s="4">
        <v>6000</v>
      </c>
      <c r="F369" s="4">
        <v>10000</v>
      </c>
      <c r="G369" s="4"/>
      <c r="H369" s="4"/>
    </row>
    <row r="370" spans="1:8" x14ac:dyDescent="0.35">
      <c r="A370">
        <v>8</v>
      </c>
      <c r="B370">
        <v>5</v>
      </c>
      <c r="C370" t="s">
        <v>322</v>
      </c>
      <c r="D370" s="4">
        <v>10</v>
      </c>
      <c r="E370" s="4">
        <v>30</v>
      </c>
      <c r="F370" s="4">
        <v>60</v>
      </c>
      <c r="G370" s="4"/>
      <c r="H370" s="4"/>
    </row>
    <row r="371" spans="1:8" x14ac:dyDescent="0.35">
      <c r="A371">
        <v>8</v>
      </c>
      <c r="B371">
        <v>6</v>
      </c>
      <c r="C371" t="s">
        <v>323</v>
      </c>
      <c r="D371" s="4">
        <v>50</v>
      </c>
      <c r="E371" s="4">
        <v>100</v>
      </c>
      <c r="F371" s="4">
        <v>1000</v>
      </c>
      <c r="G371" s="4"/>
      <c r="H371" s="4"/>
    </row>
    <row r="372" spans="1:8" x14ac:dyDescent="0.35">
      <c r="A372">
        <v>8</v>
      </c>
      <c r="B372">
        <v>7</v>
      </c>
      <c r="C372" t="s">
        <v>324</v>
      </c>
      <c r="D372" s="4">
        <v>230</v>
      </c>
      <c r="E372" s="4">
        <v>270</v>
      </c>
      <c r="F372" s="4">
        <v>310</v>
      </c>
      <c r="G372" s="4"/>
      <c r="H372" s="4"/>
    </row>
    <row r="373" spans="1:8" x14ac:dyDescent="0.35">
      <c r="A373">
        <v>8</v>
      </c>
      <c r="B373">
        <v>8</v>
      </c>
      <c r="C373" t="s">
        <v>325</v>
      </c>
      <c r="D373" s="4">
        <v>30</v>
      </c>
      <c r="E373" s="4">
        <v>50</v>
      </c>
      <c r="F373" s="4">
        <v>70</v>
      </c>
      <c r="G373" s="4"/>
      <c r="H373" s="4"/>
    </row>
    <row r="374" spans="1:8" x14ac:dyDescent="0.35">
      <c r="A374">
        <v>8</v>
      </c>
      <c r="B374">
        <v>9</v>
      </c>
      <c r="C374" t="s">
        <v>326</v>
      </c>
      <c r="D374" s="4">
        <v>25</v>
      </c>
      <c r="E374" s="4">
        <v>40</v>
      </c>
      <c r="F374" s="4">
        <v>50</v>
      </c>
      <c r="G374" s="4"/>
      <c r="H374" s="4"/>
    </row>
    <row r="375" spans="1:8" x14ac:dyDescent="0.35">
      <c r="A375">
        <v>8</v>
      </c>
      <c r="B375">
        <v>10</v>
      </c>
      <c r="C375" t="s">
        <v>327</v>
      </c>
      <c r="D375" s="4">
        <v>10000</v>
      </c>
      <c r="E375" s="4">
        <v>100000</v>
      </c>
      <c r="F375" s="4">
        <v>1000000</v>
      </c>
      <c r="G375" s="4"/>
      <c r="H375" s="4"/>
    </row>
    <row r="376" spans="1:8" x14ac:dyDescent="0.35">
      <c r="A376">
        <v>8</v>
      </c>
      <c r="B376">
        <v>11</v>
      </c>
      <c r="C376" t="s">
        <v>328</v>
      </c>
      <c r="D376" s="4">
        <v>5</v>
      </c>
      <c r="E376" s="4">
        <v>10</v>
      </c>
      <c r="F376" s="4">
        <v>20</v>
      </c>
      <c r="G376" s="4"/>
      <c r="H376" s="4"/>
    </row>
    <row r="377" spans="1:8" x14ac:dyDescent="0.35">
      <c r="A377">
        <v>8</v>
      </c>
      <c r="B377">
        <v>12</v>
      </c>
      <c r="C377" t="s">
        <v>329</v>
      </c>
      <c r="D377" s="4">
        <v>2000</v>
      </c>
      <c r="E377" s="4">
        <v>4000</v>
      </c>
      <c r="F377" s="4">
        <v>6000</v>
      </c>
      <c r="G377" s="4"/>
      <c r="H377" s="4"/>
    </row>
    <row r="378" spans="1:8" x14ac:dyDescent="0.35">
      <c r="A378">
        <v>8</v>
      </c>
      <c r="B378">
        <v>13</v>
      </c>
      <c r="C378" t="s">
        <v>330</v>
      </c>
      <c r="D378" s="4">
        <v>30</v>
      </c>
      <c r="E378" s="4">
        <v>50</v>
      </c>
      <c r="F378" s="4">
        <v>70</v>
      </c>
      <c r="G378" s="4"/>
      <c r="H378" s="4"/>
    </row>
    <row r="379" spans="1:8" x14ac:dyDescent="0.35">
      <c r="A379">
        <v>8</v>
      </c>
      <c r="B379">
        <v>14</v>
      </c>
      <c r="C379" t="s">
        <v>1018</v>
      </c>
      <c r="D379" s="4">
        <v>5</v>
      </c>
      <c r="E379" s="4">
        <v>25</v>
      </c>
      <c r="F379" s="4">
        <v>50</v>
      </c>
      <c r="G379" s="4"/>
      <c r="H379" s="4"/>
    </row>
    <row r="380" spans="1:8" x14ac:dyDescent="0.35">
      <c r="A380">
        <v>8</v>
      </c>
      <c r="B380">
        <v>15</v>
      </c>
      <c r="C380" t="s">
        <v>1019</v>
      </c>
      <c r="D380" s="4">
        <v>40</v>
      </c>
      <c r="E380" s="4">
        <v>75</v>
      </c>
      <c r="F380" s="4">
        <v>90</v>
      </c>
      <c r="G380" s="4"/>
      <c r="H380" s="4"/>
    </row>
    <row r="381" spans="1:8" x14ac:dyDescent="0.35">
      <c r="A381">
        <v>8</v>
      </c>
      <c r="B381">
        <v>16</v>
      </c>
      <c r="C381" t="s">
        <v>1020</v>
      </c>
      <c r="D381" s="4">
        <v>10</v>
      </c>
      <c r="E381" s="4">
        <v>40</v>
      </c>
      <c r="F381" s="4">
        <v>60</v>
      </c>
      <c r="G381" s="4"/>
      <c r="H381" s="4"/>
    </row>
    <row r="382" spans="1:8" x14ac:dyDescent="0.35">
      <c r="A382">
        <v>8</v>
      </c>
      <c r="B382">
        <v>17</v>
      </c>
      <c r="C382" t="s">
        <v>1021</v>
      </c>
      <c r="D382" s="4">
        <v>10</v>
      </c>
      <c r="E382" s="4">
        <v>40</v>
      </c>
      <c r="F382" s="4">
        <v>60</v>
      </c>
      <c r="H382" s="4"/>
    </row>
    <row r="383" spans="1:8" x14ac:dyDescent="0.35">
      <c r="A383">
        <v>8</v>
      </c>
      <c r="B383">
        <v>18</v>
      </c>
      <c r="C383" t="s">
        <v>1022</v>
      </c>
      <c r="D383" s="4">
        <v>5</v>
      </c>
      <c r="E383" s="4">
        <v>20</v>
      </c>
      <c r="F383" s="4">
        <v>30</v>
      </c>
      <c r="G383" s="4"/>
      <c r="H383" s="4"/>
    </row>
    <row r="384" spans="1:8" x14ac:dyDescent="0.35">
      <c r="A384">
        <v>8</v>
      </c>
      <c r="B384">
        <v>19</v>
      </c>
      <c r="C384" t="s">
        <v>1023</v>
      </c>
      <c r="D384" s="4">
        <v>5</v>
      </c>
      <c r="E384" s="4">
        <v>15</v>
      </c>
      <c r="F384" s="4">
        <v>25</v>
      </c>
      <c r="G384" s="4"/>
      <c r="H384" s="4"/>
    </row>
    <row r="385" spans="1:8" x14ac:dyDescent="0.35">
      <c r="A385">
        <v>8</v>
      </c>
      <c r="B385">
        <v>20</v>
      </c>
      <c r="C385" t="s">
        <v>1024</v>
      </c>
      <c r="D385" s="4">
        <v>5</v>
      </c>
      <c r="E385" s="4">
        <v>15</v>
      </c>
      <c r="F385" s="4">
        <v>25</v>
      </c>
      <c r="G385" s="4"/>
      <c r="H385" s="4"/>
    </row>
    <row r="386" spans="1:8" x14ac:dyDescent="0.35">
      <c r="A386">
        <v>8</v>
      </c>
      <c r="B386">
        <v>21</v>
      </c>
      <c r="C386" t="s">
        <v>1025</v>
      </c>
      <c r="D386" s="4">
        <v>10</v>
      </c>
      <c r="E386" s="4">
        <v>30</v>
      </c>
      <c r="F386" s="4">
        <v>60</v>
      </c>
      <c r="G386" s="4"/>
      <c r="H386" s="4"/>
    </row>
    <row r="387" spans="1:8" x14ac:dyDescent="0.35">
      <c r="A387">
        <v>8</v>
      </c>
      <c r="B387">
        <v>22</v>
      </c>
      <c r="C387" t="s">
        <v>1026</v>
      </c>
      <c r="D387" s="4">
        <v>10</v>
      </c>
      <c r="E387" s="4">
        <v>30</v>
      </c>
      <c r="F387" s="4">
        <v>60</v>
      </c>
      <c r="G387" s="4"/>
      <c r="H387" s="4"/>
    </row>
    <row r="388" spans="1:8" x14ac:dyDescent="0.35">
      <c r="A388">
        <v>8</v>
      </c>
      <c r="B388">
        <v>23</v>
      </c>
      <c r="C388" t="s">
        <v>1027</v>
      </c>
      <c r="D388" s="4">
        <v>2</v>
      </c>
      <c r="E388" s="4">
        <v>10</v>
      </c>
      <c r="F388" s="4">
        <v>40</v>
      </c>
      <c r="G388" s="4"/>
      <c r="H388" s="4"/>
    </row>
    <row r="389" spans="1:8" x14ac:dyDescent="0.35">
      <c r="A389">
        <v>8</v>
      </c>
      <c r="B389">
        <v>24</v>
      </c>
      <c r="C389" t="s">
        <v>1028</v>
      </c>
      <c r="D389" s="4">
        <v>60</v>
      </c>
      <c r="E389" s="4">
        <v>300</v>
      </c>
      <c r="F389" s="4">
        <v>1200</v>
      </c>
      <c r="G389" s="4"/>
      <c r="H389" s="4"/>
    </row>
    <row r="390" spans="1:8" x14ac:dyDescent="0.35">
      <c r="A390">
        <v>8</v>
      </c>
      <c r="B390">
        <v>25</v>
      </c>
      <c r="C390" t="s">
        <v>1029</v>
      </c>
      <c r="D390" s="4">
        <v>100000000</v>
      </c>
      <c r="E390" s="4">
        <v>5000000000</v>
      </c>
      <c r="F390" s="4">
        <v>100000000000</v>
      </c>
      <c r="G390" s="4"/>
      <c r="H390" s="4"/>
    </row>
    <row r="391" spans="1:8" x14ac:dyDescent="0.35">
      <c r="A391">
        <v>8</v>
      </c>
      <c r="B391">
        <v>26</v>
      </c>
      <c r="C391" t="s">
        <v>1030</v>
      </c>
      <c r="D391" s="4">
        <v>15000</v>
      </c>
      <c r="E391" s="4">
        <v>18000</v>
      </c>
      <c r="F391" s="4">
        <v>22000</v>
      </c>
      <c r="G391" s="4"/>
      <c r="H391" s="4"/>
    </row>
    <row r="392" spans="1:8" x14ac:dyDescent="0.35">
      <c r="A392">
        <v>8</v>
      </c>
      <c r="B392">
        <v>27</v>
      </c>
      <c r="C392" t="s">
        <v>1031</v>
      </c>
      <c r="D392" s="4">
        <v>60</v>
      </c>
      <c r="E392" s="4">
        <v>300</v>
      </c>
      <c r="F392" s="4">
        <v>1200</v>
      </c>
      <c r="G392" s="4"/>
      <c r="H392" s="4"/>
    </row>
    <row r="393" spans="1:8" x14ac:dyDescent="0.35">
      <c r="A393">
        <v>8</v>
      </c>
      <c r="B393">
        <v>28</v>
      </c>
      <c r="C393" t="s">
        <v>1032</v>
      </c>
      <c r="D393" s="4">
        <v>10000000000</v>
      </c>
      <c r="E393" s="4">
        <v>1000000000000</v>
      </c>
      <c r="F393" s="4">
        <v>100000000000000</v>
      </c>
      <c r="G393" s="4"/>
      <c r="H393" s="4"/>
    </row>
    <row r="394" spans="1:8" x14ac:dyDescent="0.35">
      <c r="A394">
        <v>8</v>
      </c>
      <c r="B394">
        <v>29</v>
      </c>
      <c r="C394" t="s">
        <v>1033</v>
      </c>
      <c r="D394" s="4">
        <v>18000</v>
      </c>
      <c r="E394" s="4">
        <v>20000</v>
      </c>
      <c r="F394" s="4">
        <v>30000</v>
      </c>
      <c r="G394" s="4"/>
      <c r="H394" s="4"/>
    </row>
    <row r="395" spans="1:8" x14ac:dyDescent="0.35">
      <c r="A395">
        <v>8</v>
      </c>
      <c r="B395">
        <v>30</v>
      </c>
      <c r="C395" t="s">
        <v>1034</v>
      </c>
      <c r="D395" s="4">
        <v>30</v>
      </c>
      <c r="E395" s="4">
        <v>120</v>
      </c>
      <c r="F395" s="4">
        <v>360</v>
      </c>
      <c r="G395" s="4"/>
      <c r="H395" s="4"/>
    </row>
    <row r="396" spans="1:8" x14ac:dyDescent="0.35">
      <c r="A396">
        <v>8</v>
      </c>
      <c r="B396">
        <v>31</v>
      </c>
      <c r="C396" t="s">
        <v>1035</v>
      </c>
      <c r="D396" s="4">
        <v>1000000</v>
      </c>
      <c r="E396" s="4">
        <v>1000000000</v>
      </c>
      <c r="F396" s="4">
        <v>10000000000</v>
      </c>
      <c r="G396" s="4"/>
      <c r="H396" s="4"/>
    </row>
    <row r="397" spans="1:8" x14ac:dyDescent="0.35">
      <c r="A397">
        <v>8</v>
      </c>
      <c r="B397">
        <v>32</v>
      </c>
      <c r="C397" t="s">
        <v>1036</v>
      </c>
      <c r="D397" s="4">
        <v>500</v>
      </c>
      <c r="E397" s="4">
        <v>2000</v>
      </c>
      <c r="F397" s="4">
        <v>8000</v>
      </c>
      <c r="G397" s="4"/>
      <c r="H397" s="4"/>
    </row>
    <row r="398" spans="1:8" x14ac:dyDescent="0.35">
      <c r="A398">
        <v>8</v>
      </c>
      <c r="B398">
        <v>33</v>
      </c>
      <c r="C398" t="s">
        <v>1037</v>
      </c>
      <c r="D398" s="4">
        <v>300</v>
      </c>
      <c r="E398" s="4">
        <v>600</v>
      </c>
      <c r="F398" s="4">
        <v>2880</v>
      </c>
      <c r="G398" s="4"/>
      <c r="H398" s="4"/>
    </row>
    <row r="399" spans="1:8" x14ac:dyDescent="0.35">
      <c r="A399">
        <v>8</v>
      </c>
      <c r="B399">
        <v>34</v>
      </c>
      <c r="C399" t="s">
        <v>1038</v>
      </c>
      <c r="D399" s="4">
        <v>1000000</v>
      </c>
      <c r="E399" s="4">
        <v>1000000000</v>
      </c>
      <c r="F399" s="4">
        <v>10000000000</v>
      </c>
      <c r="G399" s="4"/>
      <c r="H399" s="4"/>
    </row>
    <row r="400" spans="1:8" x14ac:dyDescent="0.35">
      <c r="A400">
        <v>8</v>
      </c>
      <c r="B400">
        <v>35</v>
      </c>
      <c r="C400" t="s">
        <v>1039</v>
      </c>
      <c r="D400" s="4">
        <v>3000</v>
      </c>
      <c r="E400" s="4">
        <v>10000</v>
      </c>
      <c r="F400" s="4">
        <v>15000</v>
      </c>
      <c r="G400" s="4"/>
      <c r="H400" s="4"/>
    </row>
    <row r="401" spans="1:8" x14ac:dyDescent="0.35">
      <c r="A401">
        <v>8</v>
      </c>
      <c r="B401">
        <v>36</v>
      </c>
      <c r="C401" t="s">
        <v>1040</v>
      </c>
      <c r="D401" s="4">
        <v>60</v>
      </c>
      <c r="E401" s="4">
        <v>300</v>
      </c>
      <c r="F401" s="4">
        <v>1200</v>
      </c>
      <c r="G401" s="4"/>
      <c r="H401" s="4"/>
    </row>
    <row r="402" spans="1:8" x14ac:dyDescent="0.35">
      <c r="A402">
        <v>8</v>
      </c>
      <c r="B402">
        <v>37</v>
      </c>
      <c r="C402" t="s">
        <v>1041</v>
      </c>
      <c r="D402" s="4">
        <v>100000000</v>
      </c>
      <c r="E402" s="4">
        <v>5000000000</v>
      </c>
      <c r="F402" s="4">
        <v>100000000000</v>
      </c>
      <c r="G402" s="4"/>
      <c r="H402" s="4"/>
    </row>
    <row r="403" spans="1:8" x14ac:dyDescent="0.35">
      <c r="A403">
        <v>8</v>
      </c>
      <c r="B403">
        <v>38</v>
      </c>
      <c r="C403" t="s">
        <v>1042</v>
      </c>
      <c r="D403" s="4">
        <v>15000</v>
      </c>
      <c r="E403" s="4">
        <v>18000</v>
      </c>
      <c r="F403" s="4">
        <v>22000</v>
      </c>
      <c r="G403" s="4"/>
      <c r="H403" s="4"/>
    </row>
    <row r="404" spans="1:8" x14ac:dyDescent="0.35">
      <c r="A404">
        <v>8</v>
      </c>
      <c r="B404">
        <v>39</v>
      </c>
      <c r="C404" t="s">
        <v>1043</v>
      </c>
      <c r="D404" s="4">
        <v>60</v>
      </c>
      <c r="E404" s="4">
        <v>300</v>
      </c>
      <c r="F404" s="4">
        <v>1200</v>
      </c>
      <c r="G404" s="4"/>
      <c r="H404" s="4"/>
    </row>
    <row r="405" spans="1:8" x14ac:dyDescent="0.35">
      <c r="A405">
        <v>8</v>
      </c>
      <c r="B405">
        <v>40</v>
      </c>
      <c r="C405" t="s">
        <v>1044</v>
      </c>
      <c r="D405" s="4">
        <v>10000000000</v>
      </c>
      <c r="E405" s="4">
        <v>1000000000000</v>
      </c>
      <c r="F405" s="4">
        <v>10000000000000</v>
      </c>
      <c r="G405" s="4"/>
      <c r="H405" s="4"/>
    </row>
    <row r="406" spans="1:8" x14ac:dyDescent="0.35">
      <c r="A406">
        <v>8</v>
      </c>
      <c r="B406">
        <v>41</v>
      </c>
      <c r="C406" t="s">
        <v>1045</v>
      </c>
      <c r="D406" s="4">
        <v>18000</v>
      </c>
      <c r="E406" s="4">
        <v>20000</v>
      </c>
      <c r="F406" s="4">
        <v>25000</v>
      </c>
      <c r="G406" s="4"/>
      <c r="H406" s="4"/>
    </row>
    <row r="407" spans="1:8" x14ac:dyDescent="0.35">
      <c r="A407">
        <v>8</v>
      </c>
      <c r="B407">
        <v>42</v>
      </c>
      <c r="C407" t="s">
        <v>1046</v>
      </c>
      <c r="D407" s="4">
        <v>50</v>
      </c>
      <c r="E407" s="4">
        <v>70</v>
      </c>
      <c r="F407" s="4">
        <v>90</v>
      </c>
      <c r="G407" s="4"/>
      <c r="H407" s="4"/>
    </row>
    <row r="408" spans="1:8" x14ac:dyDescent="0.35">
      <c r="A408">
        <v>8</v>
      </c>
      <c r="B408">
        <v>43</v>
      </c>
      <c r="C408" t="s">
        <v>1047</v>
      </c>
      <c r="D408" s="4">
        <v>1</v>
      </c>
      <c r="E408" s="4">
        <v>5</v>
      </c>
      <c r="F408" s="4">
        <v>50</v>
      </c>
      <c r="G408" s="4"/>
      <c r="H408" s="4"/>
    </row>
    <row r="409" spans="1:8" x14ac:dyDescent="0.35">
      <c r="A409">
        <v>8</v>
      </c>
      <c r="B409">
        <v>44</v>
      </c>
      <c r="C409" t="s">
        <v>1048</v>
      </c>
      <c r="D409" s="4">
        <v>50</v>
      </c>
      <c r="E409" s="4">
        <v>70</v>
      </c>
      <c r="F409" s="4">
        <v>90</v>
      </c>
      <c r="G409" s="4"/>
      <c r="H409" s="4"/>
    </row>
    <row r="410" spans="1:8" x14ac:dyDescent="0.35">
      <c r="A410">
        <v>8</v>
      </c>
      <c r="B410">
        <v>45</v>
      </c>
      <c r="C410" t="s">
        <v>1049</v>
      </c>
      <c r="D410" s="4">
        <v>10</v>
      </c>
      <c r="E410" s="4">
        <v>40</v>
      </c>
      <c r="F410" s="4">
        <v>60</v>
      </c>
      <c r="G410" s="4"/>
      <c r="H410" s="4"/>
    </row>
    <row r="411" spans="1:8" x14ac:dyDescent="0.35">
      <c r="A411">
        <v>8</v>
      </c>
      <c r="B411">
        <v>46</v>
      </c>
      <c r="C411" t="s">
        <v>1050</v>
      </c>
      <c r="D411" s="4">
        <v>10</v>
      </c>
      <c r="E411" s="4">
        <v>40</v>
      </c>
      <c r="F411" s="4">
        <v>60</v>
      </c>
      <c r="G411" s="4"/>
      <c r="H411" s="4"/>
    </row>
    <row r="412" spans="1:8" x14ac:dyDescent="0.35">
      <c r="A412">
        <v>8</v>
      </c>
      <c r="B412">
        <v>47</v>
      </c>
      <c r="C412" t="s">
        <v>1051</v>
      </c>
      <c r="D412" s="4">
        <v>5</v>
      </c>
      <c r="E412" s="4">
        <v>20</v>
      </c>
      <c r="F412" s="4">
        <v>30</v>
      </c>
      <c r="G412" s="4"/>
      <c r="H412" s="4"/>
    </row>
    <row r="413" spans="1:8" x14ac:dyDescent="0.35">
      <c r="A413">
        <v>8</v>
      </c>
      <c r="B413">
        <v>48</v>
      </c>
      <c r="C413" t="s">
        <v>1052</v>
      </c>
      <c r="D413" s="4">
        <v>20</v>
      </c>
      <c r="E413" s="4">
        <v>60</v>
      </c>
      <c r="F413" s="4">
        <v>80</v>
      </c>
      <c r="G413" s="4"/>
      <c r="H413" s="4"/>
    </row>
    <row r="414" spans="1:8" x14ac:dyDescent="0.35">
      <c r="A414">
        <v>8</v>
      </c>
      <c r="B414">
        <v>49</v>
      </c>
      <c r="C414" t="s">
        <v>1053</v>
      </c>
      <c r="D414" s="4">
        <v>20</v>
      </c>
      <c r="E414" s="4">
        <v>60</v>
      </c>
      <c r="F414" s="4">
        <v>80</v>
      </c>
      <c r="G414" s="4"/>
      <c r="H414" s="4"/>
    </row>
    <row r="415" spans="1:8" x14ac:dyDescent="0.35">
      <c r="A415">
        <v>8</v>
      </c>
      <c r="B415">
        <v>50</v>
      </c>
      <c r="C415" t="s">
        <v>1054</v>
      </c>
      <c r="D415" s="4">
        <v>5</v>
      </c>
      <c r="E415" s="4">
        <v>30</v>
      </c>
      <c r="F415" s="4">
        <v>50</v>
      </c>
      <c r="G415" s="4"/>
      <c r="H415" s="4"/>
    </row>
    <row r="416" spans="1:8" x14ac:dyDescent="0.35">
      <c r="A416">
        <v>8</v>
      </c>
      <c r="B416">
        <v>51</v>
      </c>
      <c r="C416" t="s">
        <v>1055</v>
      </c>
      <c r="D416" s="4">
        <v>5</v>
      </c>
      <c r="E416" s="4">
        <v>30</v>
      </c>
      <c r="F416" s="4">
        <v>50</v>
      </c>
      <c r="G416" s="4"/>
      <c r="H416" s="4"/>
    </row>
    <row r="417" spans="1:8" x14ac:dyDescent="0.35">
      <c r="A417">
        <v>8</v>
      </c>
      <c r="B417">
        <v>52</v>
      </c>
      <c r="C417" t="s">
        <v>1056</v>
      </c>
      <c r="D417" s="4">
        <v>5</v>
      </c>
      <c r="E417" s="4">
        <v>20</v>
      </c>
      <c r="F417" s="4">
        <v>40</v>
      </c>
      <c r="G417" s="4"/>
      <c r="H417" s="4"/>
    </row>
    <row r="418" spans="1:8" x14ac:dyDescent="0.35">
      <c r="A418">
        <v>9</v>
      </c>
      <c r="B418">
        <v>1</v>
      </c>
      <c r="C418" t="s">
        <v>318</v>
      </c>
      <c r="D418" s="4">
        <v>5400</v>
      </c>
      <c r="E418" s="4">
        <v>5900</v>
      </c>
      <c r="F418" s="4">
        <v>6100</v>
      </c>
      <c r="G418" s="4"/>
      <c r="H418" s="4"/>
    </row>
    <row r="419" spans="1:8" x14ac:dyDescent="0.35">
      <c r="A419">
        <v>9</v>
      </c>
      <c r="B419">
        <v>2</v>
      </c>
      <c r="C419" t="s">
        <v>319</v>
      </c>
      <c r="D419" s="4">
        <v>800000</v>
      </c>
      <c r="E419" s="4">
        <v>3000000</v>
      </c>
      <c r="F419" s="4">
        <v>4000000</v>
      </c>
      <c r="G419" s="4"/>
      <c r="H419" s="4"/>
    </row>
    <row r="420" spans="1:8" x14ac:dyDescent="0.35">
      <c r="A420">
        <v>9</v>
      </c>
      <c r="B420">
        <v>3</v>
      </c>
      <c r="C420" t="s">
        <v>320</v>
      </c>
      <c r="D420" s="4">
        <v>5</v>
      </c>
      <c r="E420" s="4">
        <v>10</v>
      </c>
      <c r="F420" s="4">
        <v>25</v>
      </c>
      <c r="G420" s="4"/>
      <c r="H420" s="4"/>
    </row>
    <row r="421" spans="1:8" x14ac:dyDescent="0.35">
      <c r="A421">
        <v>9</v>
      </c>
      <c r="B421">
        <v>4</v>
      </c>
      <c r="C421" t="s">
        <v>321</v>
      </c>
      <c r="D421" s="4">
        <v>4000</v>
      </c>
      <c r="E421" s="4">
        <v>8000</v>
      </c>
      <c r="F421" s="4">
        <v>320000</v>
      </c>
      <c r="G421" s="4"/>
      <c r="H421" s="4"/>
    </row>
    <row r="422" spans="1:8" x14ac:dyDescent="0.35">
      <c r="A422">
        <v>9</v>
      </c>
      <c r="B422">
        <v>5</v>
      </c>
      <c r="C422" t="s">
        <v>322</v>
      </c>
      <c r="D422" s="4">
        <v>50</v>
      </c>
      <c r="E422" s="4">
        <v>100</v>
      </c>
      <c r="F422" s="4">
        <v>200</v>
      </c>
      <c r="G422" s="4"/>
      <c r="H422" s="4"/>
    </row>
    <row r="423" spans="1:8" x14ac:dyDescent="0.35">
      <c r="A423">
        <v>9</v>
      </c>
      <c r="B423">
        <v>6</v>
      </c>
      <c r="C423" t="s">
        <v>323</v>
      </c>
      <c r="D423" s="4">
        <v>0.1</v>
      </c>
      <c r="E423" s="4">
        <v>1</v>
      </c>
      <c r="F423" s="4">
        <v>15</v>
      </c>
      <c r="G423" s="4"/>
      <c r="H423" s="4"/>
    </row>
    <row r="424" spans="1:8" x14ac:dyDescent="0.35">
      <c r="A424">
        <v>9</v>
      </c>
      <c r="B424">
        <v>7</v>
      </c>
      <c r="C424" t="s">
        <v>324</v>
      </c>
      <c r="D424" s="4">
        <v>240</v>
      </c>
      <c r="E424" s="4">
        <v>300</v>
      </c>
      <c r="F424" s="4">
        <v>360</v>
      </c>
      <c r="G424" s="4"/>
      <c r="H424" s="4"/>
    </row>
    <row r="425" spans="1:8" x14ac:dyDescent="0.35">
      <c r="A425">
        <v>9</v>
      </c>
      <c r="B425">
        <v>8</v>
      </c>
      <c r="C425" t="s">
        <v>325</v>
      </c>
      <c r="D425" s="4">
        <v>20</v>
      </c>
      <c r="E425" s="4">
        <v>35</v>
      </c>
      <c r="F425" s="4">
        <v>60</v>
      </c>
      <c r="G425" s="4"/>
      <c r="H425" s="4"/>
    </row>
    <row r="426" spans="1:8" x14ac:dyDescent="0.35">
      <c r="A426">
        <v>9</v>
      </c>
      <c r="B426">
        <v>9</v>
      </c>
      <c r="C426" t="s">
        <v>326</v>
      </c>
      <c r="D426" s="4">
        <v>20</v>
      </c>
      <c r="E426" s="4">
        <v>40</v>
      </c>
      <c r="F426" s="4">
        <v>70</v>
      </c>
      <c r="G426" s="4"/>
      <c r="H426" s="4"/>
    </row>
    <row r="427" spans="1:8" x14ac:dyDescent="0.35">
      <c r="A427">
        <v>9</v>
      </c>
      <c r="B427">
        <v>10</v>
      </c>
      <c r="C427" t="s">
        <v>327</v>
      </c>
      <c r="D427" s="4">
        <v>100000</v>
      </c>
      <c r="E427" s="4">
        <v>1000000</v>
      </c>
      <c r="F427" s="4">
        <v>100000000</v>
      </c>
      <c r="G427" s="4"/>
      <c r="H427" s="4"/>
    </row>
    <row r="428" spans="1:8" x14ac:dyDescent="0.35">
      <c r="A428">
        <v>9</v>
      </c>
      <c r="B428">
        <v>11</v>
      </c>
      <c r="C428" t="s">
        <v>328</v>
      </c>
      <c r="D428" s="4">
        <v>1</v>
      </c>
      <c r="E428" s="4">
        <v>7</v>
      </c>
      <c r="F428" s="4">
        <v>12</v>
      </c>
      <c r="G428" s="4"/>
      <c r="H428" s="4"/>
    </row>
    <row r="429" spans="1:8" x14ac:dyDescent="0.35">
      <c r="A429">
        <v>9</v>
      </c>
      <c r="B429">
        <v>12</v>
      </c>
      <c r="C429" t="s">
        <v>329</v>
      </c>
      <c r="D429" s="4">
        <v>1000</v>
      </c>
      <c r="E429" s="4">
        <v>3000</v>
      </c>
      <c r="F429" s="4">
        <v>3500</v>
      </c>
      <c r="G429" s="4"/>
      <c r="H429" s="4"/>
    </row>
    <row r="430" spans="1:8" x14ac:dyDescent="0.35">
      <c r="A430">
        <v>9</v>
      </c>
      <c r="B430">
        <v>13</v>
      </c>
      <c r="C430" t="s">
        <v>330</v>
      </c>
      <c r="D430" s="4">
        <v>8</v>
      </c>
      <c r="E430" s="4">
        <v>15</v>
      </c>
      <c r="F430" s="4">
        <v>40</v>
      </c>
      <c r="G430" s="4"/>
      <c r="H430" s="4"/>
    </row>
    <row r="431" spans="1:8" x14ac:dyDescent="0.35">
      <c r="A431">
        <v>9</v>
      </c>
      <c r="B431">
        <v>14</v>
      </c>
      <c r="C431" t="s">
        <v>1018</v>
      </c>
      <c r="D431" s="4">
        <v>10</v>
      </c>
      <c r="E431" s="4">
        <v>20</v>
      </c>
      <c r="F431" s="4">
        <v>50</v>
      </c>
      <c r="G431" s="4"/>
      <c r="H431" s="4"/>
    </row>
    <row r="432" spans="1:8" x14ac:dyDescent="0.35">
      <c r="A432">
        <v>9</v>
      </c>
      <c r="B432">
        <v>15</v>
      </c>
      <c r="C432" t="s">
        <v>1019</v>
      </c>
      <c r="D432" s="4">
        <v>50</v>
      </c>
      <c r="E432" s="4">
        <v>80</v>
      </c>
      <c r="F432" s="4">
        <v>90</v>
      </c>
      <c r="G432" s="4"/>
      <c r="H432" s="4"/>
    </row>
    <row r="433" spans="1:8" x14ac:dyDescent="0.35">
      <c r="A433">
        <v>9</v>
      </c>
      <c r="B433">
        <v>16</v>
      </c>
      <c r="C433" t="s">
        <v>1020</v>
      </c>
      <c r="D433" s="4">
        <v>30</v>
      </c>
      <c r="E433" s="4">
        <v>40</v>
      </c>
      <c r="F433" s="4">
        <v>80</v>
      </c>
      <c r="G433" s="4"/>
      <c r="H433" s="4"/>
    </row>
    <row r="434" spans="1:8" x14ac:dyDescent="0.35">
      <c r="A434">
        <v>9</v>
      </c>
      <c r="B434">
        <v>17</v>
      </c>
      <c r="C434" t="s">
        <v>1021</v>
      </c>
      <c r="D434" s="4">
        <v>20</v>
      </c>
      <c r="E434" s="4">
        <v>50</v>
      </c>
      <c r="F434" s="4">
        <v>70</v>
      </c>
      <c r="H434" s="4"/>
    </row>
    <row r="435" spans="1:8" x14ac:dyDescent="0.35">
      <c r="A435">
        <v>9</v>
      </c>
      <c r="B435">
        <v>18</v>
      </c>
      <c r="C435" t="s">
        <v>1022</v>
      </c>
      <c r="D435" s="4">
        <v>3</v>
      </c>
      <c r="E435" s="4">
        <v>10</v>
      </c>
      <c r="F435" s="4">
        <v>15</v>
      </c>
      <c r="G435" s="4"/>
      <c r="H435" s="4"/>
    </row>
    <row r="436" spans="1:8" x14ac:dyDescent="0.35">
      <c r="A436">
        <v>9</v>
      </c>
      <c r="B436">
        <v>19</v>
      </c>
      <c r="C436" t="s">
        <v>1023</v>
      </c>
      <c r="D436" s="4">
        <v>25</v>
      </c>
      <c r="E436" s="4">
        <v>35</v>
      </c>
      <c r="F436" s="4">
        <v>70</v>
      </c>
      <c r="G436" s="4"/>
      <c r="H436" s="4"/>
    </row>
    <row r="437" spans="1:8" x14ac:dyDescent="0.35">
      <c r="A437">
        <v>9</v>
      </c>
      <c r="B437">
        <v>20</v>
      </c>
      <c r="C437" t="s">
        <v>1024</v>
      </c>
      <c r="D437" s="4">
        <v>30</v>
      </c>
      <c r="E437" s="4">
        <v>45</v>
      </c>
      <c r="F437" s="4">
        <v>70</v>
      </c>
      <c r="G437" s="4"/>
      <c r="H437" s="4"/>
    </row>
    <row r="438" spans="1:8" x14ac:dyDescent="0.35">
      <c r="A438">
        <v>9</v>
      </c>
      <c r="B438">
        <v>21</v>
      </c>
      <c r="C438" t="s">
        <v>1025</v>
      </c>
      <c r="D438" s="4">
        <v>8</v>
      </c>
      <c r="E438" s="4">
        <v>12</v>
      </c>
      <c r="F438" s="4">
        <v>25</v>
      </c>
      <c r="G438" s="4"/>
      <c r="H438" s="4"/>
    </row>
    <row r="439" spans="1:8" x14ac:dyDescent="0.35">
      <c r="A439">
        <v>9</v>
      </c>
      <c r="B439">
        <v>22</v>
      </c>
      <c r="C439" t="s">
        <v>1026</v>
      </c>
      <c r="D439" s="4">
        <v>4</v>
      </c>
      <c r="E439" s="4">
        <v>6</v>
      </c>
      <c r="F439" s="4">
        <v>10</v>
      </c>
      <c r="G439" s="4"/>
      <c r="H439" s="4"/>
    </row>
    <row r="440" spans="1:8" x14ac:dyDescent="0.35">
      <c r="A440">
        <v>9</v>
      </c>
      <c r="B440">
        <v>23</v>
      </c>
      <c r="C440" t="s">
        <v>1027</v>
      </c>
      <c r="D440" s="4">
        <v>1</v>
      </c>
      <c r="E440" s="4">
        <v>2</v>
      </c>
      <c r="F440" s="4">
        <v>5</v>
      </c>
      <c r="G440" s="4"/>
      <c r="H440" s="4"/>
    </row>
    <row r="441" spans="1:8" x14ac:dyDescent="0.35">
      <c r="A441">
        <v>9</v>
      </c>
      <c r="B441">
        <v>24</v>
      </c>
      <c r="C441" t="s">
        <v>1028</v>
      </c>
      <c r="D441" s="4">
        <v>1440</v>
      </c>
      <c r="E441" s="4">
        <v>4320</v>
      </c>
      <c r="F441" s="4">
        <v>10080</v>
      </c>
      <c r="G441" s="4"/>
      <c r="H441" s="4"/>
    </row>
    <row r="442" spans="1:8" x14ac:dyDescent="0.35">
      <c r="A442">
        <v>9</v>
      </c>
      <c r="B442">
        <v>25</v>
      </c>
      <c r="C442" t="s">
        <v>1029</v>
      </c>
      <c r="D442" s="4">
        <v>100000000000</v>
      </c>
      <c r="E442" s="4">
        <v>400000000000</v>
      </c>
      <c r="F442" s="4">
        <v>1000000000000</v>
      </c>
      <c r="G442" s="4"/>
      <c r="H442" s="4"/>
    </row>
    <row r="443" spans="1:8" x14ac:dyDescent="0.35">
      <c r="A443">
        <v>9</v>
      </c>
      <c r="B443">
        <v>26</v>
      </c>
      <c r="C443" t="s">
        <v>1030</v>
      </c>
      <c r="D443" s="4">
        <v>5000</v>
      </c>
      <c r="E443" s="4">
        <v>10000</v>
      </c>
      <c r="F443" s="4">
        <v>15000</v>
      </c>
      <c r="G443" s="4"/>
      <c r="H443" s="4"/>
    </row>
    <row r="444" spans="1:8" x14ac:dyDescent="0.35">
      <c r="A444">
        <v>9</v>
      </c>
      <c r="B444">
        <v>27</v>
      </c>
      <c r="C444" t="s">
        <v>1031</v>
      </c>
      <c r="D444" s="4">
        <v>4320</v>
      </c>
      <c r="E444" s="4">
        <v>10080</v>
      </c>
      <c r="F444" s="4">
        <v>20160</v>
      </c>
      <c r="G444" s="4"/>
      <c r="H444" s="4"/>
    </row>
    <row r="445" spans="1:8" x14ac:dyDescent="0.35">
      <c r="A445">
        <v>9</v>
      </c>
      <c r="B445">
        <v>28</v>
      </c>
      <c r="C445" t="s">
        <v>1032</v>
      </c>
      <c r="D445" s="4">
        <v>500000000000</v>
      </c>
      <c r="E445" s="4">
        <v>1000000000000</v>
      </c>
      <c r="F445" s="4">
        <v>7000000000000</v>
      </c>
      <c r="G445" s="4"/>
      <c r="H445" s="4"/>
    </row>
    <row r="446" spans="1:8" x14ac:dyDescent="0.35">
      <c r="A446">
        <v>9</v>
      </c>
      <c r="B446">
        <v>29</v>
      </c>
      <c r="C446" t="s">
        <v>1033</v>
      </c>
      <c r="D446" s="4">
        <v>10000</v>
      </c>
      <c r="E446" s="4">
        <v>20000</v>
      </c>
      <c r="F446" s="4">
        <v>25000</v>
      </c>
      <c r="G446" s="4"/>
      <c r="H446" s="4"/>
    </row>
    <row r="447" spans="1:8" x14ac:dyDescent="0.35">
      <c r="A447">
        <v>9</v>
      </c>
      <c r="B447">
        <v>30</v>
      </c>
      <c r="C447" t="s">
        <v>1034</v>
      </c>
      <c r="D447" s="4">
        <v>10080</v>
      </c>
      <c r="E447" s="4">
        <v>21600</v>
      </c>
      <c r="F447" s="4">
        <v>43200</v>
      </c>
      <c r="G447" s="4"/>
      <c r="H447" s="4"/>
    </row>
    <row r="448" spans="1:8" x14ac:dyDescent="0.35">
      <c r="A448">
        <v>9</v>
      </c>
      <c r="B448">
        <v>31</v>
      </c>
      <c r="C448" t="s">
        <v>1035</v>
      </c>
      <c r="D448" s="4">
        <v>10000000000</v>
      </c>
      <c r="E448" s="4">
        <v>50000000000</v>
      </c>
      <c r="F448" s="4">
        <v>200000000000</v>
      </c>
      <c r="G448" s="4"/>
      <c r="H448" s="4"/>
    </row>
    <row r="449" spans="1:8" x14ac:dyDescent="0.35">
      <c r="A449">
        <v>9</v>
      </c>
      <c r="B449">
        <v>32</v>
      </c>
      <c r="C449" t="s">
        <v>1036</v>
      </c>
      <c r="D449" s="4">
        <v>1000</v>
      </c>
      <c r="E449" s="4">
        <v>2000</v>
      </c>
      <c r="F449" s="4">
        <v>5000</v>
      </c>
      <c r="G449" s="4"/>
      <c r="H449" s="4"/>
    </row>
    <row r="450" spans="1:8" x14ac:dyDescent="0.35">
      <c r="A450">
        <v>9</v>
      </c>
      <c r="B450">
        <v>33</v>
      </c>
      <c r="C450" t="s">
        <v>1037</v>
      </c>
      <c r="D450" s="4">
        <v>720</v>
      </c>
      <c r="E450" s="4">
        <v>2160</v>
      </c>
      <c r="F450" s="4">
        <v>10080</v>
      </c>
      <c r="G450" s="4"/>
      <c r="H450" s="4"/>
    </row>
    <row r="451" spans="1:8" x14ac:dyDescent="0.35">
      <c r="A451">
        <v>9</v>
      </c>
      <c r="B451">
        <v>34</v>
      </c>
      <c r="C451" t="s">
        <v>1038</v>
      </c>
      <c r="D451" s="4">
        <v>20000000000</v>
      </c>
      <c r="E451" s="4">
        <v>50000000000</v>
      </c>
      <c r="F451" s="4">
        <v>100000000000</v>
      </c>
      <c r="G451" s="4"/>
      <c r="H451" s="4"/>
    </row>
    <row r="452" spans="1:8" x14ac:dyDescent="0.35">
      <c r="A452">
        <v>9</v>
      </c>
      <c r="B452">
        <v>35</v>
      </c>
      <c r="C452" t="s">
        <v>1039</v>
      </c>
      <c r="D452" s="4">
        <v>2000</v>
      </c>
      <c r="E452" s="4">
        <v>5000</v>
      </c>
      <c r="F452" s="4">
        <v>10000</v>
      </c>
      <c r="G452" s="4"/>
      <c r="H452" s="4"/>
    </row>
    <row r="453" spans="1:8" x14ac:dyDescent="0.35">
      <c r="A453">
        <v>9</v>
      </c>
      <c r="B453">
        <v>36</v>
      </c>
      <c r="C453" t="s">
        <v>1040</v>
      </c>
      <c r="D453" s="4">
        <v>1440</v>
      </c>
      <c r="E453" s="4">
        <v>7200</v>
      </c>
      <c r="F453" s="4">
        <v>14400</v>
      </c>
      <c r="G453" s="4"/>
      <c r="H453" s="4"/>
    </row>
    <row r="454" spans="1:8" x14ac:dyDescent="0.35">
      <c r="A454">
        <v>9</v>
      </c>
      <c r="B454">
        <v>37</v>
      </c>
      <c r="C454" t="s">
        <v>1041</v>
      </c>
      <c r="D454" s="4">
        <v>100000000000</v>
      </c>
      <c r="E454" s="4">
        <v>200000000000</v>
      </c>
      <c r="F454" s="4">
        <v>700000000000</v>
      </c>
      <c r="G454" s="4"/>
      <c r="H454" s="4"/>
    </row>
    <row r="455" spans="1:8" x14ac:dyDescent="0.35">
      <c r="A455">
        <v>9</v>
      </c>
      <c r="B455">
        <v>38</v>
      </c>
      <c r="C455" t="s">
        <v>1042</v>
      </c>
      <c r="D455" s="4">
        <v>5000</v>
      </c>
      <c r="E455" s="4">
        <v>10000</v>
      </c>
      <c r="F455" s="4">
        <v>15000</v>
      </c>
      <c r="G455" s="4"/>
      <c r="H455" s="4"/>
    </row>
    <row r="456" spans="1:8" x14ac:dyDescent="0.35">
      <c r="A456">
        <v>9</v>
      </c>
      <c r="B456">
        <v>39</v>
      </c>
      <c r="C456" t="s">
        <v>1043</v>
      </c>
      <c r="D456" s="4">
        <v>4320</v>
      </c>
      <c r="E456" s="4">
        <v>14400</v>
      </c>
      <c r="F456" s="4">
        <v>30240</v>
      </c>
      <c r="G456" s="4"/>
      <c r="H456" s="4"/>
    </row>
    <row r="457" spans="1:8" x14ac:dyDescent="0.35">
      <c r="A457">
        <v>9</v>
      </c>
      <c r="B457">
        <v>40</v>
      </c>
      <c r="C457" t="s">
        <v>1044</v>
      </c>
      <c r="D457" s="4">
        <v>500000000000</v>
      </c>
      <c r="E457" s="4">
        <v>1000000000000</v>
      </c>
      <c r="F457" s="4">
        <v>5000000000000</v>
      </c>
      <c r="G457" s="4"/>
      <c r="H457" s="4"/>
    </row>
    <row r="458" spans="1:8" x14ac:dyDescent="0.35">
      <c r="A458">
        <v>9</v>
      </c>
      <c r="B458">
        <v>41</v>
      </c>
      <c r="C458" t="s">
        <v>1045</v>
      </c>
      <c r="D458" s="4">
        <v>10000</v>
      </c>
      <c r="E458" s="4">
        <v>20000</v>
      </c>
      <c r="F458" s="4">
        <v>25000</v>
      </c>
      <c r="G458" s="4"/>
      <c r="H458" s="4"/>
    </row>
    <row r="459" spans="1:8" x14ac:dyDescent="0.35">
      <c r="A459">
        <v>9</v>
      </c>
      <c r="B459">
        <v>42</v>
      </c>
      <c r="C459" t="s">
        <v>1046</v>
      </c>
      <c r="D459" s="4">
        <v>25</v>
      </c>
      <c r="E459" s="4">
        <v>75</v>
      </c>
      <c r="F459" s="4">
        <v>100</v>
      </c>
      <c r="G459" s="4"/>
      <c r="H459" s="4"/>
    </row>
    <row r="460" spans="1:8" x14ac:dyDescent="0.35">
      <c r="A460">
        <v>9</v>
      </c>
      <c r="B460">
        <v>43</v>
      </c>
      <c r="C460" t="s">
        <v>1047</v>
      </c>
      <c r="D460" s="4">
        <v>15</v>
      </c>
      <c r="E460" s="4">
        <v>35</v>
      </c>
      <c r="F460" s="4">
        <v>50</v>
      </c>
      <c r="G460" s="4"/>
      <c r="H460" s="4"/>
    </row>
    <row r="461" spans="1:8" x14ac:dyDescent="0.35">
      <c r="A461">
        <v>9</v>
      </c>
      <c r="B461">
        <v>44</v>
      </c>
      <c r="C461" t="s">
        <v>1048</v>
      </c>
      <c r="D461" s="4">
        <v>60</v>
      </c>
      <c r="E461" s="4">
        <v>90</v>
      </c>
      <c r="F461" s="4">
        <v>95</v>
      </c>
      <c r="G461" s="4"/>
      <c r="H461" s="4"/>
    </row>
    <row r="462" spans="1:8" x14ac:dyDescent="0.35">
      <c r="A462">
        <v>9</v>
      </c>
      <c r="B462">
        <v>45</v>
      </c>
      <c r="C462" t="s">
        <v>1049</v>
      </c>
      <c r="D462" s="4">
        <v>30</v>
      </c>
      <c r="E462" s="4">
        <v>40</v>
      </c>
      <c r="F462" s="4">
        <v>80</v>
      </c>
      <c r="G462" s="4"/>
      <c r="H462" s="4"/>
    </row>
    <row r="463" spans="1:8" x14ac:dyDescent="0.35">
      <c r="A463">
        <v>9</v>
      </c>
      <c r="B463">
        <v>46</v>
      </c>
      <c r="C463" t="s">
        <v>1050</v>
      </c>
      <c r="D463" s="4">
        <v>20</v>
      </c>
      <c r="E463" s="4">
        <v>50</v>
      </c>
      <c r="F463" s="4">
        <v>70</v>
      </c>
      <c r="G463" s="4"/>
      <c r="H463" s="4"/>
    </row>
    <row r="464" spans="1:8" x14ac:dyDescent="0.35">
      <c r="A464">
        <v>9</v>
      </c>
      <c r="B464">
        <v>47</v>
      </c>
      <c r="C464" t="s">
        <v>1051</v>
      </c>
      <c r="D464" s="4">
        <v>3</v>
      </c>
      <c r="E464" s="4">
        <v>10</v>
      </c>
      <c r="F464" s="4">
        <v>15</v>
      </c>
      <c r="G464" s="4"/>
      <c r="H464" s="4"/>
    </row>
    <row r="465" spans="1:8" x14ac:dyDescent="0.35">
      <c r="A465">
        <v>9</v>
      </c>
      <c r="B465">
        <v>48</v>
      </c>
      <c r="C465" t="s">
        <v>1052</v>
      </c>
      <c r="D465" s="4">
        <v>80</v>
      </c>
      <c r="E465" s="4">
        <v>90</v>
      </c>
      <c r="F465" s="4">
        <v>95</v>
      </c>
      <c r="G465" s="4"/>
      <c r="H465" s="4"/>
    </row>
    <row r="466" spans="1:8" x14ac:dyDescent="0.35">
      <c r="A466">
        <v>9</v>
      </c>
      <c r="B466">
        <v>49</v>
      </c>
      <c r="C466" t="s">
        <v>1053</v>
      </c>
      <c r="D466" s="4">
        <v>80</v>
      </c>
      <c r="E466" s="4">
        <v>90</v>
      </c>
      <c r="F466" s="4">
        <v>95</v>
      </c>
      <c r="G466" s="4"/>
      <c r="H466" s="4"/>
    </row>
    <row r="467" spans="1:8" x14ac:dyDescent="0.35">
      <c r="A467">
        <v>9</v>
      </c>
      <c r="B467">
        <v>50</v>
      </c>
      <c r="C467" t="s">
        <v>1054</v>
      </c>
      <c r="D467" s="4">
        <v>35</v>
      </c>
      <c r="E467" s="4">
        <v>50</v>
      </c>
      <c r="F467" s="4">
        <v>65</v>
      </c>
      <c r="G467" s="4"/>
      <c r="H467" s="4"/>
    </row>
    <row r="468" spans="1:8" x14ac:dyDescent="0.35">
      <c r="A468">
        <v>9</v>
      </c>
      <c r="B468">
        <v>51</v>
      </c>
      <c r="C468" t="s">
        <v>1055</v>
      </c>
      <c r="D468" s="4">
        <v>10</v>
      </c>
      <c r="E468" s="4">
        <v>20</v>
      </c>
      <c r="F468" s="4">
        <v>25</v>
      </c>
      <c r="G468" s="4"/>
      <c r="H468" s="4"/>
    </row>
    <row r="469" spans="1:8" x14ac:dyDescent="0.35">
      <c r="A469">
        <v>9</v>
      </c>
      <c r="B469">
        <v>52</v>
      </c>
      <c r="C469" t="s">
        <v>1056</v>
      </c>
      <c r="D469" s="4">
        <v>2</v>
      </c>
      <c r="E469" s="4">
        <v>5</v>
      </c>
      <c r="F469" s="4">
        <v>7</v>
      </c>
      <c r="G469" s="4"/>
      <c r="H469" s="4"/>
    </row>
    <row r="470" spans="1:8" x14ac:dyDescent="0.35">
      <c r="A470">
        <v>10</v>
      </c>
      <c r="B470">
        <v>1</v>
      </c>
      <c r="C470" t="s">
        <v>318</v>
      </c>
      <c r="D470" s="4">
        <v>4500</v>
      </c>
      <c r="E470" s="4">
        <v>5200</v>
      </c>
      <c r="F470" s="4">
        <v>6500</v>
      </c>
      <c r="G470" s="4"/>
      <c r="H470" s="4"/>
    </row>
    <row r="471" spans="1:8" x14ac:dyDescent="0.35">
      <c r="A471">
        <v>10</v>
      </c>
      <c r="B471">
        <v>2</v>
      </c>
      <c r="C471" t="s">
        <v>319</v>
      </c>
      <c r="D471" s="4">
        <v>1000000</v>
      </c>
      <c r="E471" s="4">
        <v>4000000</v>
      </c>
      <c r="F471" s="4">
        <v>15000000</v>
      </c>
      <c r="G471" s="4"/>
      <c r="H471" s="4"/>
    </row>
    <row r="472" spans="1:8" x14ac:dyDescent="0.35">
      <c r="A472">
        <v>10</v>
      </c>
      <c r="B472">
        <v>3</v>
      </c>
      <c r="C472" t="s">
        <v>320</v>
      </c>
      <c r="D472" s="4">
        <v>10</v>
      </c>
      <c r="E472" s="4">
        <v>30</v>
      </c>
      <c r="F472" s="4">
        <v>80</v>
      </c>
      <c r="G472" s="4"/>
      <c r="H472" s="4"/>
    </row>
    <row r="473" spans="1:8" x14ac:dyDescent="0.35">
      <c r="A473">
        <v>10</v>
      </c>
      <c r="B473">
        <v>4</v>
      </c>
      <c r="C473" t="s">
        <v>321</v>
      </c>
      <c r="D473" s="4">
        <v>1000</v>
      </c>
      <c r="E473" s="4">
        <v>2500</v>
      </c>
      <c r="F473" s="4">
        <v>12000</v>
      </c>
      <c r="G473" s="4"/>
      <c r="H473" s="4"/>
    </row>
    <row r="474" spans="1:8" x14ac:dyDescent="0.35">
      <c r="A474">
        <v>10</v>
      </c>
      <c r="B474">
        <v>5</v>
      </c>
      <c r="C474" t="s">
        <v>322</v>
      </c>
      <c r="D474" s="4">
        <v>5</v>
      </c>
      <c r="E474" s="4">
        <v>30</v>
      </c>
      <c r="F474" s="4">
        <v>80</v>
      </c>
      <c r="G474" s="4"/>
      <c r="H474" s="4"/>
    </row>
    <row r="475" spans="1:8" x14ac:dyDescent="0.35">
      <c r="A475">
        <v>10</v>
      </c>
      <c r="B475">
        <v>6</v>
      </c>
      <c r="C475" t="s">
        <v>323</v>
      </c>
      <c r="D475" s="4">
        <v>1</v>
      </c>
      <c r="E475" s="4">
        <v>30</v>
      </c>
      <c r="F475" s="4">
        <v>1000</v>
      </c>
      <c r="G475" s="4"/>
      <c r="H475" s="4"/>
    </row>
    <row r="476" spans="1:8" x14ac:dyDescent="0.35">
      <c r="A476">
        <v>10</v>
      </c>
      <c r="B476">
        <v>7</v>
      </c>
      <c r="C476" t="s">
        <v>324</v>
      </c>
      <c r="D476" s="4">
        <v>180</v>
      </c>
      <c r="E476" s="4">
        <v>270</v>
      </c>
      <c r="F476" s="4">
        <v>360</v>
      </c>
      <c r="G476" s="4"/>
      <c r="H476" s="4"/>
    </row>
    <row r="477" spans="1:8" x14ac:dyDescent="0.35">
      <c r="A477">
        <v>10</v>
      </c>
      <c r="B477">
        <v>8</v>
      </c>
      <c r="C477" t="s">
        <v>325</v>
      </c>
      <c r="D477" s="4">
        <v>5</v>
      </c>
      <c r="E477" s="4">
        <v>30</v>
      </c>
      <c r="F477" s="4">
        <v>60</v>
      </c>
      <c r="G477" s="4"/>
      <c r="H477" s="4"/>
    </row>
    <row r="478" spans="1:8" x14ac:dyDescent="0.35">
      <c r="A478">
        <v>10</v>
      </c>
      <c r="B478">
        <v>9</v>
      </c>
      <c r="C478" t="s">
        <v>326</v>
      </c>
      <c r="D478" s="4">
        <v>20</v>
      </c>
      <c r="E478" s="4">
        <v>50</v>
      </c>
      <c r="F478" s="4">
        <v>80</v>
      </c>
      <c r="G478" s="4"/>
      <c r="H478" s="4"/>
    </row>
    <row r="479" spans="1:8" x14ac:dyDescent="0.35">
      <c r="A479">
        <v>10</v>
      </c>
      <c r="B479">
        <v>10</v>
      </c>
      <c r="C479" t="s">
        <v>327</v>
      </c>
      <c r="D479" s="4">
        <v>1000000</v>
      </c>
      <c r="E479" s="4">
        <v>10000000</v>
      </c>
      <c r="F479" s="4">
        <v>100000000</v>
      </c>
      <c r="G479" s="4"/>
      <c r="H479" s="4"/>
    </row>
    <row r="480" spans="1:8" x14ac:dyDescent="0.35">
      <c r="A480">
        <v>10</v>
      </c>
      <c r="B480">
        <v>11</v>
      </c>
      <c r="C480" t="s">
        <v>328</v>
      </c>
      <c r="D480" s="4">
        <v>5</v>
      </c>
      <c r="E480" s="4">
        <v>20</v>
      </c>
      <c r="F480" s="4">
        <v>30</v>
      </c>
      <c r="G480" s="4"/>
      <c r="H480" s="4"/>
    </row>
    <row r="481" spans="1:8" x14ac:dyDescent="0.35">
      <c r="A481">
        <v>10</v>
      </c>
      <c r="B481">
        <v>12</v>
      </c>
      <c r="C481" t="s">
        <v>329</v>
      </c>
      <c r="D481" s="4">
        <v>500</v>
      </c>
      <c r="E481" s="4">
        <v>2000</v>
      </c>
      <c r="F481" s="4">
        <v>5000</v>
      </c>
      <c r="G481" s="4"/>
      <c r="H481" s="4"/>
    </row>
    <row r="482" spans="1:8" x14ac:dyDescent="0.35">
      <c r="A482">
        <v>10</v>
      </c>
      <c r="B482">
        <v>13</v>
      </c>
      <c r="C482" t="s">
        <v>330</v>
      </c>
      <c r="D482" s="4">
        <v>10</v>
      </c>
      <c r="E482" s="4">
        <v>50</v>
      </c>
      <c r="F482" s="4">
        <v>90</v>
      </c>
      <c r="G482" s="4"/>
      <c r="H482" s="4"/>
    </row>
    <row r="483" spans="1:8" x14ac:dyDescent="0.35">
      <c r="A483">
        <v>10</v>
      </c>
      <c r="B483">
        <v>14</v>
      </c>
      <c r="C483" t="s">
        <v>1018</v>
      </c>
      <c r="D483" s="4">
        <v>1</v>
      </c>
      <c r="E483" s="4">
        <v>5</v>
      </c>
      <c r="F483" s="4">
        <v>30</v>
      </c>
      <c r="G483" s="4"/>
      <c r="H483" s="4"/>
    </row>
    <row r="484" spans="1:8" x14ac:dyDescent="0.35">
      <c r="A484">
        <v>10</v>
      </c>
      <c r="B484">
        <v>15</v>
      </c>
      <c r="C484" t="s">
        <v>1019</v>
      </c>
      <c r="D484" s="4">
        <v>70</v>
      </c>
      <c r="E484" s="4">
        <v>95</v>
      </c>
      <c r="F484" s="4">
        <v>99</v>
      </c>
      <c r="G484" s="4"/>
      <c r="H484" s="4"/>
    </row>
    <row r="485" spans="1:8" x14ac:dyDescent="0.35">
      <c r="A485">
        <v>10</v>
      </c>
      <c r="B485">
        <v>16</v>
      </c>
      <c r="C485" t="s">
        <v>1020</v>
      </c>
      <c r="D485" s="4">
        <v>5</v>
      </c>
      <c r="E485" s="4">
        <v>20</v>
      </c>
      <c r="F485" s="4">
        <v>50</v>
      </c>
      <c r="G485" s="4"/>
      <c r="H485" s="4"/>
    </row>
    <row r="486" spans="1:8" x14ac:dyDescent="0.35">
      <c r="A486">
        <v>10</v>
      </c>
      <c r="B486">
        <v>17</v>
      </c>
      <c r="C486" t="s">
        <v>1021</v>
      </c>
      <c r="D486" s="4">
        <v>2</v>
      </c>
      <c r="E486" s="4">
        <v>10</v>
      </c>
      <c r="F486" s="4">
        <v>30</v>
      </c>
      <c r="H486" s="4"/>
    </row>
    <row r="487" spans="1:8" x14ac:dyDescent="0.35">
      <c r="A487">
        <v>10</v>
      </c>
      <c r="B487">
        <v>18</v>
      </c>
      <c r="C487" t="s">
        <v>1022</v>
      </c>
      <c r="D487" s="4">
        <v>30</v>
      </c>
      <c r="E487" s="4">
        <v>70</v>
      </c>
      <c r="F487" s="4">
        <v>90</v>
      </c>
      <c r="G487" s="4"/>
      <c r="H487" s="4"/>
    </row>
    <row r="488" spans="1:8" x14ac:dyDescent="0.35">
      <c r="A488">
        <v>10</v>
      </c>
      <c r="B488">
        <v>19</v>
      </c>
      <c r="C488" t="s">
        <v>1023</v>
      </c>
      <c r="D488" s="4">
        <v>20</v>
      </c>
      <c r="E488" s="4">
        <v>50</v>
      </c>
      <c r="F488" s="4">
        <v>80</v>
      </c>
      <c r="G488" s="4"/>
      <c r="H488" s="4"/>
    </row>
    <row r="489" spans="1:8" x14ac:dyDescent="0.35">
      <c r="A489">
        <v>10</v>
      </c>
      <c r="B489">
        <v>20</v>
      </c>
      <c r="C489" t="s">
        <v>1024</v>
      </c>
      <c r="D489" s="4">
        <v>5</v>
      </c>
      <c r="E489" s="4">
        <v>20</v>
      </c>
      <c r="F489" s="4">
        <v>50</v>
      </c>
      <c r="G489" s="4"/>
      <c r="H489" s="4"/>
    </row>
    <row r="490" spans="1:8" x14ac:dyDescent="0.35">
      <c r="A490">
        <v>10</v>
      </c>
      <c r="B490">
        <v>21</v>
      </c>
      <c r="C490" t="s">
        <v>1025</v>
      </c>
      <c r="D490" s="4">
        <v>2</v>
      </c>
      <c r="E490" s="4">
        <v>10</v>
      </c>
      <c r="F490" s="4">
        <v>30</v>
      </c>
      <c r="G490" s="4"/>
      <c r="H490" s="4"/>
    </row>
    <row r="491" spans="1:8" x14ac:dyDescent="0.35">
      <c r="A491">
        <v>10</v>
      </c>
      <c r="B491">
        <v>22</v>
      </c>
      <c r="C491" t="s">
        <v>1026</v>
      </c>
      <c r="D491" s="4">
        <v>1</v>
      </c>
      <c r="E491" s="4">
        <v>5</v>
      </c>
      <c r="F491" s="4">
        <v>20</v>
      </c>
      <c r="G491" s="4"/>
      <c r="H491" s="4"/>
    </row>
    <row r="492" spans="1:8" x14ac:dyDescent="0.35">
      <c r="A492">
        <v>10</v>
      </c>
      <c r="B492">
        <v>23</v>
      </c>
      <c r="C492" t="s">
        <v>1027</v>
      </c>
      <c r="D492" s="4">
        <v>5</v>
      </c>
      <c r="E492" s="4">
        <v>15</v>
      </c>
      <c r="F492" s="4">
        <v>50</v>
      </c>
      <c r="G492" s="4"/>
      <c r="H492" s="4"/>
    </row>
    <row r="493" spans="1:8" x14ac:dyDescent="0.35">
      <c r="A493">
        <v>10</v>
      </c>
      <c r="B493">
        <v>24</v>
      </c>
      <c r="C493" t="s">
        <v>1028</v>
      </c>
      <c r="D493" s="4">
        <v>30</v>
      </c>
      <c r="E493" s="4">
        <v>120</v>
      </c>
      <c r="F493" s="4">
        <v>720</v>
      </c>
      <c r="G493" s="4"/>
      <c r="H493" s="4"/>
    </row>
    <row r="494" spans="1:8" x14ac:dyDescent="0.35">
      <c r="A494">
        <v>10</v>
      </c>
      <c r="B494">
        <v>25</v>
      </c>
      <c r="C494" t="s">
        <v>1029</v>
      </c>
      <c r="D494" s="4">
        <v>10000000000</v>
      </c>
      <c r="E494" s="4">
        <v>30000000000</v>
      </c>
      <c r="F494" s="4">
        <v>50000000000</v>
      </c>
      <c r="G494" s="4"/>
      <c r="H494" s="4"/>
    </row>
    <row r="495" spans="1:8" x14ac:dyDescent="0.35">
      <c r="A495">
        <v>10</v>
      </c>
      <c r="B495">
        <v>26</v>
      </c>
      <c r="C495" t="s">
        <v>1030</v>
      </c>
      <c r="D495" s="4">
        <v>15000</v>
      </c>
      <c r="E495" s="4">
        <v>20000</v>
      </c>
      <c r="F495" s="4">
        <v>25000</v>
      </c>
      <c r="G495" s="4"/>
      <c r="H495" s="4"/>
    </row>
    <row r="496" spans="1:8" x14ac:dyDescent="0.35">
      <c r="A496">
        <v>10</v>
      </c>
      <c r="B496">
        <v>27</v>
      </c>
      <c r="C496" t="s">
        <v>1031</v>
      </c>
      <c r="D496" s="4">
        <v>20</v>
      </c>
      <c r="E496" s="4">
        <v>60</v>
      </c>
      <c r="F496" s="4">
        <v>360</v>
      </c>
      <c r="G496" s="4"/>
      <c r="H496" s="4"/>
    </row>
    <row r="497" spans="1:8" x14ac:dyDescent="0.35">
      <c r="A497">
        <v>10</v>
      </c>
      <c r="B497">
        <v>28</v>
      </c>
      <c r="C497" t="s">
        <v>1032</v>
      </c>
      <c r="D497" s="4">
        <v>100000000000</v>
      </c>
      <c r="E497" s="4">
        <v>300000000000</v>
      </c>
      <c r="F497" s="4">
        <v>800000000000</v>
      </c>
      <c r="G497" s="4"/>
      <c r="H497" s="4"/>
    </row>
    <row r="498" spans="1:8" x14ac:dyDescent="0.35">
      <c r="A498">
        <v>10</v>
      </c>
      <c r="B498">
        <v>29</v>
      </c>
      <c r="C498" t="s">
        <v>1033</v>
      </c>
      <c r="D498" s="4">
        <v>25000</v>
      </c>
      <c r="E498" s="4">
        <v>30000</v>
      </c>
      <c r="F498" s="4">
        <v>34000</v>
      </c>
      <c r="G498" s="4"/>
      <c r="H498" s="4"/>
    </row>
    <row r="499" spans="1:8" x14ac:dyDescent="0.35">
      <c r="A499">
        <v>10</v>
      </c>
      <c r="B499">
        <v>30</v>
      </c>
      <c r="C499" t="s">
        <v>1034</v>
      </c>
      <c r="D499" s="4">
        <v>1440</v>
      </c>
      <c r="E499" s="4">
        <v>129600</v>
      </c>
      <c r="F499" s="4">
        <v>1051200</v>
      </c>
      <c r="G499" s="4"/>
      <c r="H499" s="4"/>
    </row>
    <row r="500" spans="1:8" x14ac:dyDescent="0.35">
      <c r="A500">
        <v>10</v>
      </c>
      <c r="B500">
        <v>31</v>
      </c>
      <c r="C500" t="s">
        <v>1035</v>
      </c>
      <c r="D500" s="4">
        <v>10000</v>
      </c>
      <c r="E500" s="4">
        <v>1000000</v>
      </c>
      <c r="F500" s="4">
        <v>100000000</v>
      </c>
      <c r="G500" s="4"/>
      <c r="H500" s="4"/>
    </row>
    <row r="501" spans="1:8" x14ac:dyDescent="0.35">
      <c r="A501">
        <v>10</v>
      </c>
      <c r="B501">
        <v>32</v>
      </c>
      <c r="C501" t="s">
        <v>1036</v>
      </c>
      <c r="D501" s="4">
        <v>200</v>
      </c>
      <c r="E501" s="4">
        <v>1000</v>
      </c>
      <c r="F501" s="4">
        <v>3000</v>
      </c>
      <c r="G501" s="4"/>
      <c r="H501" s="4"/>
    </row>
    <row r="502" spans="1:8" x14ac:dyDescent="0.35">
      <c r="A502">
        <v>10</v>
      </c>
      <c r="B502">
        <v>33</v>
      </c>
      <c r="C502" t="s">
        <v>1037</v>
      </c>
      <c r="D502" s="4">
        <v>10</v>
      </c>
      <c r="E502" s="4">
        <v>60</v>
      </c>
      <c r="F502" s="4">
        <v>300</v>
      </c>
      <c r="G502" s="4"/>
      <c r="H502" s="4"/>
    </row>
    <row r="503" spans="1:8" x14ac:dyDescent="0.35">
      <c r="A503">
        <v>10</v>
      </c>
      <c r="B503">
        <v>34</v>
      </c>
      <c r="C503" t="s">
        <v>1038</v>
      </c>
      <c r="D503" s="4">
        <v>1000000</v>
      </c>
      <c r="E503" s="4">
        <v>100000000</v>
      </c>
      <c r="F503" s="4">
        <v>1000000000</v>
      </c>
      <c r="G503" s="4"/>
      <c r="H503" s="4"/>
    </row>
    <row r="504" spans="1:8" x14ac:dyDescent="0.35">
      <c r="A504">
        <v>10</v>
      </c>
      <c r="B504">
        <v>35</v>
      </c>
      <c r="C504" t="s">
        <v>1039</v>
      </c>
      <c r="D504" s="4">
        <v>2000</v>
      </c>
      <c r="E504" s="4">
        <v>5000</v>
      </c>
      <c r="F504" s="4">
        <v>10000</v>
      </c>
      <c r="G504" s="4"/>
      <c r="H504" s="4"/>
    </row>
    <row r="505" spans="1:8" x14ac:dyDescent="0.35">
      <c r="A505">
        <v>10</v>
      </c>
      <c r="B505">
        <v>36</v>
      </c>
      <c r="C505" t="s">
        <v>1040</v>
      </c>
      <c r="D505" s="4">
        <v>5</v>
      </c>
      <c r="E505" s="4">
        <v>30</v>
      </c>
      <c r="F505" s="4">
        <v>360</v>
      </c>
      <c r="G505" s="4"/>
      <c r="H505" s="4"/>
    </row>
    <row r="506" spans="1:8" x14ac:dyDescent="0.35">
      <c r="A506">
        <v>10</v>
      </c>
      <c r="B506">
        <v>37</v>
      </c>
      <c r="C506" t="s">
        <v>1041</v>
      </c>
      <c r="D506" s="4">
        <v>5000000000</v>
      </c>
      <c r="E506" s="4">
        <v>10000000000</v>
      </c>
      <c r="F506" s="4">
        <v>30000000000</v>
      </c>
      <c r="G506" s="4"/>
      <c r="H506" s="4"/>
    </row>
    <row r="507" spans="1:8" x14ac:dyDescent="0.35">
      <c r="A507">
        <v>10</v>
      </c>
      <c r="B507">
        <v>38</v>
      </c>
      <c r="C507" t="s">
        <v>1042</v>
      </c>
      <c r="D507" s="4">
        <v>15000</v>
      </c>
      <c r="E507" s="4">
        <v>20000</v>
      </c>
      <c r="F507" s="4">
        <v>25000</v>
      </c>
      <c r="G507" s="4"/>
      <c r="H507" s="4"/>
    </row>
    <row r="508" spans="1:8" x14ac:dyDescent="0.35">
      <c r="A508">
        <v>10</v>
      </c>
      <c r="B508">
        <v>39</v>
      </c>
      <c r="C508" t="s">
        <v>1043</v>
      </c>
      <c r="D508" s="4">
        <v>10</v>
      </c>
      <c r="E508" s="4">
        <v>30</v>
      </c>
      <c r="F508" s="4">
        <v>360</v>
      </c>
      <c r="G508" s="4"/>
      <c r="H508" s="4"/>
    </row>
    <row r="509" spans="1:8" x14ac:dyDescent="0.35">
      <c r="A509">
        <v>10</v>
      </c>
      <c r="B509">
        <v>40</v>
      </c>
      <c r="C509" t="s">
        <v>1044</v>
      </c>
      <c r="D509" s="4">
        <v>50000000000</v>
      </c>
      <c r="E509" s="4">
        <v>100000000000</v>
      </c>
      <c r="F509" s="4">
        <v>200000000000</v>
      </c>
      <c r="G509" s="4"/>
      <c r="H509" s="4"/>
    </row>
    <row r="510" spans="1:8" x14ac:dyDescent="0.35">
      <c r="A510">
        <v>10</v>
      </c>
      <c r="B510">
        <v>41</v>
      </c>
      <c r="C510" t="s">
        <v>1045</v>
      </c>
      <c r="D510" s="4">
        <v>25000</v>
      </c>
      <c r="E510" s="4">
        <v>30000</v>
      </c>
      <c r="F510" s="4">
        <v>34000</v>
      </c>
      <c r="G510" s="4"/>
      <c r="H510" s="4"/>
    </row>
    <row r="511" spans="1:8" x14ac:dyDescent="0.35">
      <c r="A511">
        <v>10</v>
      </c>
      <c r="B511">
        <v>42</v>
      </c>
      <c r="C511" t="s">
        <v>1046</v>
      </c>
      <c r="D511" s="4">
        <v>5</v>
      </c>
      <c r="E511" s="4">
        <v>30</v>
      </c>
      <c r="F511" s="4">
        <v>80</v>
      </c>
      <c r="G511" s="4"/>
      <c r="H511" s="4"/>
    </row>
    <row r="512" spans="1:8" x14ac:dyDescent="0.35">
      <c r="A512">
        <v>10</v>
      </c>
      <c r="B512">
        <v>43</v>
      </c>
      <c r="C512" t="s">
        <v>1047</v>
      </c>
      <c r="D512" s="4">
        <v>1E-3</v>
      </c>
      <c r="E512" s="4">
        <v>0.1</v>
      </c>
      <c r="F512" s="4">
        <v>1</v>
      </c>
      <c r="G512" s="4"/>
      <c r="H512" s="4"/>
    </row>
    <row r="513" spans="1:8" x14ac:dyDescent="0.35">
      <c r="A513">
        <v>10</v>
      </c>
      <c r="B513">
        <v>44</v>
      </c>
      <c r="C513" t="s">
        <v>1048</v>
      </c>
      <c r="D513" s="4">
        <v>80</v>
      </c>
      <c r="E513" s="4">
        <v>95</v>
      </c>
      <c r="F513" s="4">
        <v>99</v>
      </c>
      <c r="G513" s="4"/>
      <c r="H513" s="4"/>
    </row>
    <row r="514" spans="1:8" x14ac:dyDescent="0.35">
      <c r="A514">
        <v>10</v>
      </c>
      <c r="B514">
        <v>45</v>
      </c>
      <c r="C514" t="s">
        <v>1049</v>
      </c>
      <c r="D514" s="4">
        <v>5</v>
      </c>
      <c r="E514" s="4">
        <v>50</v>
      </c>
      <c r="F514" s="4">
        <v>95</v>
      </c>
      <c r="G514" s="4"/>
      <c r="H514" s="4"/>
    </row>
    <row r="515" spans="1:8" x14ac:dyDescent="0.35">
      <c r="A515">
        <v>10</v>
      </c>
      <c r="B515">
        <v>46</v>
      </c>
      <c r="C515" t="s">
        <v>1050</v>
      </c>
      <c r="D515" s="4">
        <v>5</v>
      </c>
      <c r="E515" s="4">
        <v>50</v>
      </c>
      <c r="F515" s="4">
        <v>95</v>
      </c>
      <c r="G515" s="4"/>
      <c r="H515" s="4"/>
    </row>
    <row r="516" spans="1:8" x14ac:dyDescent="0.35">
      <c r="A516">
        <v>10</v>
      </c>
      <c r="B516">
        <v>47</v>
      </c>
      <c r="C516" t="s">
        <v>1051</v>
      </c>
      <c r="D516" s="4">
        <v>5</v>
      </c>
      <c r="E516" s="4">
        <v>50</v>
      </c>
      <c r="F516" s="4">
        <v>95</v>
      </c>
      <c r="G516" s="4"/>
      <c r="H516" s="4"/>
    </row>
    <row r="517" spans="1:8" x14ac:dyDescent="0.35">
      <c r="A517">
        <v>10</v>
      </c>
      <c r="B517">
        <v>48</v>
      </c>
      <c r="C517" t="s">
        <v>1052</v>
      </c>
      <c r="D517" s="4">
        <v>50</v>
      </c>
      <c r="E517" s="4">
        <v>70</v>
      </c>
      <c r="F517" s="4">
        <v>95</v>
      </c>
      <c r="G517" s="4"/>
      <c r="H517" s="4"/>
    </row>
    <row r="518" spans="1:8" x14ac:dyDescent="0.35">
      <c r="A518">
        <v>10</v>
      </c>
      <c r="B518">
        <v>49</v>
      </c>
      <c r="C518" t="s">
        <v>1053</v>
      </c>
      <c r="D518" s="4">
        <v>20</v>
      </c>
      <c r="E518" s="4">
        <v>50</v>
      </c>
      <c r="F518" s="4">
        <v>80</v>
      </c>
      <c r="G518" s="4"/>
      <c r="H518" s="4"/>
    </row>
    <row r="519" spans="1:8" x14ac:dyDescent="0.35">
      <c r="A519">
        <v>10</v>
      </c>
      <c r="B519">
        <v>50</v>
      </c>
      <c r="C519" t="s">
        <v>1054</v>
      </c>
      <c r="D519" s="4">
        <v>3</v>
      </c>
      <c r="E519" s="4">
        <v>20</v>
      </c>
      <c r="F519" s="4">
        <v>40</v>
      </c>
      <c r="G519" s="4"/>
      <c r="H519" s="4"/>
    </row>
    <row r="520" spans="1:8" x14ac:dyDescent="0.35">
      <c r="A520">
        <v>10</v>
      </c>
      <c r="B520">
        <v>51</v>
      </c>
      <c r="C520" t="s">
        <v>1055</v>
      </c>
      <c r="D520" s="4">
        <v>1</v>
      </c>
      <c r="E520" s="4">
        <v>5</v>
      </c>
      <c r="F520" s="4">
        <v>20</v>
      </c>
      <c r="G520" s="4"/>
      <c r="H520" s="4"/>
    </row>
    <row r="521" spans="1:8" x14ac:dyDescent="0.35">
      <c r="A521">
        <v>10</v>
      </c>
      <c r="B521">
        <v>52</v>
      </c>
      <c r="C521" t="s">
        <v>1056</v>
      </c>
      <c r="D521" s="4">
        <v>5</v>
      </c>
      <c r="E521" s="4">
        <v>30</v>
      </c>
      <c r="F521" s="4">
        <v>60</v>
      </c>
      <c r="G521" s="4"/>
      <c r="H521" s="4"/>
    </row>
    <row r="522" spans="1:8" x14ac:dyDescent="0.35">
      <c r="A522">
        <v>11</v>
      </c>
      <c r="B522">
        <v>1</v>
      </c>
      <c r="C522" t="s">
        <v>318</v>
      </c>
      <c r="D522" s="4">
        <v>5860</v>
      </c>
      <c r="E522" s="4">
        <v>5940</v>
      </c>
      <c r="F522" s="4">
        <v>5990</v>
      </c>
      <c r="G522" s="4"/>
      <c r="H522" s="4"/>
    </row>
    <row r="523" spans="1:8" x14ac:dyDescent="0.35">
      <c r="A523">
        <v>11</v>
      </c>
      <c r="B523">
        <v>2</v>
      </c>
      <c r="C523" t="s">
        <v>319</v>
      </c>
      <c r="D523" s="4">
        <v>1500000</v>
      </c>
      <c r="E523" s="4">
        <v>3000000</v>
      </c>
      <c r="F523" s="4">
        <v>7000000</v>
      </c>
      <c r="G523" s="4"/>
      <c r="H523" s="4"/>
    </row>
    <row r="524" spans="1:8" x14ac:dyDescent="0.35">
      <c r="A524">
        <v>11</v>
      </c>
      <c r="B524">
        <v>3</v>
      </c>
      <c r="C524" t="s">
        <v>320</v>
      </c>
      <c r="D524" s="4">
        <v>10</v>
      </c>
      <c r="E524" s="4">
        <v>25</v>
      </c>
      <c r="F524" s="4">
        <v>50</v>
      </c>
      <c r="G524" s="4"/>
      <c r="H524" s="4"/>
    </row>
    <row r="525" spans="1:8" x14ac:dyDescent="0.35">
      <c r="A525">
        <v>11</v>
      </c>
      <c r="B525">
        <v>4</v>
      </c>
      <c r="C525" t="s">
        <v>321</v>
      </c>
      <c r="D525" s="4">
        <v>15</v>
      </c>
      <c r="E525" s="4">
        <v>150</v>
      </c>
      <c r="F525" s="4">
        <v>350</v>
      </c>
      <c r="G525" s="4"/>
      <c r="H525" s="4"/>
    </row>
    <row r="526" spans="1:8" x14ac:dyDescent="0.35">
      <c r="A526">
        <v>11</v>
      </c>
      <c r="B526">
        <v>5</v>
      </c>
      <c r="C526" t="s">
        <v>322</v>
      </c>
      <c r="D526" s="4">
        <v>15</v>
      </c>
      <c r="E526" s="4">
        <v>30</v>
      </c>
      <c r="F526" s="4">
        <v>60</v>
      </c>
      <c r="G526" s="4"/>
      <c r="H526" s="4"/>
    </row>
    <row r="527" spans="1:8" x14ac:dyDescent="0.35">
      <c r="A527">
        <v>11</v>
      </c>
      <c r="B527">
        <v>6</v>
      </c>
      <c r="C527" t="s">
        <v>323</v>
      </c>
      <c r="D527" s="4">
        <v>1</v>
      </c>
      <c r="E527" s="4">
        <v>10</v>
      </c>
      <c r="F527" s="4">
        <v>100</v>
      </c>
      <c r="G527" s="4"/>
      <c r="H527" s="4"/>
    </row>
    <row r="528" spans="1:8" x14ac:dyDescent="0.35">
      <c r="A528">
        <v>11</v>
      </c>
      <c r="B528">
        <v>7</v>
      </c>
      <c r="C528" t="s">
        <v>324</v>
      </c>
      <c r="D528" s="4">
        <v>230</v>
      </c>
      <c r="E528" s="4">
        <v>270</v>
      </c>
      <c r="F528" s="4">
        <v>300</v>
      </c>
      <c r="G528" s="4"/>
      <c r="H528" s="4"/>
    </row>
    <row r="529" spans="1:8" x14ac:dyDescent="0.35">
      <c r="A529">
        <v>11</v>
      </c>
      <c r="B529">
        <v>8</v>
      </c>
      <c r="C529" t="s">
        <v>325</v>
      </c>
      <c r="D529" s="4">
        <v>50</v>
      </c>
      <c r="E529" s="4">
        <v>70</v>
      </c>
      <c r="F529" s="4">
        <v>85</v>
      </c>
      <c r="G529" s="4"/>
      <c r="H529" s="4"/>
    </row>
    <row r="530" spans="1:8" x14ac:dyDescent="0.35">
      <c r="A530">
        <v>11</v>
      </c>
      <c r="B530">
        <v>9</v>
      </c>
      <c r="C530" t="s">
        <v>326</v>
      </c>
      <c r="D530" s="4">
        <v>10</v>
      </c>
      <c r="E530" s="4">
        <v>50</v>
      </c>
      <c r="F530" s="4">
        <v>70</v>
      </c>
      <c r="G530" s="4"/>
      <c r="H530" s="4"/>
    </row>
    <row r="531" spans="1:8" x14ac:dyDescent="0.35">
      <c r="A531">
        <v>11</v>
      </c>
      <c r="B531">
        <v>10</v>
      </c>
      <c r="C531" t="s">
        <v>327</v>
      </c>
      <c r="D531" s="4">
        <v>100000</v>
      </c>
      <c r="E531" s="4">
        <v>5000000</v>
      </c>
      <c r="F531" s="4">
        <v>50000000</v>
      </c>
      <c r="G531" s="4"/>
      <c r="H531" s="4"/>
    </row>
    <row r="532" spans="1:8" x14ac:dyDescent="0.35">
      <c r="A532">
        <v>11</v>
      </c>
      <c r="B532">
        <v>11</v>
      </c>
      <c r="C532" t="s">
        <v>328</v>
      </c>
      <c r="D532" s="4">
        <v>4</v>
      </c>
      <c r="E532" s="4">
        <v>7</v>
      </c>
      <c r="F532" s="4">
        <v>9</v>
      </c>
      <c r="G532" s="4"/>
      <c r="H532" s="4"/>
    </row>
    <row r="533" spans="1:8" x14ac:dyDescent="0.35">
      <c r="A533">
        <v>11</v>
      </c>
      <c r="B533">
        <v>12</v>
      </c>
      <c r="C533" t="s">
        <v>329</v>
      </c>
      <c r="D533" s="4">
        <v>1000</v>
      </c>
      <c r="E533" s="4">
        <v>3000</v>
      </c>
      <c r="F533" s="4">
        <v>6000</v>
      </c>
      <c r="G533" s="4"/>
      <c r="H533" s="4"/>
    </row>
    <row r="534" spans="1:8" x14ac:dyDescent="0.35">
      <c r="A534">
        <v>11</v>
      </c>
      <c r="B534">
        <v>13</v>
      </c>
      <c r="C534" t="s">
        <v>330</v>
      </c>
      <c r="D534" s="4">
        <v>30</v>
      </c>
      <c r="E534" s="4">
        <v>50</v>
      </c>
      <c r="F534" s="4">
        <v>70</v>
      </c>
      <c r="G534" s="4"/>
      <c r="H534" s="4"/>
    </row>
    <row r="535" spans="1:8" x14ac:dyDescent="0.35">
      <c r="A535">
        <v>11</v>
      </c>
      <c r="B535">
        <v>14</v>
      </c>
      <c r="C535" t="s">
        <v>1018</v>
      </c>
      <c r="D535" s="4">
        <v>1</v>
      </c>
      <c r="E535" s="4">
        <v>15</v>
      </c>
      <c r="F535" s="4">
        <v>25</v>
      </c>
      <c r="G535" s="4"/>
      <c r="H535" s="4"/>
    </row>
    <row r="536" spans="1:8" x14ac:dyDescent="0.35">
      <c r="A536">
        <v>11</v>
      </c>
      <c r="B536">
        <v>15</v>
      </c>
      <c r="C536" t="s">
        <v>1019</v>
      </c>
      <c r="D536" s="4">
        <v>40</v>
      </c>
      <c r="E536" s="4">
        <v>85</v>
      </c>
      <c r="F536" s="4">
        <v>95</v>
      </c>
      <c r="G536" s="4"/>
      <c r="H536" s="4"/>
    </row>
    <row r="537" spans="1:8" x14ac:dyDescent="0.35">
      <c r="A537">
        <v>11</v>
      </c>
      <c r="B537">
        <v>16</v>
      </c>
      <c r="C537" t="s">
        <v>1020</v>
      </c>
      <c r="D537" s="4">
        <v>20</v>
      </c>
      <c r="E537" s="4">
        <v>35</v>
      </c>
      <c r="F537" s="4">
        <v>65</v>
      </c>
      <c r="G537" s="4"/>
      <c r="H537" s="4"/>
    </row>
    <row r="538" spans="1:8" x14ac:dyDescent="0.35">
      <c r="A538">
        <v>11</v>
      </c>
      <c r="B538">
        <v>17</v>
      </c>
      <c r="C538" t="s">
        <v>1021</v>
      </c>
      <c r="D538" s="4">
        <v>35</v>
      </c>
      <c r="E538" s="4">
        <v>55</v>
      </c>
      <c r="F538" s="4">
        <v>80</v>
      </c>
      <c r="H538" s="4"/>
    </row>
    <row r="539" spans="1:8" x14ac:dyDescent="0.35">
      <c r="A539">
        <v>11</v>
      </c>
      <c r="B539">
        <v>18</v>
      </c>
      <c r="C539" t="s">
        <v>1022</v>
      </c>
      <c r="D539" s="4">
        <v>1</v>
      </c>
      <c r="E539" s="4">
        <v>10</v>
      </c>
      <c r="F539" s="4">
        <v>40</v>
      </c>
      <c r="G539" s="4"/>
      <c r="H539" s="4"/>
    </row>
    <row r="540" spans="1:8" x14ac:dyDescent="0.35">
      <c r="A540">
        <v>11</v>
      </c>
      <c r="B540">
        <v>19</v>
      </c>
      <c r="C540" t="s">
        <v>1023</v>
      </c>
      <c r="D540" s="4">
        <v>30</v>
      </c>
      <c r="E540" s="4">
        <v>65</v>
      </c>
      <c r="F540" s="4">
        <v>90</v>
      </c>
      <c r="G540" s="4"/>
      <c r="H540" s="4"/>
    </row>
    <row r="541" spans="1:8" x14ac:dyDescent="0.35">
      <c r="A541">
        <v>11</v>
      </c>
      <c r="B541">
        <v>20</v>
      </c>
      <c r="C541" t="s">
        <v>1024</v>
      </c>
      <c r="D541" s="4">
        <v>10</v>
      </c>
      <c r="E541" s="4">
        <v>20</v>
      </c>
      <c r="F541" s="4">
        <v>50</v>
      </c>
      <c r="G541" s="4"/>
      <c r="H541" s="4"/>
    </row>
    <row r="542" spans="1:8" x14ac:dyDescent="0.35">
      <c r="A542">
        <v>11</v>
      </c>
      <c r="B542">
        <v>21</v>
      </c>
      <c r="C542" t="s">
        <v>1025</v>
      </c>
      <c r="D542" s="4">
        <v>5</v>
      </c>
      <c r="E542" s="4">
        <v>10</v>
      </c>
      <c r="F542" s="4">
        <v>50</v>
      </c>
      <c r="G542" s="4"/>
      <c r="H542" s="4"/>
    </row>
    <row r="543" spans="1:8" x14ac:dyDescent="0.35">
      <c r="A543">
        <v>11</v>
      </c>
      <c r="B543">
        <v>22</v>
      </c>
      <c r="C543" t="s">
        <v>1026</v>
      </c>
      <c r="D543" s="4">
        <v>0.1</v>
      </c>
      <c r="E543" s="4">
        <v>3</v>
      </c>
      <c r="F543" s="4">
        <v>30</v>
      </c>
      <c r="G543" s="4"/>
      <c r="H543" s="4"/>
    </row>
    <row r="544" spans="1:8" x14ac:dyDescent="0.35">
      <c r="A544">
        <v>11</v>
      </c>
      <c r="B544">
        <v>23</v>
      </c>
      <c r="C544" t="s">
        <v>1027</v>
      </c>
      <c r="D544" s="4">
        <v>0.1</v>
      </c>
      <c r="E544" s="4">
        <v>2</v>
      </c>
      <c r="F544" s="4">
        <v>30</v>
      </c>
      <c r="G544" s="4"/>
      <c r="H544" s="4"/>
    </row>
    <row r="545" spans="1:8" x14ac:dyDescent="0.35">
      <c r="A545">
        <v>11</v>
      </c>
      <c r="B545">
        <v>24</v>
      </c>
      <c r="C545" t="s">
        <v>1028</v>
      </c>
      <c r="D545" s="4">
        <v>20</v>
      </c>
      <c r="E545" s="4">
        <v>360</v>
      </c>
      <c r="F545" s="4">
        <v>600</v>
      </c>
      <c r="G545" s="4"/>
      <c r="H545" s="4"/>
    </row>
    <row r="546" spans="1:8" x14ac:dyDescent="0.35">
      <c r="A546">
        <v>11</v>
      </c>
      <c r="B546">
        <v>25</v>
      </c>
      <c r="C546" t="s">
        <v>1029</v>
      </c>
      <c r="D546" s="4">
        <v>50000000000</v>
      </c>
      <c r="E546" s="4">
        <v>100000000000</v>
      </c>
      <c r="F546" s="4">
        <v>800000000000</v>
      </c>
      <c r="G546" s="4"/>
      <c r="H546" s="4"/>
    </row>
    <row r="547" spans="1:8" x14ac:dyDescent="0.35">
      <c r="A547">
        <v>11</v>
      </c>
      <c r="B547">
        <v>26</v>
      </c>
      <c r="C547" t="s">
        <v>1030</v>
      </c>
      <c r="D547" s="4">
        <v>8000</v>
      </c>
      <c r="E547" s="4">
        <v>15000</v>
      </c>
      <c r="F547" s="4">
        <v>20000</v>
      </c>
      <c r="G547" s="4"/>
      <c r="H547" s="4"/>
    </row>
    <row r="548" spans="1:8" x14ac:dyDescent="0.35">
      <c r="A548">
        <v>11</v>
      </c>
      <c r="B548">
        <v>27</v>
      </c>
      <c r="C548" t="s">
        <v>1031</v>
      </c>
      <c r="D548" s="4">
        <v>30</v>
      </c>
      <c r="E548" s="4">
        <v>600</v>
      </c>
      <c r="F548" s="4">
        <v>1440</v>
      </c>
      <c r="G548" s="4"/>
      <c r="H548" s="4"/>
    </row>
    <row r="549" spans="1:8" x14ac:dyDescent="0.35">
      <c r="A549">
        <v>11</v>
      </c>
      <c r="B549">
        <v>28</v>
      </c>
      <c r="C549" t="s">
        <v>1032</v>
      </c>
      <c r="D549" s="4">
        <v>200000000000</v>
      </c>
      <c r="E549" s="4">
        <v>1000000000000</v>
      </c>
      <c r="F549" s="4">
        <v>8000000000000</v>
      </c>
      <c r="G549" s="4"/>
      <c r="H549" s="4"/>
    </row>
    <row r="550" spans="1:8" x14ac:dyDescent="0.35">
      <c r="A550">
        <v>11</v>
      </c>
      <c r="B550">
        <v>29</v>
      </c>
      <c r="C550" t="s">
        <v>1033</v>
      </c>
      <c r="D550" s="4">
        <v>15000</v>
      </c>
      <c r="E550" s="4">
        <v>22000</v>
      </c>
      <c r="F550" s="4">
        <v>30000</v>
      </c>
      <c r="G550" s="4"/>
      <c r="H550" s="4"/>
    </row>
    <row r="551" spans="1:8" x14ac:dyDescent="0.35">
      <c r="A551">
        <v>11</v>
      </c>
      <c r="B551">
        <v>30</v>
      </c>
      <c r="C551" t="s">
        <v>1034</v>
      </c>
      <c r="D551" s="4">
        <v>7200</v>
      </c>
      <c r="E551" s="4">
        <v>86400</v>
      </c>
      <c r="F551" s="4">
        <v>2160000</v>
      </c>
      <c r="G551" s="4"/>
      <c r="H551" s="4"/>
    </row>
    <row r="552" spans="1:8" x14ac:dyDescent="0.35">
      <c r="A552">
        <v>11</v>
      </c>
      <c r="B552">
        <v>31</v>
      </c>
      <c r="C552" t="s">
        <v>1035</v>
      </c>
      <c r="D552" s="4">
        <v>10000000</v>
      </c>
      <c r="E552" s="4">
        <v>100000000</v>
      </c>
      <c r="F552" s="4">
        <v>10000000000</v>
      </c>
      <c r="G552" s="4"/>
      <c r="H552" s="4"/>
    </row>
    <row r="553" spans="1:8" x14ac:dyDescent="0.35">
      <c r="A553">
        <v>11</v>
      </c>
      <c r="B553">
        <v>32</v>
      </c>
      <c r="C553" t="s">
        <v>1036</v>
      </c>
      <c r="D553" s="4">
        <v>1000</v>
      </c>
      <c r="E553" s="4">
        <v>3000</v>
      </c>
      <c r="F553" s="4">
        <v>5000</v>
      </c>
      <c r="G553" s="4"/>
      <c r="H553" s="4"/>
    </row>
    <row r="554" spans="1:8" x14ac:dyDescent="0.35">
      <c r="A554">
        <v>11</v>
      </c>
      <c r="B554">
        <v>33</v>
      </c>
      <c r="C554" t="s">
        <v>1037</v>
      </c>
      <c r="D554" s="4">
        <v>10</v>
      </c>
      <c r="E554" s="4">
        <v>30</v>
      </c>
      <c r="F554" s="4">
        <v>120</v>
      </c>
      <c r="G554" s="4"/>
      <c r="H554" s="4"/>
    </row>
    <row r="555" spans="1:8" x14ac:dyDescent="0.35">
      <c r="A555">
        <v>11</v>
      </c>
      <c r="B555">
        <v>34</v>
      </c>
      <c r="C555" t="s">
        <v>1038</v>
      </c>
      <c r="D555" s="4">
        <v>100000000</v>
      </c>
      <c r="E555" s="4">
        <v>10000000000</v>
      </c>
      <c r="F555" s="4">
        <v>50000000000</v>
      </c>
      <c r="G555" s="4"/>
      <c r="H555" s="4"/>
    </row>
    <row r="556" spans="1:8" x14ac:dyDescent="0.35">
      <c r="A556">
        <v>11</v>
      </c>
      <c r="B556">
        <v>35</v>
      </c>
      <c r="C556" t="s">
        <v>1039</v>
      </c>
      <c r="D556" s="4">
        <v>5000</v>
      </c>
      <c r="E556" s="4">
        <v>10000</v>
      </c>
      <c r="F556" s="4">
        <v>15000</v>
      </c>
      <c r="G556" s="4"/>
      <c r="H556" s="4"/>
    </row>
    <row r="557" spans="1:8" x14ac:dyDescent="0.35">
      <c r="A557">
        <v>11</v>
      </c>
      <c r="B557">
        <v>36</v>
      </c>
      <c r="C557" t="s">
        <v>1040</v>
      </c>
      <c r="D557" s="4">
        <v>20</v>
      </c>
      <c r="E557" s="4">
        <v>60</v>
      </c>
      <c r="F557" s="4">
        <v>180</v>
      </c>
      <c r="G557" s="4"/>
      <c r="H557" s="4"/>
    </row>
    <row r="558" spans="1:8" x14ac:dyDescent="0.35">
      <c r="A558">
        <v>11</v>
      </c>
      <c r="B558">
        <v>37</v>
      </c>
      <c r="C558" t="s">
        <v>1041</v>
      </c>
      <c r="D558" s="4">
        <v>1000000000</v>
      </c>
      <c r="E558" s="4">
        <v>50000000000</v>
      </c>
      <c r="F558" s="4">
        <v>100000000000</v>
      </c>
      <c r="G558" s="4"/>
      <c r="H558" s="4"/>
    </row>
    <row r="559" spans="1:8" x14ac:dyDescent="0.35">
      <c r="A559">
        <v>11</v>
      </c>
      <c r="B559">
        <v>38</v>
      </c>
      <c r="C559" t="s">
        <v>1042</v>
      </c>
      <c r="D559" s="4">
        <v>14000</v>
      </c>
      <c r="E559" s="4">
        <v>18000</v>
      </c>
      <c r="F559" s="4">
        <v>20000</v>
      </c>
      <c r="G559" s="4"/>
      <c r="H559" s="4"/>
    </row>
    <row r="560" spans="1:8" x14ac:dyDescent="0.35">
      <c r="A560">
        <v>11</v>
      </c>
      <c r="B560">
        <v>39</v>
      </c>
      <c r="C560" t="s">
        <v>1043</v>
      </c>
      <c r="D560" s="4">
        <v>9</v>
      </c>
      <c r="E560" s="4">
        <v>30</v>
      </c>
      <c r="F560" s="4">
        <v>120</v>
      </c>
      <c r="G560" s="4"/>
      <c r="H560" s="4"/>
    </row>
    <row r="561" spans="1:8" x14ac:dyDescent="0.35">
      <c r="A561">
        <v>11</v>
      </c>
      <c r="B561">
        <v>40</v>
      </c>
      <c r="C561" t="s">
        <v>1044</v>
      </c>
      <c r="D561" s="4">
        <v>10000000000</v>
      </c>
      <c r="E561" s="4">
        <v>300000000000</v>
      </c>
      <c r="F561" s="4">
        <v>1000000000000</v>
      </c>
      <c r="G561" s="4"/>
      <c r="H561" s="4"/>
    </row>
    <row r="562" spans="1:8" x14ac:dyDescent="0.35">
      <c r="A562">
        <v>11</v>
      </c>
      <c r="B562">
        <v>41</v>
      </c>
      <c r="C562" t="s">
        <v>1045</v>
      </c>
      <c r="D562" s="4">
        <v>18000</v>
      </c>
      <c r="E562" s="4">
        <v>25000</v>
      </c>
      <c r="F562" s="4">
        <v>30000</v>
      </c>
      <c r="G562" s="4"/>
      <c r="H562" s="4"/>
    </row>
    <row r="563" spans="1:8" x14ac:dyDescent="0.35">
      <c r="A563">
        <v>11</v>
      </c>
      <c r="B563">
        <v>42</v>
      </c>
      <c r="C563" t="s">
        <v>1046</v>
      </c>
      <c r="D563" s="4">
        <v>20</v>
      </c>
      <c r="E563" s="4">
        <v>30</v>
      </c>
      <c r="F563" s="4">
        <v>70</v>
      </c>
      <c r="G563" s="4"/>
      <c r="H563" s="4"/>
    </row>
    <row r="564" spans="1:8" x14ac:dyDescent="0.35">
      <c r="A564">
        <v>11</v>
      </c>
      <c r="B564">
        <v>43</v>
      </c>
      <c r="C564" t="s">
        <v>1047</v>
      </c>
      <c r="D564" s="4">
        <v>10</v>
      </c>
      <c r="E564" s="4">
        <v>30</v>
      </c>
      <c r="F564" s="4">
        <v>60</v>
      </c>
      <c r="G564" s="4"/>
      <c r="H564" s="4"/>
    </row>
    <row r="565" spans="1:8" x14ac:dyDescent="0.35">
      <c r="A565">
        <v>11</v>
      </c>
      <c r="B565">
        <v>44</v>
      </c>
      <c r="C565" t="s">
        <v>1048</v>
      </c>
      <c r="D565" s="4">
        <v>30</v>
      </c>
      <c r="E565" s="4">
        <v>70</v>
      </c>
      <c r="F565" s="4">
        <v>90</v>
      </c>
      <c r="G565" s="4"/>
      <c r="H565" s="4"/>
    </row>
    <row r="566" spans="1:8" x14ac:dyDescent="0.35">
      <c r="A566">
        <v>11</v>
      </c>
      <c r="B566">
        <v>45</v>
      </c>
      <c r="C566" t="s">
        <v>1049</v>
      </c>
      <c r="D566" s="4">
        <v>10</v>
      </c>
      <c r="E566" s="4">
        <v>40</v>
      </c>
      <c r="F566" s="4">
        <v>60</v>
      </c>
      <c r="G566" s="4"/>
      <c r="H566" s="4"/>
    </row>
    <row r="567" spans="1:8" x14ac:dyDescent="0.35">
      <c r="A567">
        <v>11</v>
      </c>
      <c r="B567">
        <v>46</v>
      </c>
      <c r="C567" t="s">
        <v>1050</v>
      </c>
      <c r="D567" s="4">
        <v>40</v>
      </c>
      <c r="E567" s="4">
        <v>80</v>
      </c>
      <c r="F567" s="4">
        <v>90</v>
      </c>
      <c r="G567" s="4"/>
      <c r="H567" s="4"/>
    </row>
    <row r="568" spans="1:8" x14ac:dyDescent="0.35">
      <c r="A568">
        <v>11</v>
      </c>
      <c r="B568">
        <v>47</v>
      </c>
      <c r="C568" t="s">
        <v>1051</v>
      </c>
      <c r="D568" s="4">
        <v>1</v>
      </c>
      <c r="E568" s="4">
        <v>10</v>
      </c>
      <c r="F568" s="4">
        <v>40</v>
      </c>
      <c r="G568" s="4"/>
      <c r="H568" s="4"/>
    </row>
    <row r="569" spans="1:8" x14ac:dyDescent="0.35">
      <c r="A569">
        <v>11</v>
      </c>
      <c r="B569">
        <v>48</v>
      </c>
      <c r="C569" t="s">
        <v>1052</v>
      </c>
      <c r="D569" s="4">
        <v>50</v>
      </c>
      <c r="E569" s="4">
        <v>80</v>
      </c>
      <c r="F569" s="4">
        <v>95</v>
      </c>
      <c r="G569" s="4"/>
      <c r="H569" s="4"/>
    </row>
    <row r="570" spans="1:8" x14ac:dyDescent="0.35">
      <c r="A570">
        <v>11</v>
      </c>
      <c r="B570">
        <v>49</v>
      </c>
      <c r="C570" t="s">
        <v>1053</v>
      </c>
      <c r="D570" s="4">
        <v>50</v>
      </c>
      <c r="E570" s="4">
        <v>80</v>
      </c>
      <c r="F570" s="4">
        <v>95</v>
      </c>
      <c r="G570" s="4"/>
      <c r="H570" s="4"/>
    </row>
    <row r="571" spans="1:8" x14ac:dyDescent="0.35">
      <c r="A571">
        <v>11</v>
      </c>
      <c r="B571">
        <v>50</v>
      </c>
      <c r="C571" t="s">
        <v>1054</v>
      </c>
      <c r="D571" s="4">
        <v>40</v>
      </c>
      <c r="E571" s="4">
        <v>70</v>
      </c>
      <c r="F571" s="4">
        <v>90</v>
      </c>
      <c r="G571" s="4"/>
      <c r="H571" s="4"/>
    </row>
    <row r="572" spans="1:8" x14ac:dyDescent="0.35">
      <c r="A572">
        <v>11</v>
      </c>
      <c r="B572">
        <v>51</v>
      </c>
      <c r="C572" t="s">
        <v>1055</v>
      </c>
      <c r="D572" s="4">
        <v>10</v>
      </c>
      <c r="E572" s="4">
        <v>30</v>
      </c>
      <c r="F572" s="4">
        <v>50</v>
      </c>
      <c r="G572" s="4"/>
      <c r="H572" s="4"/>
    </row>
    <row r="573" spans="1:8" x14ac:dyDescent="0.35">
      <c r="A573">
        <v>11</v>
      </c>
      <c r="B573">
        <v>52</v>
      </c>
      <c r="C573" t="s">
        <v>1056</v>
      </c>
      <c r="D573" s="4">
        <v>1</v>
      </c>
      <c r="E573" s="4">
        <v>10</v>
      </c>
      <c r="F573" s="4">
        <v>30</v>
      </c>
      <c r="G573" s="4"/>
      <c r="H573" s="4"/>
    </row>
    <row r="574" spans="1:8" x14ac:dyDescent="0.35">
      <c r="A574">
        <v>12</v>
      </c>
      <c r="B574">
        <v>1</v>
      </c>
      <c r="C574" t="s">
        <v>318</v>
      </c>
      <c r="D574" s="4">
        <v>5985</v>
      </c>
      <c r="E574" s="4">
        <v>5987</v>
      </c>
      <c r="F574" s="4">
        <v>5990</v>
      </c>
      <c r="G574" s="4"/>
      <c r="H574" s="4"/>
    </row>
    <row r="575" spans="1:8" x14ac:dyDescent="0.35">
      <c r="A575">
        <v>12</v>
      </c>
      <c r="B575">
        <v>2</v>
      </c>
      <c r="C575" t="s">
        <v>319</v>
      </c>
      <c r="D575" s="4">
        <v>2500000</v>
      </c>
      <c r="E575" s="4">
        <v>3000000</v>
      </c>
      <c r="F575" s="4">
        <v>4000000</v>
      </c>
      <c r="G575" s="4"/>
      <c r="H575" s="4"/>
    </row>
    <row r="576" spans="1:8" x14ac:dyDescent="0.35">
      <c r="A576">
        <v>12</v>
      </c>
      <c r="B576">
        <v>3</v>
      </c>
      <c r="C576" t="s">
        <v>320</v>
      </c>
      <c r="D576" s="4">
        <v>22</v>
      </c>
      <c r="E576" s="4">
        <v>25</v>
      </c>
      <c r="F576" s="4">
        <v>35</v>
      </c>
      <c r="G576" s="4"/>
      <c r="H576" s="4"/>
    </row>
    <row r="577" spans="1:8" x14ac:dyDescent="0.35">
      <c r="A577">
        <v>12</v>
      </c>
      <c r="B577">
        <v>4</v>
      </c>
      <c r="C577" t="s">
        <v>321</v>
      </c>
      <c r="D577" s="4">
        <v>80</v>
      </c>
      <c r="E577" s="4">
        <v>120</v>
      </c>
      <c r="F577" s="4">
        <v>160</v>
      </c>
      <c r="G577" s="4"/>
      <c r="H577" s="4"/>
    </row>
    <row r="578" spans="1:8" x14ac:dyDescent="0.35">
      <c r="A578">
        <v>12</v>
      </c>
      <c r="B578">
        <v>5</v>
      </c>
      <c r="C578" t="s">
        <v>322</v>
      </c>
      <c r="D578" s="4">
        <v>20</v>
      </c>
      <c r="E578" s="4">
        <v>60</v>
      </c>
      <c r="F578" s="4">
        <v>80</v>
      </c>
      <c r="G578" s="4"/>
      <c r="H578" s="4"/>
    </row>
    <row r="579" spans="1:8" x14ac:dyDescent="0.35">
      <c r="A579">
        <v>12</v>
      </c>
      <c r="B579">
        <v>6</v>
      </c>
      <c r="C579" t="s">
        <v>323</v>
      </c>
      <c r="D579" s="4">
        <v>1</v>
      </c>
      <c r="E579" s="4">
        <v>10</v>
      </c>
      <c r="F579" s="4">
        <v>20</v>
      </c>
      <c r="G579" s="4"/>
      <c r="H579" s="4"/>
    </row>
    <row r="580" spans="1:8" x14ac:dyDescent="0.35">
      <c r="A580">
        <v>12</v>
      </c>
      <c r="B580">
        <v>7</v>
      </c>
      <c r="C580" t="s">
        <v>324</v>
      </c>
      <c r="D580" s="4">
        <v>230</v>
      </c>
      <c r="E580" s="4">
        <v>270</v>
      </c>
      <c r="F580" s="4">
        <v>310</v>
      </c>
      <c r="G580" s="4"/>
      <c r="H580" s="4"/>
    </row>
    <row r="581" spans="1:8" x14ac:dyDescent="0.35">
      <c r="A581">
        <v>12</v>
      </c>
      <c r="B581">
        <v>8</v>
      </c>
      <c r="C581" t="s">
        <v>325</v>
      </c>
      <c r="D581" s="4">
        <v>50</v>
      </c>
      <c r="E581" s="4">
        <v>75</v>
      </c>
      <c r="F581" s="4">
        <v>85</v>
      </c>
      <c r="G581" s="4"/>
      <c r="H581" s="4"/>
    </row>
    <row r="582" spans="1:8" x14ac:dyDescent="0.35">
      <c r="A582">
        <v>12</v>
      </c>
      <c r="B582">
        <v>9</v>
      </c>
      <c r="C582" t="s">
        <v>326</v>
      </c>
      <c r="D582" s="4">
        <v>60</v>
      </c>
      <c r="E582" s="4">
        <v>70</v>
      </c>
      <c r="F582" s="4">
        <v>75</v>
      </c>
      <c r="G582" s="4"/>
      <c r="H582" s="4"/>
    </row>
    <row r="583" spans="1:8" x14ac:dyDescent="0.35">
      <c r="A583">
        <v>12</v>
      </c>
      <c r="B583">
        <v>10</v>
      </c>
      <c r="C583" t="s">
        <v>327</v>
      </c>
      <c r="D583" s="4">
        <v>5000000</v>
      </c>
      <c r="E583" s="4">
        <v>10000000</v>
      </c>
      <c r="F583" s="4">
        <v>30000000</v>
      </c>
      <c r="G583" s="4"/>
      <c r="H583" s="4"/>
    </row>
    <row r="584" spans="1:8" x14ac:dyDescent="0.35">
      <c r="A584">
        <v>12</v>
      </c>
      <c r="B584">
        <v>11</v>
      </c>
      <c r="C584" t="s">
        <v>328</v>
      </c>
      <c r="D584" s="4">
        <v>5</v>
      </c>
      <c r="E584" s="4">
        <v>6</v>
      </c>
      <c r="F584" s="4">
        <v>8</v>
      </c>
      <c r="G584" s="4"/>
      <c r="H584" s="4"/>
    </row>
    <row r="585" spans="1:8" x14ac:dyDescent="0.35">
      <c r="A585">
        <v>12</v>
      </c>
      <c r="B585">
        <v>12</v>
      </c>
      <c r="C585" t="s">
        <v>329</v>
      </c>
      <c r="D585" s="4">
        <v>2000</v>
      </c>
      <c r="E585" s="4">
        <v>3000</v>
      </c>
      <c r="F585" s="4">
        <v>4000</v>
      </c>
      <c r="G585" s="4"/>
      <c r="H585" s="4"/>
    </row>
    <row r="586" spans="1:8" x14ac:dyDescent="0.35">
      <c r="A586">
        <v>12</v>
      </c>
      <c r="B586">
        <v>13</v>
      </c>
      <c r="C586" t="s">
        <v>330</v>
      </c>
      <c r="D586" s="4">
        <v>20</v>
      </c>
      <c r="E586" s="4">
        <v>50</v>
      </c>
      <c r="F586" s="4">
        <v>70</v>
      </c>
      <c r="G586" s="4"/>
      <c r="H586" s="4"/>
    </row>
    <row r="587" spans="1:8" x14ac:dyDescent="0.35">
      <c r="A587">
        <v>12</v>
      </c>
      <c r="B587">
        <v>14</v>
      </c>
      <c r="C587" t="s">
        <v>1018</v>
      </c>
      <c r="D587" s="4">
        <v>5</v>
      </c>
      <c r="E587" s="4">
        <v>10</v>
      </c>
      <c r="F587" s="4">
        <v>30</v>
      </c>
      <c r="G587" s="4"/>
      <c r="H587" s="4"/>
    </row>
    <row r="588" spans="1:8" x14ac:dyDescent="0.35">
      <c r="A588">
        <v>12</v>
      </c>
      <c r="B588">
        <v>15</v>
      </c>
      <c r="C588" t="s">
        <v>1019</v>
      </c>
      <c r="D588" s="4">
        <v>80</v>
      </c>
      <c r="E588" s="4">
        <v>90</v>
      </c>
      <c r="F588" s="4">
        <v>99</v>
      </c>
      <c r="G588" s="4"/>
      <c r="H588" s="4"/>
    </row>
    <row r="589" spans="1:8" x14ac:dyDescent="0.35">
      <c r="A589">
        <v>12</v>
      </c>
      <c r="B589">
        <v>16</v>
      </c>
      <c r="C589" t="s">
        <v>1020</v>
      </c>
      <c r="D589" s="4">
        <v>5</v>
      </c>
      <c r="E589" s="4">
        <v>30</v>
      </c>
      <c r="F589" s="4">
        <v>50</v>
      </c>
      <c r="G589" s="4"/>
      <c r="H589" s="4"/>
    </row>
    <row r="590" spans="1:8" x14ac:dyDescent="0.35">
      <c r="A590">
        <v>12</v>
      </c>
      <c r="B590">
        <v>17</v>
      </c>
      <c r="C590" t="s">
        <v>1021</v>
      </c>
      <c r="D590" s="4">
        <v>20</v>
      </c>
      <c r="E590" s="4">
        <v>60</v>
      </c>
      <c r="F590" s="4">
        <v>80</v>
      </c>
      <c r="H590" s="4"/>
    </row>
    <row r="591" spans="1:8" x14ac:dyDescent="0.35">
      <c r="A591">
        <v>12</v>
      </c>
      <c r="B591">
        <v>18</v>
      </c>
      <c r="C591" t="s">
        <v>1022</v>
      </c>
      <c r="D591" s="4">
        <v>5</v>
      </c>
      <c r="E591" s="4">
        <v>10</v>
      </c>
      <c r="F591" s="4">
        <v>15</v>
      </c>
      <c r="G591" s="4"/>
      <c r="H591" s="4"/>
    </row>
    <row r="592" spans="1:8" x14ac:dyDescent="0.35">
      <c r="A592">
        <v>12</v>
      </c>
      <c r="B592">
        <v>19</v>
      </c>
      <c r="C592" t="s">
        <v>1023</v>
      </c>
      <c r="D592" s="4">
        <v>5</v>
      </c>
      <c r="E592" s="4">
        <v>50</v>
      </c>
      <c r="F592" s="4">
        <v>60</v>
      </c>
      <c r="G592" s="4"/>
      <c r="H592" s="4"/>
    </row>
    <row r="593" spans="1:8" x14ac:dyDescent="0.35">
      <c r="A593">
        <v>12</v>
      </c>
      <c r="B593">
        <v>20</v>
      </c>
      <c r="C593" t="s">
        <v>1024</v>
      </c>
      <c r="D593" s="4">
        <v>10</v>
      </c>
      <c r="E593" s="4">
        <v>20</v>
      </c>
      <c r="F593" s="4">
        <v>60</v>
      </c>
      <c r="G593" s="4"/>
      <c r="H593" s="4"/>
    </row>
    <row r="594" spans="1:8" x14ac:dyDescent="0.35">
      <c r="A594">
        <v>12</v>
      </c>
      <c r="B594">
        <v>21</v>
      </c>
      <c r="C594" t="s">
        <v>1025</v>
      </c>
      <c r="D594" s="4">
        <v>10</v>
      </c>
      <c r="E594" s="4">
        <v>15</v>
      </c>
      <c r="F594" s="4">
        <v>60</v>
      </c>
      <c r="G594" s="4"/>
      <c r="H594" s="4"/>
    </row>
    <row r="595" spans="1:8" x14ac:dyDescent="0.35">
      <c r="A595">
        <v>12</v>
      </c>
      <c r="B595">
        <v>22</v>
      </c>
      <c r="C595" t="s">
        <v>1026</v>
      </c>
      <c r="D595" s="4">
        <v>9</v>
      </c>
      <c r="E595" s="4">
        <v>10</v>
      </c>
      <c r="F595" s="4">
        <v>50</v>
      </c>
      <c r="G595" s="4"/>
      <c r="H595" s="4"/>
    </row>
    <row r="596" spans="1:8" x14ac:dyDescent="0.35">
      <c r="A596">
        <v>12</v>
      </c>
      <c r="B596">
        <v>23</v>
      </c>
      <c r="C596" t="s">
        <v>1027</v>
      </c>
      <c r="D596" s="4">
        <v>1</v>
      </c>
      <c r="E596" s="4">
        <v>5</v>
      </c>
      <c r="F596" s="4">
        <v>10</v>
      </c>
      <c r="G596" s="4"/>
      <c r="H596" s="4"/>
    </row>
    <row r="597" spans="1:8" x14ac:dyDescent="0.35">
      <c r="A597">
        <v>12</v>
      </c>
      <c r="B597">
        <v>24</v>
      </c>
      <c r="C597" t="s">
        <v>1028</v>
      </c>
      <c r="D597" s="4">
        <v>30</v>
      </c>
      <c r="E597" s="4">
        <v>600</v>
      </c>
      <c r="F597" s="4">
        <v>1200</v>
      </c>
      <c r="G597" s="4"/>
      <c r="H597" s="4"/>
    </row>
    <row r="598" spans="1:8" x14ac:dyDescent="0.35">
      <c r="A598">
        <v>12</v>
      </c>
      <c r="B598">
        <v>25</v>
      </c>
      <c r="C598" t="s">
        <v>1029</v>
      </c>
      <c r="D598" s="4">
        <v>2000000000</v>
      </c>
      <c r="E598" s="4">
        <v>10000000000</v>
      </c>
      <c r="F598" s="4">
        <v>90000000000</v>
      </c>
      <c r="G598" s="4"/>
      <c r="H598" s="4"/>
    </row>
    <row r="599" spans="1:8" x14ac:dyDescent="0.35">
      <c r="A599">
        <v>12</v>
      </c>
      <c r="B599">
        <v>26</v>
      </c>
      <c r="C599" t="s">
        <v>1030</v>
      </c>
      <c r="D599" s="4">
        <v>15000</v>
      </c>
      <c r="E599" s="4">
        <v>24000</v>
      </c>
      <c r="F599" s="4">
        <v>28000</v>
      </c>
      <c r="G599" s="4"/>
      <c r="H599" s="4"/>
    </row>
    <row r="600" spans="1:8" x14ac:dyDescent="0.35">
      <c r="A600">
        <v>12</v>
      </c>
      <c r="B600">
        <v>27</v>
      </c>
      <c r="C600" t="s">
        <v>1031</v>
      </c>
      <c r="D600" s="4">
        <v>30</v>
      </c>
      <c r="E600" s="4">
        <v>1200</v>
      </c>
      <c r="F600" s="4">
        <v>1800</v>
      </c>
      <c r="G600" s="4"/>
      <c r="H600" s="4"/>
    </row>
    <row r="601" spans="1:8" x14ac:dyDescent="0.35">
      <c r="A601">
        <v>12</v>
      </c>
      <c r="B601">
        <v>28</v>
      </c>
      <c r="C601" t="s">
        <v>1032</v>
      </c>
      <c r="D601" s="4">
        <v>20000000000</v>
      </c>
      <c r="E601" s="4">
        <v>100000000000</v>
      </c>
      <c r="F601" s="4">
        <v>900000000000</v>
      </c>
      <c r="G601" s="4"/>
      <c r="H601" s="4"/>
    </row>
    <row r="602" spans="1:8" x14ac:dyDescent="0.35">
      <c r="A602">
        <v>12</v>
      </c>
      <c r="B602">
        <v>29</v>
      </c>
      <c r="C602" t="s">
        <v>1033</v>
      </c>
      <c r="D602" s="4">
        <v>25000</v>
      </c>
      <c r="E602" s="4">
        <v>28000</v>
      </c>
      <c r="F602" s="4">
        <v>30000</v>
      </c>
      <c r="G602" s="4"/>
      <c r="H602" s="4"/>
    </row>
    <row r="603" spans="1:8" x14ac:dyDescent="0.35">
      <c r="A603">
        <v>12</v>
      </c>
      <c r="B603">
        <v>30</v>
      </c>
      <c r="C603" t="s">
        <v>1034</v>
      </c>
      <c r="D603" s="4">
        <v>10080</v>
      </c>
      <c r="E603" s="4">
        <v>129600</v>
      </c>
      <c r="F603" s="4">
        <v>1051200</v>
      </c>
      <c r="G603" s="4"/>
      <c r="H603" s="4"/>
    </row>
    <row r="604" spans="1:8" x14ac:dyDescent="0.35">
      <c r="A604">
        <v>12</v>
      </c>
      <c r="B604">
        <v>31</v>
      </c>
      <c r="C604" t="s">
        <v>1035</v>
      </c>
      <c r="D604" s="4">
        <v>1000000000</v>
      </c>
      <c r="E604" s="4">
        <v>10000000000</v>
      </c>
      <c r="F604" s="4">
        <v>40000000000</v>
      </c>
      <c r="G604" s="4"/>
      <c r="H604" s="4"/>
    </row>
    <row r="605" spans="1:8" x14ac:dyDescent="0.35">
      <c r="A605">
        <v>12</v>
      </c>
      <c r="B605">
        <v>32</v>
      </c>
      <c r="C605" t="s">
        <v>1036</v>
      </c>
      <c r="D605" s="4">
        <v>1000</v>
      </c>
      <c r="E605" s="4">
        <v>3000</v>
      </c>
      <c r="F605" s="4">
        <v>3500</v>
      </c>
      <c r="G605" s="4"/>
      <c r="H605" s="4"/>
    </row>
    <row r="606" spans="1:8" x14ac:dyDescent="0.35">
      <c r="A606">
        <v>12</v>
      </c>
      <c r="B606">
        <v>33</v>
      </c>
      <c r="C606" t="s">
        <v>1037</v>
      </c>
      <c r="D606" s="4">
        <v>6</v>
      </c>
      <c r="E606" s="4">
        <v>30</v>
      </c>
      <c r="F606" s="4">
        <v>60</v>
      </c>
      <c r="G606" s="4"/>
      <c r="H606" s="4"/>
    </row>
    <row r="607" spans="1:8" x14ac:dyDescent="0.35">
      <c r="A607">
        <v>12</v>
      </c>
      <c r="B607">
        <v>34</v>
      </c>
      <c r="C607" t="s">
        <v>1038</v>
      </c>
      <c r="D607" s="4">
        <v>10000000</v>
      </c>
      <c r="E607" s="4">
        <v>100000000</v>
      </c>
      <c r="F607" s="4">
        <v>400000000</v>
      </c>
      <c r="G607" s="4"/>
      <c r="H607" s="4"/>
    </row>
    <row r="608" spans="1:8" x14ac:dyDescent="0.35">
      <c r="A608">
        <v>12</v>
      </c>
      <c r="B608">
        <v>35</v>
      </c>
      <c r="C608" t="s">
        <v>1039</v>
      </c>
      <c r="D608" s="4">
        <v>8000</v>
      </c>
      <c r="E608" s="4">
        <v>12000</v>
      </c>
      <c r="F608" s="4">
        <v>15000</v>
      </c>
      <c r="G608" s="4"/>
      <c r="H608" s="4"/>
    </row>
    <row r="609" spans="1:8" x14ac:dyDescent="0.35">
      <c r="A609">
        <v>12</v>
      </c>
      <c r="B609">
        <v>36</v>
      </c>
      <c r="C609" t="s">
        <v>1040</v>
      </c>
      <c r="D609" s="4">
        <v>30</v>
      </c>
      <c r="E609" s="4">
        <v>60</v>
      </c>
      <c r="F609" s="4">
        <v>180</v>
      </c>
      <c r="G609" s="4"/>
      <c r="H609" s="4"/>
    </row>
    <row r="610" spans="1:8" x14ac:dyDescent="0.35">
      <c r="A610">
        <v>12</v>
      </c>
      <c r="B610">
        <v>37</v>
      </c>
      <c r="C610" t="s">
        <v>1041</v>
      </c>
      <c r="D610" s="4">
        <v>100000000</v>
      </c>
      <c r="E610" s="4">
        <v>10000000000</v>
      </c>
      <c r="F610" s="4">
        <v>60000000000</v>
      </c>
      <c r="G610" s="4"/>
      <c r="H610" s="4"/>
    </row>
    <row r="611" spans="1:8" x14ac:dyDescent="0.35">
      <c r="A611">
        <v>12</v>
      </c>
      <c r="B611">
        <v>38</v>
      </c>
      <c r="C611" t="s">
        <v>1042</v>
      </c>
      <c r="D611" s="4">
        <v>15000</v>
      </c>
      <c r="E611" s="4">
        <v>20000</v>
      </c>
      <c r="F611" s="4">
        <v>22000</v>
      </c>
      <c r="G611" s="4"/>
      <c r="H611" s="4"/>
    </row>
    <row r="612" spans="1:8" x14ac:dyDescent="0.35">
      <c r="A612">
        <v>12</v>
      </c>
      <c r="B612">
        <v>39</v>
      </c>
      <c r="C612" t="s">
        <v>1043</v>
      </c>
      <c r="D612" s="4">
        <v>60</v>
      </c>
      <c r="E612" s="4">
        <v>240</v>
      </c>
      <c r="F612" s="4">
        <v>480</v>
      </c>
      <c r="G612" s="4"/>
      <c r="H612" s="4"/>
    </row>
    <row r="613" spans="1:8" x14ac:dyDescent="0.35">
      <c r="A613">
        <v>12</v>
      </c>
      <c r="B613">
        <v>40</v>
      </c>
      <c r="C613" t="s">
        <v>1044</v>
      </c>
      <c r="D613" s="4">
        <v>10000000000</v>
      </c>
      <c r="E613" s="4">
        <v>100000000000</v>
      </c>
      <c r="F613" s="4">
        <v>800000000000</v>
      </c>
      <c r="G613" s="4"/>
      <c r="H613" s="4"/>
    </row>
    <row r="614" spans="1:8" x14ac:dyDescent="0.35">
      <c r="A614">
        <v>12</v>
      </c>
      <c r="B614">
        <v>41</v>
      </c>
      <c r="C614" t="s">
        <v>1045</v>
      </c>
      <c r="D614" s="4">
        <v>20000</v>
      </c>
      <c r="E614" s="4">
        <v>25000</v>
      </c>
      <c r="F614" s="4">
        <v>28000</v>
      </c>
      <c r="G614" s="4"/>
      <c r="H614" s="4"/>
    </row>
    <row r="615" spans="1:8" x14ac:dyDescent="0.35">
      <c r="A615">
        <v>12</v>
      </c>
      <c r="B615">
        <v>42</v>
      </c>
      <c r="C615" t="s">
        <v>1046</v>
      </c>
      <c r="D615" s="4">
        <v>20</v>
      </c>
      <c r="E615" s="4">
        <v>30</v>
      </c>
      <c r="F615" s="4">
        <v>60</v>
      </c>
      <c r="G615" s="4"/>
      <c r="H615" s="4"/>
    </row>
    <row r="616" spans="1:8" x14ac:dyDescent="0.35">
      <c r="A616">
        <v>12</v>
      </c>
      <c r="B616">
        <v>43</v>
      </c>
      <c r="C616" t="s">
        <v>1047</v>
      </c>
      <c r="D616" s="4">
        <v>10</v>
      </c>
      <c r="E616" s="4">
        <v>30</v>
      </c>
      <c r="F616" s="4">
        <v>60</v>
      </c>
      <c r="G616" s="4"/>
      <c r="H616" s="4"/>
    </row>
    <row r="617" spans="1:8" x14ac:dyDescent="0.35">
      <c r="A617">
        <v>12</v>
      </c>
      <c r="B617">
        <v>44</v>
      </c>
      <c r="C617" t="s">
        <v>1048</v>
      </c>
      <c r="D617" s="4">
        <v>80</v>
      </c>
      <c r="E617" s="4">
        <v>90</v>
      </c>
      <c r="F617" s="4">
        <v>99</v>
      </c>
      <c r="G617" s="4"/>
      <c r="H617" s="4"/>
    </row>
    <row r="618" spans="1:8" x14ac:dyDescent="0.35">
      <c r="A618">
        <v>12</v>
      </c>
      <c r="B618">
        <v>45</v>
      </c>
      <c r="C618" t="s">
        <v>1049</v>
      </c>
      <c r="D618" s="4">
        <v>30</v>
      </c>
      <c r="E618" s="4">
        <v>50</v>
      </c>
      <c r="F618" s="4">
        <v>80</v>
      </c>
      <c r="G618" s="4"/>
      <c r="H618" s="4"/>
    </row>
    <row r="619" spans="1:8" x14ac:dyDescent="0.35">
      <c r="A619">
        <v>12</v>
      </c>
      <c r="B619">
        <v>46</v>
      </c>
      <c r="C619" t="s">
        <v>1050</v>
      </c>
      <c r="D619" s="4">
        <v>20</v>
      </c>
      <c r="E619" s="4">
        <v>60</v>
      </c>
      <c r="F619" s="4">
        <v>70</v>
      </c>
      <c r="G619" s="4"/>
      <c r="H619" s="4"/>
    </row>
    <row r="620" spans="1:8" x14ac:dyDescent="0.35">
      <c r="A620">
        <v>12</v>
      </c>
      <c r="B620">
        <v>47</v>
      </c>
      <c r="C620" t="s">
        <v>1051</v>
      </c>
      <c r="D620" s="4">
        <v>10</v>
      </c>
      <c r="E620" s="4">
        <v>20</v>
      </c>
      <c r="F620" s="4">
        <v>30</v>
      </c>
      <c r="G620" s="4"/>
      <c r="H620" s="4"/>
    </row>
    <row r="621" spans="1:8" x14ac:dyDescent="0.35">
      <c r="A621">
        <v>12</v>
      </c>
      <c r="B621">
        <v>48</v>
      </c>
      <c r="C621" t="s">
        <v>1052</v>
      </c>
      <c r="D621" s="4">
        <v>20</v>
      </c>
      <c r="E621" s="4">
        <v>60</v>
      </c>
      <c r="F621" s="4">
        <v>61</v>
      </c>
      <c r="G621" s="4"/>
      <c r="H621" s="4"/>
    </row>
    <row r="622" spans="1:8" x14ac:dyDescent="0.35">
      <c r="A622">
        <v>12</v>
      </c>
      <c r="B622">
        <v>49</v>
      </c>
      <c r="C622" t="s">
        <v>1053</v>
      </c>
      <c r="D622" s="4">
        <v>20</v>
      </c>
      <c r="E622" s="4">
        <v>60</v>
      </c>
      <c r="F622" s="4">
        <v>61</v>
      </c>
      <c r="G622" s="4"/>
      <c r="H622" s="4"/>
    </row>
    <row r="623" spans="1:8" x14ac:dyDescent="0.35">
      <c r="A623">
        <v>12</v>
      </c>
      <c r="B623">
        <v>50</v>
      </c>
      <c r="C623" t="s">
        <v>1054</v>
      </c>
      <c r="D623" s="4">
        <v>20</v>
      </c>
      <c r="E623" s="4">
        <v>50</v>
      </c>
      <c r="F623" s="4">
        <v>70</v>
      </c>
      <c r="G623" s="4"/>
      <c r="H623" s="4"/>
    </row>
    <row r="624" spans="1:8" x14ac:dyDescent="0.35">
      <c r="A624">
        <v>12</v>
      </c>
      <c r="B624">
        <v>51</v>
      </c>
      <c r="C624" t="s">
        <v>1055</v>
      </c>
      <c r="D624" s="4">
        <v>10</v>
      </c>
      <c r="E624" s="4">
        <v>30</v>
      </c>
      <c r="F624" s="4">
        <v>40</v>
      </c>
      <c r="G624" s="4"/>
      <c r="H624" s="4"/>
    </row>
    <row r="625" spans="1:8" x14ac:dyDescent="0.35">
      <c r="A625">
        <v>12</v>
      </c>
      <c r="B625">
        <v>52</v>
      </c>
      <c r="C625" t="s">
        <v>1056</v>
      </c>
      <c r="D625" s="4">
        <v>10</v>
      </c>
      <c r="E625" s="4">
        <v>20</v>
      </c>
      <c r="F625" s="4">
        <v>40</v>
      </c>
      <c r="G625" s="4"/>
      <c r="H625" s="4"/>
    </row>
    <row r="626" spans="1:8" x14ac:dyDescent="0.35">
      <c r="A626">
        <v>13</v>
      </c>
      <c r="B626">
        <v>1</v>
      </c>
      <c r="C626" t="s">
        <v>318</v>
      </c>
      <c r="D626" s="4">
        <v>5000</v>
      </c>
      <c r="E626" s="4">
        <v>5500</v>
      </c>
      <c r="F626" s="4">
        <v>6000</v>
      </c>
      <c r="G626" s="4"/>
      <c r="H626" s="4"/>
    </row>
    <row r="627" spans="1:8" x14ac:dyDescent="0.35">
      <c r="A627">
        <v>13</v>
      </c>
      <c r="B627">
        <v>2</v>
      </c>
      <c r="C627" t="s">
        <v>319</v>
      </c>
      <c r="D627" s="4">
        <v>500000</v>
      </c>
      <c r="E627" s="4">
        <v>2000000</v>
      </c>
      <c r="F627" s="4">
        <v>5000000</v>
      </c>
      <c r="G627" s="4"/>
      <c r="H627" s="4"/>
    </row>
    <row r="628" spans="1:8" x14ac:dyDescent="0.35">
      <c r="A628">
        <v>13</v>
      </c>
      <c r="B628">
        <v>3</v>
      </c>
      <c r="C628" t="s">
        <v>320</v>
      </c>
      <c r="D628" s="4">
        <v>20</v>
      </c>
      <c r="E628" s="4">
        <v>35</v>
      </c>
      <c r="F628" s="4">
        <v>60</v>
      </c>
      <c r="G628" s="4"/>
      <c r="H628" s="4"/>
    </row>
    <row r="629" spans="1:8" x14ac:dyDescent="0.35">
      <c r="A629">
        <v>13</v>
      </c>
      <c r="B629">
        <v>4</v>
      </c>
      <c r="C629" t="s">
        <v>321</v>
      </c>
      <c r="D629" s="4">
        <v>200</v>
      </c>
      <c r="E629" s="4">
        <v>1000</v>
      </c>
      <c r="F629" s="4">
        <v>5000</v>
      </c>
      <c r="G629" s="4"/>
      <c r="H629" s="4"/>
    </row>
    <row r="630" spans="1:8" x14ac:dyDescent="0.35">
      <c r="A630">
        <v>13</v>
      </c>
      <c r="B630">
        <v>5</v>
      </c>
      <c r="C630" t="s">
        <v>322</v>
      </c>
      <c r="D630" s="4">
        <v>25</v>
      </c>
      <c r="E630" s="4">
        <v>50</v>
      </c>
      <c r="F630" s="4">
        <v>150</v>
      </c>
      <c r="G630" s="4"/>
      <c r="H630" s="4"/>
    </row>
    <row r="631" spans="1:8" x14ac:dyDescent="0.35">
      <c r="A631">
        <v>13</v>
      </c>
      <c r="B631">
        <v>6</v>
      </c>
      <c r="C631" t="s">
        <v>323</v>
      </c>
      <c r="D631" s="4">
        <v>10</v>
      </c>
      <c r="E631" s="4">
        <v>100</v>
      </c>
      <c r="F631" s="4">
        <v>10000</v>
      </c>
      <c r="G631" s="4"/>
      <c r="H631" s="4"/>
    </row>
    <row r="632" spans="1:8" x14ac:dyDescent="0.35">
      <c r="A632">
        <v>13</v>
      </c>
      <c r="B632">
        <v>7</v>
      </c>
      <c r="C632" t="s">
        <v>324</v>
      </c>
      <c r="D632" s="4">
        <v>180</v>
      </c>
      <c r="E632" s="4">
        <v>270</v>
      </c>
      <c r="F632" s="4">
        <v>360</v>
      </c>
      <c r="G632" s="4"/>
      <c r="H632" s="4"/>
    </row>
    <row r="633" spans="1:8" x14ac:dyDescent="0.35">
      <c r="A633">
        <v>13</v>
      </c>
      <c r="B633">
        <v>8</v>
      </c>
      <c r="C633" t="s">
        <v>325</v>
      </c>
      <c r="D633" s="4">
        <v>10</v>
      </c>
      <c r="E633" s="4">
        <v>20</v>
      </c>
      <c r="F633" s="4">
        <v>50</v>
      </c>
      <c r="G633" s="4"/>
      <c r="H633" s="4"/>
    </row>
    <row r="634" spans="1:8" x14ac:dyDescent="0.35">
      <c r="A634">
        <v>13</v>
      </c>
      <c r="B634">
        <v>9</v>
      </c>
      <c r="C634" t="s">
        <v>326</v>
      </c>
      <c r="D634" s="4">
        <v>35</v>
      </c>
      <c r="E634" s="4">
        <v>60</v>
      </c>
      <c r="F634" s="4">
        <v>75</v>
      </c>
      <c r="G634" s="4"/>
      <c r="H634" s="4"/>
    </row>
    <row r="635" spans="1:8" x14ac:dyDescent="0.35">
      <c r="A635">
        <v>13</v>
      </c>
      <c r="B635">
        <v>10</v>
      </c>
      <c r="C635" t="s">
        <v>327</v>
      </c>
      <c r="D635" s="4">
        <v>100000</v>
      </c>
      <c r="E635" s="4">
        <v>1000000</v>
      </c>
      <c r="F635" s="4">
        <v>10000000</v>
      </c>
      <c r="G635" s="4"/>
      <c r="H635" s="4"/>
    </row>
    <row r="636" spans="1:8" x14ac:dyDescent="0.35">
      <c r="A636">
        <v>13</v>
      </c>
      <c r="B636">
        <v>11</v>
      </c>
      <c r="C636" t="s">
        <v>328</v>
      </c>
      <c r="D636" s="4">
        <v>7</v>
      </c>
      <c r="E636" s="4">
        <v>15</v>
      </c>
      <c r="F636" s="4">
        <v>23</v>
      </c>
      <c r="G636" s="4"/>
      <c r="H636" s="4"/>
    </row>
    <row r="637" spans="1:8" x14ac:dyDescent="0.35">
      <c r="A637">
        <v>13</v>
      </c>
      <c r="B637">
        <v>12</v>
      </c>
      <c r="C637" t="s">
        <v>329</v>
      </c>
      <c r="D637" s="4">
        <v>500</v>
      </c>
      <c r="E637" s="4">
        <v>1000</v>
      </c>
      <c r="F637" s="4">
        <v>1700</v>
      </c>
      <c r="G637" s="4"/>
      <c r="H637" s="4"/>
    </row>
    <row r="638" spans="1:8" x14ac:dyDescent="0.35">
      <c r="A638">
        <v>13</v>
      </c>
      <c r="B638">
        <v>13</v>
      </c>
      <c r="C638" t="s">
        <v>330</v>
      </c>
      <c r="D638" s="4">
        <v>10</v>
      </c>
      <c r="E638" s="4">
        <v>30</v>
      </c>
      <c r="F638" s="4">
        <v>45</v>
      </c>
      <c r="G638" s="4"/>
      <c r="H638" s="4"/>
    </row>
    <row r="639" spans="1:8" x14ac:dyDescent="0.35">
      <c r="A639">
        <v>13</v>
      </c>
      <c r="B639">
        <v>14</v>
      </c>
      <c r="C639" t="s">
        <v>1018</v>
      </c>
      <c r="D639" s="4">
        <v>1</v>
      </c>
      <c r="E639" s="4">
        <v>5</v>
      </c>
      <c r="F639" s="4">
        <v>20</v>
      </c>
      <c r="G639" s="4"/>
      <c r="H639" s="4"/>
    </row>
    <row r="640" spans="1:8" x14ac:dyDescent="0.35">
      <c r="A640">
        <v>13</v>
      </c>
      <c r="B640">
        <v>15</v>
      </c>
      <c r="C640" t="s">
        <v>1019</v>
      </c>
      <c r="D640" s="4">
        <v>80</v>
      </c>
      <c r="E640" s="4">
        <v>95</v>
      </c>
      <c r="F640" s="4">
        <v>99</v>
      </c>
      <c r="G640" s="4"/>
      <c r="H640" s="4"/>
    </row>
    <row r="641" spans="1:8" x14ac:dyDescent="0.35">
      <c r="A641">
        <v>13</v>
      </c>
      <c r="B641">
        <v>16</v>
      </c>
      <c r="C641" t="s">
        <v>1020</v>
      </c>
      <c r="D641" s="4">
        <v>10</v>
      </c>
      <c r="E641" s="4">
        <v>40</v>
      </c>
      <c r="F641" s="4">
        <v>90</v>
      </c>
      <c r="G641" s="4"/>
      <c r="H641" s="4"/>
    </row>
    <row r="642" spans="1:8" x14ac:dyDescent="0.35">
      <c r="A642">
        <v>13</v>
      </c>
      <c r="B642">
        <v>17</v>
      </c>
      <c r="C642" t="s">
        <v>1021</v>
      </c>
      <c r="D642" s="4">
        <v>10</v>
      </c>
      <c r="E642" s="4">
        <v>40</v>
      </c>
      <c r="F642" s="4">
        <v>90</v>
      </c>
      <c r="H642" s="4"/>
    </row>
    <row r="643" spans="1:8" x14ac:dyDescent="0.35">
      <c r="A643">
        <v>13</v>
      </c>
      <c r="B643">
        <v>18</v>
      </c>
      <c r="C643" t="s">
        <v>1022</v>
      </c>
      <c r="D643" s="4">
        <v>5</v>
      </c>
      <c r="E643" s="4">
        <v>20</v>
      </c>
      <c r="F643" s="4">
        <v>40</v>
      </c>
      <c r="G643" s="4"/>
      <c r="H643" s="4"/>
    </row>
    <row r="644" spans="1:8" x14ac:dyDescent="0.35">
      <c r="A644">
        <v>13</v>
      </c>
      <c r="B644">
        <v>19</v>
      </c>
      <c r="C644" t="s">
        <v>1023</v>
      </c>
      <c r="D644" s="4">
        <v>10</v>
      </c>
      <c r="E644" s="4">
        <v>30</v>
      </c>
      <c r="F644" s="4">
        <v>80</v>
      </c>
      <c r="G644" s="4"/>
      <c r="H644" s="4"/>
    </row>
    <row r="645" spans="1:8" x14ac:dyDescent="0.35">
      <c r="A645">
        <v>13</v>
      </c>
      <c r="B645">
        <v>20</v>
      </c>
      <c r="C645" t="s">
        <v>1024</v>
      </c>
      <c r="D645" s="4">
        <v>15</v>
      </c>
      <c r="E645" s="4">
        <v>45</v>
      </c>
      <c r="F645" s="4">
        <v>70</v>
      </c>
      <c r="G645" s="4"/>
      <c r="H645" s="4"/>
    </row>
    <row r="646" spans="1:8" x14ac:dyDescent="0.35">
      <c r="A646">
        <v>13</v>
      </c>
      <c r="B646">
        <v>21</v>
      </c>
      <c r="C646" t="s">
        <v>1025</v>
      </c>
      <c r="D646" s="4">
        <v>3</v>
      </c>
      <c r="E646" s="4">
        <v>15</v>
      </c>
      <c r="F646" s="4">
        <v>40</v>
      </c>
      <c r="G646" s="4"/>
      <c r="H646" s="4"/>
    </row>
    <row r="647" spans="1:8" x14ac:dyDescent="0.35">
      <c r="A647">
        <v>13</v>
      </c>
      <c r="B647">
        <v>22</v>
      </c>
      <c r="C647" t="s">
        <v>1026</v>
      </c>
      <c r="D647" s="4">
        <v>1</v>
      </c>
      <c r="E647" s="4">
        <v>5</v>
      </c>
      <c r="F647" s="4">
        <v>15</v>
      </c>
      <c r="G647" s="4"/>
      <c r="H647" s="4"/>
    </row>
    <row r="648" spans="1:8" x14ac:dyDescent="0.35">
      <c r="A648">
        <v>13</v>
      </c>
      <c r="B648">
        <v>23</v>
      </c>
      <c r="C648" t="s">
        <v>1027</v>
      </c>
      <c r="D648" s="4">
        <v>1</v>
      </c>
      <c r="E648" s="4">
        <v>5</v>
      </c>
      <c r="F648" s="4">
        <v>15</v>
      </c>
      <c r="G648" s="4"/>
      <c r="H648" s="4"/>
    </row>
    <row r="649" spans="1:8" x14ac:dyDescent="0.35">
      <c r="A649">
        <v>13</v>
      </c>
      <c r="B649">
        <v>24</v>
      </c>
      <c r="C649" t="s">
        <v>1028</v>
      </c>
      <c r="D649" s="4">
        <v>30</v>
      </c>
      <c r="E649" s="4">
        <v>120</v>
      </c>
      <c r="F649" s="4">
        <v>1440</v>
      </c>
      <c r="G649" s="4"/>
      <c r="H649" s="4"/>
    </row>
    <row r="650" spans="1:8" x14ac:dyDescent="0.35">
      <c r="A650">
        <v>13</v>
      </c>
      <c r="B650">
        <v>25</v>
      </c>
      <c r="C650" t="s">
        <v>1029</v>
      </c>
      <c r="D650" s="4">
        <v>1000000000</v>
      </c>
      <c r="E650" s="4">
        <v>100000000000</v>
      </c>
      <c r="F650" s="4">
        <v>1000000000000</v>
      </c>
      <c r="G650" s="4"/>
      <c r="H650" s="4"/>
    </row>
    <row r="651" spans="1:8" x14ac:dyDescent="0.35">
      <c r="A651">
        <v>13</v>
      </c>
      <c r="B651">
        <v>26</v>
      </c>
      <c r="C651" t="s">
        <v>1030</v>
      </c>
      <c r="D651" s="4">
        <v>15000</v>
      </c>
      <c r="E651" s="4">
        <v>20000</v>
      </c>
      <c r="F651" s="4">
        <v>25000</v>
      </c>
      <c r="G651" s="4"/>
      <c r="H651" s="4"/>
    </row>
    <row r="652" spans="1:8" x14ac:dyDescent="0.35">
      <c r="A652">
        <v>13</v>
      </c>
      <c r="B652">
        <v>27</v>
      </c>
      <c r="C652" t="s">
        <v>1031</v>
      </c>
      <c r="D652" s="4">
        <v>30</v>
      </c>
      <c r="E652" s="4">
        <v>120</v>
      </c>
      <c r="F652" s="4">
        <v>1440</v>
      </c>
      <c r="G652" s="4"/>
      <c r="H652" s="4"/>
    </row>
    <row r="653" spans="1:8" x14ac:dyDescent="0.35">
      <c r="A653">
        <v>13</v>
      </c>
      <c r="B653">
        <v>28</v>
      </c>
      <c r="C653" t="s">
        <v>1032</v>
      </c>
      <c r="D653" s="4">
        <v>100000000000</v>
      </c>
      <c r="E653" s="4">
        <v>1000000000000</v>
      </c>
      <c r="F653" s="4">
        <v>10000000000000</v>
      </c>
      <c r="G653" s="4"/>
      <c r="H653" s="4"/>
    </row>
    <row r="654" spans="1:8" x14ac:dyDescent="0.35">
      <c r="A654">
        <v>13</v>
      </c>
      <c r="B654">
        <v>29</v>
      </c>
      <c r="C654" t="s">
        <v>1033</v>
      </c>
      <c r="D654" s="4">
        <v>25000</v>
      </c>
      <c r="E654" s="4">
        <v>30000</v>
      </c>
      <c r="F654" s="4">
        <v>40000</v>
      </c>
      <c r="G654" s="4"/>
      <c r="H654" s="4"/>
    </row>
    <row r="655" spans="1:8" x14ac:dyDescent="0.35">
      <c r="A655">
        <v>13</v>
      </c>
      <c r="B655">
        <v>30</v>
      </c>
      <c r="C655" t="s">
        <v>1034</v>
      </c>
      <c r="D655" s="4">
        <v>10080</v>
      </c>
      <c r="E655" s="4">
        <v>86400</v>
      </c>
      <c r="F655" s="4">
        <v>525600</v>
      </c>
      <c r="G655" s="4"/>
      <c r="H655" s="4"/>
    </row>
    <row r="656" spans="1:8" x14ac:dyDescent="0.35">
      <c r="A656">
        <v>13</v>
      </c>
      <c r="B656">
        <v>31</v>
      </c>
      <c r="C656" t="s">
        <v>1035</v>
      </c>
      <c r="D656" s="4">
        <v>10000</v>
      </c>
      <c r="E656" s="4">
        <v>1000000</v>
      </c>
      <c r="F656" s="4">
        <v>10000000</v>
      </c>
      <c r="G656" s="4"/>
      <c r="H656" s="4"/>
    </row>
    <row r="657" spans="1:8" x14ac:dyDescent="0.35">
      <c r="A657">
        <v>13</v>
      </c>
      <c r="B657">
        <v>32</v>
      </c>
      <c r="C657" t="s">
        <v>1036</v>
      </c>
      <c r="D657" s="4">
        <v>100</v>
      </c>
      <c r="E657" s="4">
        <v>1000</v>
      </c>
      <c r="F657" s="4">
        <v>2000</v>
      </c>
      <c r="G657" s="4"/>
      <c r="H657" s="4"/>
    </row>
    <row r="658" spans="1:8" x14ac:dyDescent="0.35">
      <c r="A658">
        <v>13</v>
      </c>
      <c r="B658">
        <v>33</v>
      </c>
      <c r="C658" t="s">
        <v>1037</v>
      </c>
      <c r="D658" s="4">
        <v>5</v>
      </c>
      <c r="E658" s="4">
        <v>15</v>
      </c>
      <c r="F658" s="4">
        <v>600</v>
      </c>
      <c r="G658" s="4"/>
      <c r="H658" s="4"/>
    </row>
    <row r="659" spans="1:8" x14ac:dyDescent="0.35">
      <c r="A659">
        <v>13</v>
      </c>
      <c r="B659">
        <v>34</v>
      </c>
      <c r="C659" t="s">
        <v>1038</v>
      </c>
      <c r="D659" s="4">
        <v>10000000</v>
      </c>
      <c r="E659" s="4">
        <v>500000000</v>
      </c>
      <c r="F659" s="4">
        <v>5000000000</v>
      </c>
      <c r="G659" s="4"/>
      <c r="H659" s="4"/>
    </row>
    <row r="660" spans="1:8" x14ac:dyDescent="0.35">
      <c r="A660">
        <v>13</v>
      </c>
      <c r="B660">
        <v>35</v>
      </c>
      <c r="C660" t="s">
        <v>1039</v>
      </c>
      <c r="D660" s="4">
        <v>2000</v>
      </c>
      <c r="E660" s="4">
        <v>5000</v>
      </c>
      <c r="F660" s="4">
        <v>8000</v>
      </c>
      <c r="G660" s="4"/>
      <c r="H660" s="4"/>
    </row>
    <row r="661" spans="1:8" x14ac:dyDescent="0.35">
      <c r="A661">
        <v>13</v>
      </c>
      <c r="B661">
        <v>36</v>
      </c>
      <c r="C661" t="s">
        <v>1040</v>
      </c>
      <c r="D661" s="4">
        <v>10</v>
      </c>
      <c r="E661" s="4">
        <v>30</v>
      </c>
      <c r="F661" s="4">
        <v>120</v>
      </c>
      <c r="G661" s="4"/>
      <c r="H661" s="4"/>
    </row>
    <row r="662" spans="1:8" x14ac:dyDescent="0.35">
      <c r="A662">
        <v>13</v>
      </c>
      <c r="B662">
        <v>37</v>
      </c>
      <c r="C662" t="s">
        <v>1041</v>
      </c>
      <c r="D662" s="4">
        <v>100000000</v>
      </c>
      <c r="E662" s="4">
        <v>10000000000</v>
      </c>
      <c r="F662" s="4">
        <v>100000000000</v>
      </c>
      <c r="G662" s="4"/>
      <c r="H662" s="4"/>
    </row>
    <row r="663" spans="1:8" x14ac:dyDescent="0.35">
      <c r="A663">
        <v>13</v>
      </c>
      <c r="B663">
        <v>38</v>
      </c>
      <c r="C663" t="s">
        <v>1042</v>
      </c>
      <c r="D663" s="4">
        <v>15000</v>
      </c>
      <c r="E663" s="4">
        <v>20000</v>
      </c>
      <c r="F663" s="4">
        <v>25000</v>
      </c>
      <c r="G663" s="4"/>
      <c r="H663" s="4"/>
    </row>
    <row r="664" spans="1:8" x14ac:dyDescent="0.35">
      <c r="A664">
        <v>13</v>
      </c>
      <c r="B664">
        <v>39</v>
      </c>
      <c r="C664" t="s">
        <v>1043</v>
      </c>
      <c r="D664" s="4">
        <v>10</v>
      </c>
      <c r="E664" s="4">
        <v>30</v>
      </c>
      <c r="F664" s="4">
        <v>120</v>
      </c>
      <c r="G664" s="4"/>
      <c r="H664" s="4"/>
    </row>
    <row r="665" spans="1:8" x14ac:dyDescent="0.35">
      <c r="A665">
        <v>13</v>
      </c>
      <c r="B665">
        <v>40</v>
      </c>
      <c r="C665" t="s">
        <v>1044</v>
      </c>
      <c r="D665" s="4">
        <v>10000000000</v>
      </c>
      <c r="E665" s="4">
        <v>100000000000</v>
      </c>
      <c r="F665" s="4">
        <v>1000000000000</v>
      </c>
      <c r="G665" s="4"/>
      <c r="H665" s="4"/>
    </row>
    <row r="666" spans="1:8" x14ac:dyDescent="0.35">
      <c r="A666">
        <v>13</v>
      </c>
      <c r="B666">
        <v>41</v>
      </c>
      <c r="C666" t="s">
        <v>1045</v>
      </c>
      <c r="D666" s="4">
        <v>25000</v>
      </c>
      <c r="E666" s="4">
        <v>30000</v>
      </c>
      <c r="F666" s="4">
        <v>40000</v>
      </c>
      <c r="G666" s="4"/>
      <c r="H666" s="4"/>
    </row>
    <row r="667" spans="1:8" x14ac:dyDescent="0.35">
      <c r="A667">
        <v>13</v>
      </c>
      <c r="B667">
        <v>42</v>
      </c>
      <c r="C667" t="s">
        <v>1046</v>
      </c>
      <c r="D667" s="4">
        <v>40</v>
      </c>
      <c r="E667" s="4">
        <v>60</v>
      </c>
      <c r="F667" s="4">
        <v>90</v>
      </c>
      <c r="G667" s="4"/>
      <c r="H667" s="4"/>
    </row>
    <row r="668" spans="1:8" x14ac:dyDescent="0.35">
      <c r="A668">
        <v>13</v>
      </c>
      <c r="B668">
        <v>43</v>
      </c>
      <c r="C668" t="s">
        <v>1047</v>
      </c>
      <c r="D668" s="4">
        <v>1</v>
      </c>
      <c r="E668" s="4">
        <v>2</v>
      </c>
      <c r="F668" s="4">
        <v>5</v>
      </c>
      <c r="G668" s="4"/>
      <c r="H668" s="4"/>
    </row>
    <row r="669" spans="1:8" x14ac:dyDescent="0.35">
      <c r="A669">
        <v>13</v>
      </c>
      <c r="B669">
        <v>44</v>
      </c>
      <c r="C669" t="s">
        <v>1048</v>
      </c>
      <c r="D669" s="4">
        <v>70</v>
      </c>
      <c r="E669" s="4">
        <v>80</v>
      </c>
      <c r="F669" s="4">
        <v>95</v>
      </c>
      <c r="G669" s="4"/>
      <c r="H669" s="4"/>
    </row>
    <row r="670" spans="1:8" x14ac:dyDescent="0.35">
      <c r="A670">
        <v>13</v>
      </c>
      <c r="B670">
        <v>45</v>
      </c>
      <c r="C670" t="s">
        <v>1049</v>
      </c>
      <c r="D670" s="4">
        <v>5</v>
      </c>
      <c r="E670" s="4">
        <v>50</v>
      </c>
      <c r="F670" s="4">
        <v>95</v>
      </c>
      <c r="G670" s="4"/>
      <c r="H670" s="4"/>
    </row>
    <row r="671" spans="1:8" x14ac:dyDescent="0.35">
      <c r="A671">
        <v>13</v>
      </c>
      <c r="B671">
        <v>46</v>
      </c>
      <c r="C671" t="s">
        <v>1050</v>
      </c>
      <c r="D671" s="4">
        <v>5</v>
      </c>
      <c r="E671" s="4">
        <v>50</v>
      </c>
      <c r="F671" s="4">
        <v>95</v>
      </c>
      <c r="G671" s="4"/>
      <c r="H671" s="4"/>
    </row>
    <row r="672" spans="1:8" x14ac:dyDescent="0.35">
      <c r="A672">
        <v>13</v>
      </c>
      <c r="B672">
        <v>47</v>
      </c>
      <c r="C672" t="s">
        <v>1051</v>
      </c>
      <c r="D672" s="4">
        <v>5</v>
      </c>
      <c r="E672" s="4">
        <v>50</v>
      </c>
      <c r="F672" s="4">
        <v>95</v>
      </c>
      <c r="G672" s="4"/>
      <c r="H672" s="4"/>
    </row>
    <row r="673" spans="1:8" x14ac:dyDescent="0.35">
      <c r="A673">
        <v>13</v>
      </c>
      <c r="B673">
        <v>48</v>
      </c>
      <c r="C673" t="s">
        <v>1052</v>
      </c>
      <c r="D673" s="4">
        <v>20</v>
      </c>
      <c r="E673" s="4">
        <v>40</v>
      </c>
      <c r="F673" s="4">
        <v>70</v>
      </c>
      <c r="G673" s="4"/>
      <c r="H673" s="4"/>
    </row>
    <row r="674" spans="1:8" x14ac:dyDescent="0.35">
      <c r="A674">
        <v>13</v>
      </c>
      <c r="B674">
        <v>49</v>
      </c>
      <c r="C674" t="s">
        <v>1053</v>
      </c>
      <c r="D674" s="4">
        <v>25</v>
      </c>
      <c r="E674" s="4">
        <v>50</v>
      </c>
      <c r="F674" s="4">
        <v>75</v>
      </c>
      <c r="G674" s="4"/>
      <c r="H674" s="4"/>
    </row>
    <row r="675" spans="1:8" x14ac:dyDescent="0.35">
      <c r="A675">
        <v>13</v>
      </c>
      <c r="B675">
        <v>50</v>
      </c>
      <c r="C675" t="s">
        <v>1054</v>
      </c>
      <c r="D675" s="4">
        <v>10</v>
      </c>
      <c r="E675" s="4">
        <v>30</v>
      </c>
      <c r="F675" s="4">
        <v>40</v>
      </c>
      <c r="G675" s="4"/>
      <c r="H675" s="4"/>
    </row>
    <row r="676" spans="1:8" x14ac:dyDescent="0.35">
      <c r="A676">
        <v>13</v>
      </c>
      <c r="B676">
        <v>51</v>
      </c>
      <c r="C676" t="s">
        <v>1055</v>
      </c>
      <c r="D676" s="4">
        <v>2</v>
      </c>
      <c r="E676" s="4">
        <v>10</v>
      </c>
      <c r="F676" s="4">
        <v>20</v>
      </c>
      <c r="G676" s="4"/>
      <c r="H676" s="4"/>
    </row>
    <row r="677" spans="1:8" x14ac:dyDescent="0.35">
      <c r="A677">
        <v>13</v>
      </c>
      <c r="B677">
        <v>52</v>
      </c>
      <c r="C677" t="s">
        <v>1056</v>
      </c>
      <c r="D677" s="4">
        <v>5</v>
      </c>
      <c r="E677" s="4">
        <v>20</v>
      </c>
      <c r="F677" s="4">
        <v>40</v>
      </c>
      <c r="G677" s="4"/>
      <c r="H677" s="4"/>
    </row>
    <row r="678" spans="1:8" x14ac:dyDescent="0.35">
      <c r="A678">
        <v>14</v>
      </c>
      <c r="B678">
        <v>1</v>
      </c>
      <c r="C678" t="s">
        <v>318</v>
      </c>
      <c r="D678" s="4">
        <v>5840</v>
      </c>
      <c r="E678" s="4">
        <v>5897</v>
      </c>
      <c r="F678" s="4">
        <v>5950</v>
      </c>
      <c r="G678" s="4"/>
      <c r="H678" s="4"/>
    </row>
    <row r="679" spans="1:8" x14ac:dyDescent="0.35">
      <c r="A679">
        <v>14</v>
      </c>
      <c r="B679">
        <v>2</v>
      </c>
      <c r="C679" t="s">
        <v>319</v>
      </c>
      <c r="D679" s="4">
        <v>1000000</v>
      </c>
      <c r="E679" s="4">
        <v>3000000</v>
      </c>
      <c r="F679" s="4">
        <v>6000000</v>
      </c>
      <c r="G679" s="4"/>
      <c r="H679" s="4"/>
    </row>
    <row r="680" spans="1:8" x14ac:dyDescent="0.35">
      <c r="A680">
        <v>14</v>
      </c>
      <c r="B680">
        <v>3</v>
      </c>
      <c r="C680" t="s">
        <v>320</v>
      </c>
      <c r="D680" s="4">
        <v>30</v>
      </c>
      <c r="E680" s="4">
        <v>60</v>
      </c>
      <c r="F680" s="4">
        <v>70</v>
      </c>
      <c r="G680" s="4"/>
      <c r="H680" s="4"/>
    </row>
    <row r="681" spans="1:8" x14ac:dyDescent="0.35">
      <c r="A681">
        <v>14</v>
      </c>
      <c r="B681">
        <v>4</v>
      </c>
      <c r="C681" t="s">
        <v>321</v>
      </c>
      <c r="D681" s="4">
        <v>500</v>
      </c>
      <c r="E681" s="4">
        <v>3700</v>
      </c>
      <c r="F681" s="4">
        <v>8000</v>
      </c>
      <c r="G681" s="4"/>
      <c r="H681" s="4"/>
    </row>
    <row r="682" spans="1:8" x14ac:dyDescent="0.35">
      <c r="A682">
        <v>14</v>
      </c>
      <c r="B682">
        <v>5</v>
      </c>
      <c r="C682" t="s">
        <v>322</v>
      </c>
      <c r="D682" s="4">
        <v>5</v>
      </c>
      <c r="E682" s="4">
        <v>15</v>
      </c>
      <c r="F682" s="4">
        <v>50</v>
      </c>
      <c r="G682" s="4"/>
      <c r="H682" s="4"/>
    </row>
    <row r="683" spans="1:8" x14ac:dyDescent="0.35">
      <c r="A683">
        <v>14</v>
      </c>
      <c r="B683">
        <v>6</v>
      </c>
      <c r="C683" t="s">
        <v>323</v>
      </c>
      <c r="D683" s="4">
        <v>10</v>
      </c>
      <c r="E683" s="4">
        <v>12</v>
      </c>
      <c r="F683" s="4">
        <v>14</v>
      </c>
      <c r="G683" s="4"/>
      <c r="H683" s="4"/>
    </row>
    <row r="684" spans="1:8" x14ac:dyDescent="0.35">
      <c r="A684">
        <v>14</v>
      </c>
      <c r="B684">
        <v>7</v>
      </c>
      <c r="C684" t="s">
        <v>324</v>
      </c>
      <c r="D684" s="4">
        <v>90</v>
      </c>
      <c r="E684" s="4">
        <v>270</v>
      </c>
      <c r="F684" s="4">
        <v>360</v>
      </c>
      <c r="G684" s="4"/>
      <c r="H684" s="4"/>
    </row>
    <row r="685" spans="1:8" x14ac:dyDescent="0.35">
      <c r="A685">
        <v>14</v>
      </c>
      <c r="B685">
        <v>8</v>
      </c>
      <c r="C685" t="s">
        <v>325</v>
      </c>
      <c r="D685" s="4">
        <v>20</v>
      </c>
      <c r="E685" s="4">
        <v>30</v>
      </c>
      <c r="F685" s="4">
        <v>60</v>
      </c>
      <c r="G685" s="4"/>
      <c r="H685" s="4"/>
    </row>
    <row r="686" spans="1:8" x14ac:dyDescent="0.35">
      <c r="A686">
        <v>14</v>
      </c>
      <c r="B686">
        <v>9</v>
      </c>
      <c r="C686" t="s">
        <v>326</v>
      </c>
      <c r="D686" s="4">
        <v>5</v>
      </c>
      <c r="E686" s="4">
        <v>30</v>
      </c>
      <c r="F686" s="4">
        <v>70</v>
      </c>
      <c r="G686" s="4"/>
      <c r="H686" s="4"/>
    </row>
    <row r="687" spans="1:8" x14ac:dyDescent="0.35">
      <c r="A687">
        <v>14</v>
      </c>
      <c r="B687">
        <v>10</v>
      </c>
      <c r="C687" t="s">
        <v>327</v>
      </c>
      <c r="D687" s="4">
        <v>10000</v>
      </c>
      <c r="E687" s="4">
        <v>20000000</v>
      </c>
      <c r="F687" s="4">
        <v>50000000</v>
      </c>
      <c r="G687" s="4"/>
      <c r="H687" s="4"/>
    </row>
    <row r="688" spans="1:8" x14ac:dyDescent="0.35">
      <c r="A688">
        <v>14</v>
      </c>
      <c r="B688">
        <v>11</v>
      </c>
      <c r="C688" t="s">
        <v>328</v>
      </c>
      <c r="D688" s="4">
        <v>2</v>
      </c>
      <c r="E688" s="4">
        <v>5</v>
      </c>
      <c r="F688" s="4">
        <v>10</v>
      </c>
      <c r="G688" s="4"/>
      <c r="H688" s="4"/>
    </row>
    <row r="689" spans="1:8" x14ac:dyDescent="0.35">
      <c r="A689">
        <v>14</v>
      </c>
      <c r="B689">
        <v>12</v>
      </c>
      <c r="C689" t="s">
        <v>329</v>
      </c>
      <c r="D689" s="4">
        <v>200</v>
      </c>
      <c r="E689" s="4">
        <v>3000</v>
      </c>
      <c r="F689" s="4">
        <v>20000</v>
      </c>
      <c r="G689" s="4"/>
      <c r="H689" s="4"/>
    </row>
    <row r="690" spans="1:8" x14ac:dyDescent="0.35">
      <c r="A690">
        <v>14</v>
      </c>
      <c r="B690">
        <v>13</v>
      </c>
      <c r="C690" t="s">
        <v>330</v>
      </c>
      <c r="D690" s="4">
        <v>30</v>
      </c>
      <c r="E690" s="4">
        <v>40</v>
      </c>
      <c r="F690" s="4">
        <v>50</v>
      </c>
      <c r="G690" s="4"/>
      <c r="H690" s="4"/>
    </row>
    <row r="691" spans="1:8" x14ac:dyDescent="0.35">
      <c r="A691">
        <v>14</v>
      </c>
      <c r="B691">
        <v>14</v>
      </c>
      <c r="C691" t="s">
        <v>1018</v>
      </c>
      <c r="D691" s="4">
        <v>0</v>
      </c>
      <c r="E691" s="4">
        <v>5</v>
      </c>
      <c r="F691" s="4">
        <v>10</v>
      </c>
      <c r="G691" s="4"/>
      <c r="H691" s="4"/>
    </row>
    <row r="692" spans="1:8" x14ac:dyDescent="0.35">
      <c r="A692">
        <v>14</v>
      </c>
      <c r="B692">
        <v>15</v>
      </c>
      <c r="C692" t="s">
        <v>1019</v>
      </c>
      <c r="D692" s="4">
        <v>70</v>
      </c>
      <c r="E692" s="4">
        <v>95</v>
      </c>
      <c r="F692" s="4">
        <v>100</v>
      </c>
      <c r="G692" s="4"/>
      <c r="H692" s="4"/>
    </row>
    <row r="693" spans="1:8" x14ac:dyDescent="0.35">
      <c r="A693">
        <v>14</v>
      </c>
      <c r="B693">
        <v>16</v>
      </c>
      <c r="C693" t="s">
        <v>1020</v>
      </c>
      <c r="D693" s="4">
        <v>55</v>
      </c>
      <c r="E693" s="4">
        <v>70</v>
      </c>
      <c r="F693" s="4">
        <v>95</v>
      </c>
      <c r="G693" s="4"/>
      <c r="H693" s="4"/>
    </row>
    <row r="694" spans="1:8" x14ac:dyDescent="0.35">
      <c r="A694">
        <v>14</v>
      </c>
      <c r="B694">
        <v>17</v>
      </c>
      <c r="C694" t="s">
        <v>1021</v>
      </c>
      <c r="D694" s="4">
        <v>5</v>
      </c>
      <c r="E694" s="4">
        <v>20</v>
      </c>
      <c r="F694" s="4">
        <v>30</v>
      </c>
      <c r="H694" s="4"/>
    </row>
    <row r="695" spans="1:8" x14ac:dyDescent="0.35">
      <c r="A695">
        <v>14</v>
      </c>
      <c r="B695">
        <v>18</v>
      </c>
      <c r="C695" t="s">
        <v>1022</v>
      </c>
      <c r="D695" s="4">
        <v>5</v>
      </c>
      <c r="E695" s="4">
        <v>10</v>
      </c>
      <c r="F695" s="4">
        <v>20</v>
      </c>
      <c r="G695" s="4"/>
      <c r="H695" s="4"/>
    </row>
    <row r="696" spans="1:8" x14ac:dyDescent="0.35">
      <c r="A696">
        <v>14</v>
      </c>
      <c r="B696">
        <v>19</v>
      </c>
      <c r="C696" t="s">
        <v>1023</v>
      </c>
      <c r="D696" s="4">
        <v>50</v>
      </c>
      <c r="E696" s="4">
        <v>70</v>
      </c>
      <c r="F696" s="4">
        <v>95</v>
      </c>
      <c r="G696" s="4"/>
      <c r="H696" s="4"/>
    </row>
    <row r="697" spans="1:8" x14ac:dyDescent="0.35">
      <c r="A697">
        <v>14</v>
      </c>
      <c r="B697">
        <v>20</v>
      </c>
      <c r="C697" t="s">
        <v>1024</v>
      </c>
      <c r="D697" s="4">
        <v>5</v>
      </c>
      <c r="E697" s="4">
        <v>15</v>
      </c>
      <c r="F697" s="4">
        <v>40</v>
      </c>
      <c r="G697" s="4"/>
      <c r="H697" s="4"/>
    </row>
    <row r="698" spans="1:8" x14ac:dyDescent="0.35">
      <c r="A698">
        <v>14</v>
      </c>
      <c r="B698">
        <v>21</v>
      </c>
      <c r="C698" t="s">
        <v>1025</v>
      </c>
      <c r="D698" s="4">
        <v>0</v>
      </c>
      <c r="E698" s="4">
        <v>10</v>
      </c>
      <c r="F698" s="4">
        <v>40</v>
      </c>
      <c r="G698" s="4"/>
      <c r="H698" s="4"/>
    </row>
    <row r="699" spans="1:8" x14ac:dyDescent="0.35">
      <c r="A699">
        <v>14</v>
      </c>
      <c r="B699">
        <v>22</v>
      </c>
      <c r="C699" t="s">
        <v>1026</v>
      </c>
      <c r="D699" s="4">
        <v>0</v>
      </c>
      <c r="E699" s="4">
        <v>5</v>
      </c>
      <c r="F699" s="4">
        <v>30</v>
      </c>
      <c r="G699" s="4"/>
      <c r="H699" s="4"/>
    </row>
    <row r="700" spans="1:8" x14ac:dyDescent="0.35">
      <c r="A700">
        <v>14</v>
      </c>
      <c r="B700">
        <v>23</v>
      </c>
      <c r="C700" t="s">
        <v>1027</v>
      </c>
      <c r="D700" s="4">
        <v>0</v>
      </c>
      <c r="E700" s="4">
        <v>5</v>
      </c>
      <c r="F700" s="4">
        <v>30</v>
      </c>
      <c r="G700" s="4"/>
      <c r="H700" s="4"/>
    </row>
    <row r="701" spans="1:8" x14ac:dyDescent="0.35">
      <c r="A701">
        <v>14</v>
      </c>
      <c r="B701">
        <v>24</v>
      </c>
      <c r="C701" t="s">
        <v>1028</v>
      </c>
      <c r="D701" s="4">
        <v>12</v>
      </c>
      <c r="E701" s="4">
        <v>120</v>
      </c>
      <c r="F701" s="4">
        <v>600</v>
      </c>
      <c r="G701" s="4"/>
      <c r="H701" s="4"/>
    </row>
    <row r="702" spans="1:8" x14ac:dyDescent="0.35">
      <c r="A702">
        <v>14</v>
      </c>
      <c r="B702">
        <v>25</v>
      </c>
      <c r="C702" t="s">
        <v>1029</v>
      </c>
      <c r="D702" s="4">
        <v>5000000000</v>
      </c>
      <c r="E702" s="4">
        <v>10000000000</v>
      </c>
      <c r="F702" s="4">
        <v>100000000000</v>
      </c>
      <c r="G702" s="4"/>
      <c r="H702" s="4"/>
    </row>
    <row r="703" spans="1:8" x14ac:dyDescent="0.35">
      <c r="A703">
        <v>14</v>
      </c>
      <c r="B703">
        <v>26</v>
      </c>
      <c r="C703" t="s">
        <v>1030</v>
      </c>
      <c r="D703" s="4">
        <v>8000</v>
      </c>
      <c r="E703" s="4">
        <v>12000</v>
      </c>
      <c r="F703" s="4">
        <v>20000</v>
      </c>
      <c r="G703" s="4"/>
      <c r="H703" s="4"/>
    </row>
    <row r="704" spans="1:8" x14ac:dyDescent="0.35">
      <c r="A704">
        <v>14</v>
      </c>
      <c r="B704">
        <v>27</v>
      </c>
      <c r="C704" t="s">
        <v>1031</v>
      </c>
      <c r="D704" s="4">
        <v>30</v>
      </c>
      <c r="E704" s="4">
        <v>600</v>
      </c>
      <c r="F704" s="4">
        <v>900</v>
      </c>
      <c r="G704" s="4"/>
      <c r="H704" s="4"/>
    </row>
    <row r="705" spans="1:8" x14ac:dyDescent="0.35">
      <c r="A705">
        <v>14</v>
      </c>
      <c r="B705">
        <v>28</v>
      </c>
      <c r="C705" t="s">
        <v>1032</v>
      </c>
      <c r="D705" s="4">
        <v>50000000000</v>
      </c>
      <c r="E705" s="4">
        <v>250000000000</v>
      </c>
      <c r="F705" s="4">
        <v>500000000000</v>
      </c>
      <c r="G705" s="4"/>
      <c r="H705" s="4"/>
    </row>
    <row r="706" spans="1:8" x14ac:dyDescent="0.35">
      <c r="A706">
        <v>14</v>
      </c>
      <c r="B706">
        <v>29</v>
      </c>
      <c r="C706" t="s">
        <v>1033</v>
      </c>
      <c r="D706" s="4">
        <v>10000</v>
      </c>
      <c r="E706" s="4">
        <v>20000</v>
      </c>
      <c r="F706" s="4">
        <v>30000</v>
      </c>
      <c r="G706" s="4"/>
      <c r="H706" s="4"/>
    </row>
    <row r="707" spans="1:8" x14ac:dyDescent="0.35">
      <c r="A707">
        <v>14</v>
      </c>
      <c r="B707">
        <v>30</v>
      </c>
      <c r="C707" t="s">
        <v>1034</v>
      </c>
      <c r="D707" s="4">
        <v>144</v>
      </c>
      <c r="E707" s="4">
        <v>1440</v>
      </c>
      <c r="F707" s="4">
        <v>172800</v>
      </c>
      <c r="G707" s="4"/>
      <c r="H707" s="4"/>
    </row>
    <row r="708" spans="1:8" x14ac:dyDescent="0.35">
      <c r="A708">
        <v>14</v>
      </c>
      <c r="B708">
        <v>31</v>
      </c>
      <c r="C708" t="s">
        <v>1035</v>
      </c>
      <c r="D708" s="4">
        <v>100000000</v>
      </c>
      <c r="E708" s="4">
        <v>1000000000</v>
      </c>
      <c r="F708" s="4">
        <v>10000000000</v>
      </c>
      <c r="G708" s="4"/>
      <c r="H708" s="4"/>
    </row>
    <row r="709" spans="1:8" x14ac:dyDescent="0.35">
      <c r="A709">
        <v>14</v>
      </c>
      <c r="B709">
        <v>32</v>
      </c>
      <c r="C709" t="s">
        <v>1036</v>
      </c>
      <c r="D709" s="4">
        <v>6500</v>
      </c>
      <c r="E709" s="4">
        <v>7000</v>
      </c>
      <c r="F709" s="4">
        <v>16000</v>
      </c>
      <c r="G709" s="4"/>
      <c r="H709" s="4"/>
    </row>
    <row r="710" spans="1:8" x14ac:dyDescent="0.35">
      <c r="A710">
        <v>14</v>
      </c>
      <c r="B710">
        <v>33</v>
      </c>
      <c r="C710" t="s">
        <v>1037</v>
      </c>
      <c r="D710" s="4">
        <v>6</v>
      </c>
      <c r="E710" s="4">
        <v>30</v>
      </c>
      <c r="F710" s="4">
        <v>120</v>
      </c>
      <c r="G710" s="4"/>
      <c r="H710" s="4"/>
    </row>
    <row r="711" spans="1:8" x14ac:dyDescent="0.35">
      <c r="A711">
        <v>14</v>
      </c>
      <c r="B711">
        <v>34</v>
      </c>
      <c r="C711" t="s">
        <v>1038</v>
      </c>
      <c r="D711" s="4">
        <v>1000000000</v>
      </c>
      <c r="E711" s="4">
        <v>10000000000</v>
      </c>
      <c r="F711" s="4">
        <v>50000000000</v>
      </c>
      <c r="G711" s="4"/>
      <c r="H711" s="4"/>
    </row>
    <row r="712" spans="1:8" x14ac:dyDescent="0.35">
      <c r="A712">
        <v>14</v>
      </c>
      <c r="B712">
        <v>35</v>
      </c>
      <c r="C712" t="s">
        <v>1039</v>
      </c>
      <c r="D712" s="4">
        <v>6000</v>
      </c>
      <c r="E712" s="4">
        <v>10000</v>
      </c>
      <c r="F712" s="4">
        <v>15000</v>
      </c>
      <c r="G712" s="4"/>
      <c r="H712" s="4"/>
    </row>
    <row r="713" spans="1:8" x14ac:dyDescent="0.35">
      <c r="A713">
        <v>14</v>
      </c>
      <c r="B713">
        <v>36</v>
      </c>
      <c r="C713" t="s">
        <v>1040</v>
      </c>
      <c r="D713" s="4">
        <v>15</v>
      </c>
      <c r="E713" s="4">
        <v>90</v>
      </c>
      <c r="F713" s="4">
        <v>300</v>
      </c>
      <c r="G713" s="4"/>
      <c r="H713" s="4"/>
    </row>
    <row r="714" spans="1:8" x14ac:dyDescent="0.35">
      <c r="A714">
        <v>14</v>
      </c>
      <c r="B714">
        <v>37</v>
      </c>
      <c r="C714" t="s">
        <v>1041</v>
      </c>
      <c r="D714" s="4">
        <v>5000000000</v>
      </c>
      <c r="E714" s="4">
        <v>45000000000</v>
      </c>
      <c r="F714" s="4">
        <v>90000000000</v>
      </c>
      <c r="G714" s="4"/>
      <c r="H714" s="4"/>
    </row>
    <row r="715" spans="1:8" x14ac:dyDescent="0.35">
      <c r="A715">
        <v>14</v>
      </c>
      <c r="B715">
        <v>38</v>
      </c>
      <c r="C715" t="s">
        <v>1042</v>
      </c>
      <c r="D715" s="4">
        <v>7000</v>
      </c>
      <c r="E715" s="4">
        <v>20000</v>
      </c>
      <c r="F715" s="4">
        <v>25000</v>
      </c>
      <c r="G715" s="4"/>
      <c r="H715" s="4"/>
    </row>
    <row r="716" spans="1:8" x14ac:dyDescent="0.35">
      <c r="A716">
        <v>14</v>
      </c>
      <c r="B716">
        <v>39</v>
      </c>
      <c r="C716" t="s">
        <v>1043</v>
      </c>
      <c r="D716" s="4">
        <v>60</v>
      </c>
      <c r="E716" s="4">
        <v>600</v>
      </c>
      <c r="F716" s="4">
        <v>1200</v>
      </c>
      <c r="G716" s="4"/>
      <c r="H716" s="4"/>
    </row>
    <row r="717" spans="1:8" x14ac:dyDescent="0.35">
      <c r="A717">
        <v>14</v>
      </c>
      <c r="B717">
        <v>40</v>
      </c>
      <c r="C717" t="s">
        <v>1044</v>
      </c>
      <c r="D717" s="4">
        <v>50000000000</v>
      </c>
      <c r="E717" s="4">
        <v>100000000000</v>
      </c>
      <c r="F717" s="4">
        <v>800000000000</v>
      </c>
      <c r="G717" s="4"/>
      <c r="H717" s="4"/>
    </row>
    <row r="718" spans="1:8" x14ac:dyDescent="0.35">
      <c r="A718">
        <v>14</v>
      </c>
      <c r="B718">
        <v>41</v>
      </c>
      <c r="C718" t="s">
        <v>1045</v>
      </c>
      <c r="D718" s="4">
        <v>15000</v>
      </c>
      <c r="E718" s="4">
        <v>25000</v>
      </c>
      <c r="F718" s="4">
        <v>30000</v>
      </c>
      <c r="G718" s="4"/>
      <c r="H718" s="4"/>
    </row>
    <row r="719" spans="1:8" x14ac:dyDescent="0.35">
      <c r="A719">
        <v>14</v>
      </c>
      <c r="B719">
        <v>42</v>
      </c>
      <c r="C719" t="s">
        <v>1046</v>
      </c>
      <c r="D719" s="4">
        <v>5</v>
      </c>
      <c r="E719" s="4">
        <v>20</v>
      </c>
      <c r="F719" s="4">
        <v>80</v>
      </c>
      <c r="G719" s="4"/>
      <c r="H719" s="4"/>
    </row>
    <row r="720" spans="1:8" x14ac:dyDescent="0.35">
      <c r="A720">
        <v>14</v>
      </c>
      <c r="B720">
        <v>43</v>
      </c>
      <c r="C720" t="s">
        <v>1047</v>
      </c>
      <c r="D720" s="4">
        <v>5</v>
      </c>
      <c r="E720" s="4">
        <v>30</v>
      </c>
      <c r="F720" s="4">
        <v>70</v>
      </c>
      <c r="G720" s="4"/>
      <c r="H720" s="4"/>
    </row>
    <row r="721" spans="1:8" x14ac:dyDescent="0.35">
      <c r="A721">
        <v>14</v>
      </c>
      <c r="B721">
        <v>44</v>
      </c>
      <c r="C721" t="s">
        <v>1048</v>
      </c>
      <c r="D721" s="4">
        <v>40</v>
      </c>
      <c r="E721" s="4">
        <v>70</v>
      </c>
      <c r="F721" s="4">
        <v>90</v>
      </c>
      <c r="G721" s="4"/>
      <c r="H721" s="4"/>
    </row>
    <row r="722" spans="1:8" x14ac:dyDescent="0.35">
      <c r="A722">
        <v>14</v>
      </c>
      <c r="B722">
        <v>45</v>
      </c>
      <c r="C722" t="s">
        <v>1049</v>
      </c>
      <c r="D722" s="4">
        <v>30</v>
      </c>
      <c r="E722" s="4">
        <v>60</v>
      </c>
      <c r="F722" s="4">
        <v>90</v>
      </c>
      <c r="G722" s="4"/>
      <c r="H722" s="4"/>
    </row>
    <row r="723" spans="1:8" x14ac:dyDescent="0.35">
      <c r="A723">
        <v>14</v>
      </c>
      <c r="B723">
        <v>46</v>
      </c>
      <c r="C723" t="s">
        <v>1050</v>
      </c>
      <c r="D723" s="4">
        <v>5</v>
      </c>
      <c r="E723" s="4">
        <v>35</v>
      </c>
      <c r="F723" s="4">
        <v>60</v>
      </c>
      <c r="G723" s="4"/>
      <c r="H723" s="4"/>
    </row>
    <row r="724" spans="1:8" x14ac:dyDescent="0.35">
      <c r="A724">
        <v>14</v>
      </c>
      <c r="B724">
        <v>47</v>
      </c>
      <c r="C724" t="s">
        <v>1051</v>
      </c>
      <c r="D724" s="4">
        <v>0</v>
      </c>
      <c r="E724" s="4">
        <v>5</v>
      </c>
      <c r="F724" s="4">
        <v>20</v>
      </c>
      <c r="G724" s="4"/>
      <c r="H724" s="4"/>
    </row>
    <row r="725" spans="1:8" x14ac:dyDescent="0.35">
      <c r="A725">
        <v>14</v>
      </c>
      <c r="B725">
        <v>48</v>
      </c>
      <c r="C725" t="s">
        <v>1052</v>
      </c>
      <c r="D725" s="4">
        <v>20</v>
      </c>
      <c r="E725" s="4">
        <v>50</v>
      </c>
      <c r="F725" s="4">
        <v>90</v>
      </c>
      <c r="G725" s="4"/>
      <c r="H725" s="4"/>
    </row>
    <row r="726" spans="1:8" x14ac:dyDescent="0.35">
      <c r="A726">
        <v>14</v>
      </c>
      <c r="B726">
        <v>49</v>
      </c>
      <c r="C726" t="s">
        <v>1053</v>
      </c>
      <c r="D726" s="4">
        <v>10</v>
      </c>
      <c r="E726" s="4">
        <v>20</v>
      </c>
      <c r="F726" s="4">
        <v>70</v>
      </c>
      <c r="G726" s="4"/>
      <c r="H726" s="4"/>
    </row>
    <row r="727" spans="1:8" x14ac:dyDescent="0.35">
      <c r="A727">
        <v>14</v>
      </c>
      <c r="B727">
        <v>50</v>
      </c>
      <c r="C727" t="s">
        <v>1054</v>
      </c>
      <c r="D727" s="4">
        <v>5</v>
      </c>
      <c r="E727" s="4">
        <v>15</v>
      </c>
      <c r="F727" s="4">
        <v>50</v>
      </c>
      <c r="G727" s="4"/>
      <c r="H727" s="4"/>
    </row>
    <row r="728" spans="1:8" x14ac:dyDescent="0.35">
      <c r="A728">
        <v>14</v>
      </c>
      <c r="B728">
        <v>51</v>
      </c>
      <c r="C728" t="s">
        <v>1055</v>
      </c>
      <c r="D728" s="4">
        <v>0</v>
      </c>
      <c r="E728" s="4">
        <v>10</v>
      </c>
      <c r="F728" s="4">
        <v>40</v>
      </c>
      <c r="G728" s="4"/>
      <c r="H728" s="4"/>
    </row>
    <row r="729" spans="1:8" x14ac:dyDescent="0.35">
      <c r="A729">
        <v>14</v>
      </c>
      <c r="B729">
        <v>52</v>
      </c>
      <c r="C729" t="s">
        <v>1056</v>
      </c>
      <c r="D729" s="4">
        <v>0</v>
      </c>
      <c r="E729" s="4">
        <v>5</v>
      </c>
      <c r="F729" s="4">
        <v>25</v>
      </c>
      <c r="G729" s="4"/>
      <c r="H729" s="4"/>
    </row>
    <row r="730" spans="1:8" x14ac:dyDescent="0.35">
      <c r="A730">
        <v>15</v>
      </c>
      <c r="B730">
        <v>1</v>
      </c>
      <c r="C730" t="s">
        <v>318</v>
      </c>
      <c r="D730" s="4">
        <v>5850</v>
      </c>
      <c r="E730" s="4">
        <v>5890</v>
      </c>
      <c r="F730" s="4">
        <v>5950</v>
      </c>
      <c r="G730" s="4"/>
      <c r="H730" s="4"/>
    </row>
    <row r="731" spans="1:8" x14ac:dyDescent="0.35">
      <c r="A731">
        <v>15</v>
      </c>
      <c r="B731">
        <v>2</v>
      </c>
      <c r="C731" t="s">
        <v>319</v>
      </c>
      <c r="D731" s="4">
        <v>2200000</v>
      </c>
      <c r="E731" s="4">
        <v>2500000</v>
      </c>
      <c r="F731" s="4">
        <v>2800000</v>
      </c>
      <c r="G731" s="4"/>
      <c r="H731" s="4"/>
    </row>
    <row r="732" spans="1:8" x14ac:dyDescent="0.35">
      <c r="A732">
        <v>15</v>
      </c>
      <c r="B732">
        <v>3</v>
      </c>
      <c r="C732" t="s">
        <v>320</v>
      </c>
      <c r="D732" s="4">
        <v>15</v>
      </c>
      <c r="E732" s="4">
        <v>20</v>
      </c>
      <c r="F732" s="4">
        <v>25</v>
      </c>
      <c r="G732" s="4"/>
      <c r="H732" s="4"/>
    </row>
    <row r="733" spans="1:8" x14ac:dyDescent="0.35">
      <c r="A733">
        <v>15</v>
      </c>
      <c r="B733">
        <v>4</v>
      </c>
      <c r="C733" t="s">
        <v>321</v>
      </c>
      <c r="D733" s="4">
        <v>10</v>
      </c>
      <c r="E733" s="4">
        <v>16</v>
      </c>
      <c r="F733" s="4">
        <v>30</v>
      </c>
      <c r="G733" s="4"/>
      <c r="H733" s="4"/>
    </row>
    <row r="734" spans="1:8" x14ac:dyDescent="0.35">
      <c r="A734">
        <v>15</v>
      </c>
      <c r="B734">
        <v>5</v>
      </c>
      <c r="C734" t="s">
        <v>322</v>
      </c>
      <c r="D734" s="4">
        <v>25</v>
      </c>
      <c r="E734" s="4">
        <v>62.5</v>
      </c>
      <c r="F734" s="4">
        <v>90</v>
      </c>
      <c r="G734" s="4"/>
      <c r="H734" s="4"/>
    </row>
    <row r="735" spans="1:8" x14ac:dyDescent="0.35">
      <c r="A735">
        <v>15</v>
      </c>
      <c r="B735">
        <v>6</v>
      </c>
      <c r="C735" t="s">
        <v>323</v>
      </c>
      <c r="D735" s="4">
        <v>12</v>
      </c>
      <c r="E735" s="4">
        <v>18</v>
      </c>
      <c r="F735" s="4">
        <v>23</v>
      </c>
      <c r="G735" s="4"/>
      <c r="H735" s="4"/>
    </row>
    <row r="736" spans="1:8" x14ac:dyDescent="0.35">
      <c r="A736">
        <v>15</v>
      </c>
      <c r="B736">
        <v>7</v>
      </c>
      <c r="C736" t="s">
        <v>324</v>
      </c>
      <c r="D736" s="4">
        <v>220</v>
      </c>
      <c r="E736" s="4">
        <v>275</v>
      </c>
      <c r="F736" s="4">
        <v>300</v>
      </c>
      <c r="G736" s="4"/>
      <c r="H736" s="4"/>
    </row>
    <row r="737" spans="1:8" x14ac:dyDescent="0.35">
      <c r="A737">
        <v>15</v>
      </c>
      <c r="B737">
        <v>8</v>
      </c>
      <c r="C737" t="s">
        <v>325</v>
      </c>
      <c r="D737" s="4">
        <v>40</v>
      </c>
      <c r="E737" s="4">
        <v>60</v>
      </c>
      <c r="F737" s="4">
        <v>80</v>
      </c>
      <c r="G737" s="4"/>
      <c r="H737" s="4"/>
    </row>
    <row r="738" spans="1:8" x14ac:dyDescent="0.35">
      <c r="A738">
        <v>15</v>
      </c>
      <c r="B738">
        <v>9</v>
      </c>
      <c r="C738" t="s">
        <v>326</v>
      </c>
      <c r="D738" s="4">
        <v>40</v>
      </c>
      <c r="E738" s="4">
        <v>65</v>
      </c>
      <c r="F738" s="4">
        <v>90</v>
      </c>
      <c r="G738" s="4"/>
      <c r="H738" s="4"/>
    </row>
    <row r="739" spans="1:8" x14ac:dyDescent="0.35">
      <c r="A739">
        <v>15</v>
      </c>
      <c r="B739">
        <v>10</v>
      </c>
      <c r="C739" t="s">
        <v>327</v>
      </c>
      <c r="D739" s="4">
        <v>20000000</v>
      </c>
      <c r="E739" s="4">
        <v>100000000</v>
      </c>
      <c r="F739" s="4">
        <v>150000000</v>
      </c>
      <c r="G739" s="4"/>
      <c r="H739" s="4"/>
    </row>
    <row r="740" spans="1:8" x14ac:dyDescent="0.35">
      <c r="A740">
        <v>15</v>
      </c>
      <c r="B740">
        <v>11</v>
      </c>
      <c r="C740" t="s">
        <v>328</v>
      </c>
      <c r="D740" s="4">
        <v>5</v>
      </c>
      <c r="E740" s="4">
        <v>8</v>
      </c>
      <c r="F740" s="4">
        <v>15</v>
      </c>
      <c r="G740" s="4"/>
      <c r="H740" s="4"/>
    </row>
    <row r="741" spans="1:8" x14ac:dyDescent="0.35">
      <c r="A741">
        <v>15</v>
      </c>
      <c r="B741">
        <v>12</v>
      </c>
      <c r="C741" t="s">
        <v>329</v>
      </c>
      <c r="D741" s="4">
        <v>1500</v>
      </c>
      <c r="E741" s="4">
        <v>2750</v>
      </c>
      <c r="F741" s="4">
        <v>5000</v>
      </c>
      <c r="G741" s="4"/>
      <c r="H741" s="4"/>
    </row>
    <row r="742" spans="1:8" x14ac:dyDescent="0.35">
      <c r="A742">
        <v>15</v>
      </c>
      <c r="B742">
        <v>13</v>
      </c>
      <c r="C742" t="s">
        <v>330</v>
      </c>
      <c r="D742" s="4">
        <v>10</v>
      </c>
      <c r="E742" s="4">
        <v>15</v>
      </c>
      <c r="F742" s="4">
        <v>40</v>
      </c>
      <c r="G742" s="4"/>
      <c r="H742" s="4"/>
    </row>
    <row r="743" spans="1:8" x14ac:dyDescent="0.35">
      <c r="A743">
        <v>15</v>
      </c>
      <c r="B743">
        <v>14</v>
      </c>
      <c r="C743" t="s">
        <v>1018</v>
      </c>
      <c r="D743" s="4">
        <v>1</v>
      </c>
      <c r="E743" s="4">
        <v>2</v>
      </c>
      <c r="F743" s="4">
        <v>5</v>
      </c>
      <c r="G743" s="4"/>
      <c r="H743" s="4"/>
    </row>
    <row r="744" spans="1:8" x14ac:dyDescent="0.35">
      <c r="A744">
        <v>15</v>
      </c>
      <c r="B744">
        <v>15</v>
      </c>
      <c r="C744" t="s">
        <v>1019</v>
      </c>
      <c r="D744" s="4">
        <v>95</v>
      </c>
      <c r="E744" s="4">
        <v>98</v>
      </c>
      <c r="F744" s="4">
        <v>99</v>
      </c>
      <c r="G744" s="4"/>
      <c r="H744" s="4"/>
    </row>
    <row r="745" spans="1:8" x14ac:dyDescent="0.35">
      <c r="A745">
        <v>15</v>
      </c>
      <c r="B745">
        <v>16</v>
      </c>
      <c r="C745" t="s">
        <v>1020</v>
      </c>
      <c r="D745" s="4">
        <v>15</v>
      </c>
      <c r="E745" s="4">
        <v>35</v>
      </c>
      <c r="F745" s="4">
        <v>60</v>
      </c>
      <c r="G745" s="4"/>
      <c r="H745" s="4"/>
    </row>
    <row r="746" spans="1:8" x14ac:dyDescent="0.35">
      <c r="A746">
        <v>15</v>
      </c>
      <c r="B746">
        <v>17</v>
      </c>
      <c r="C746" t="s">
        <v>1021</v>
      </c>
      <c r="D746" s="4">
        <v>10</v>
      </c>
      <c r="E746" s="4">
        <v>15</v>
      </c>
      <c r="F746" s="4">
        <v>80</v>
      </c>
      <c r="H746" s="4"/>
    </row>
    <row r="747" spans="1:8" x14ac:dyDescent="0.35">
      <c r="A747">
        <v>15</v>
      </c>
      <c r="B747">
        <v>18</v>
      </c>
      <c r="C747" t="s">
        <v>1022</v>
      </c>
      <c r="D747" s="4">
        <v>20</v>
      </c>
      <c r="E747" s="4">
        <v>50</v>
      </c>
      <c r="F747" s="4">
        <v>80</v>
      </c>
      <c r="G747" s="4"/>
      <c r="H747" s="4"/>
    </row>
    <row r="748" spans="1:8" x14ac:dyDescent="0.35">
      <c r="A748">
        <v>15</v>
      </c>
      <c r="B748">
        <v>19</v>
      </c>
      <c r="C748" t="s">
        <v>1023</v>
      </c>
      <c r="D748" s="4">
        <v>1</v>
      </c>
      <c r="E748" s="4">
        <v>2</v>
      </c>
      <c r="F748" s="4">
        <v>10</v>
      </c>
      <c r="G748" s="4"/>
      <c r="H748" s="4"/>
    </row>
    <row r="749" spans="1:8" x14ac:dyDescent="0.35">
      <c r="A749">
        <v>15</v>
      </c>
      <c r="B749">
        <v>20</v>
      </c>
      <c r="C749" t="s">
        <v>1024</v>
      </c>
      <c r="D749" s="4">
        <v>5</v>
      </c>
      <c r="E749" s="4">
        <v>10</v>
      </c>
      <c r="F749" s="4">
        <v>50</v>
      </c>
      <c r="G749" s="4"/>
      <c r="H749" s="4"/>
    </row>
    <row r="750" spans="1:8" x14ac:dyDescent="0.35">
      <c r="A750">
        <v>15</v>
      </c>
      <c r="B750">
        <v>21</v>
      </c>
      <c r="C750" t="s">
        <v>1025</v>
      </c>
      <c r="D750" s="4">
        <v>50</v>
      </c>
      <c r="E750" s="4">
        <v>60</v>
      </c>
      <c r="F750" s="4">
        <v>90</v>
      </c>
      <c r="G750" s="4"/>
      <c r="H750" s="4"/>
    </row>
    <row r="751" spans="1:8" x14ac:dyDescent="0.35">
      <c r="A751">
        <v>15</v>
      </c>
      <c r="B751">
        <v>22</v>
      </c>
      <c r="C751" t="s">
        <v>1026</v>
      </c>
      <c r="D751" s="4">
        <v>5</v>
      </c>
      <c r="E751" s="4">
        <v>15</v>
      </c>
      <c r="F751" s="4">
        <v>40</v>
      </c>
      <c r="G751" s="4"/>
      <c r="H751" s="4"/>
    </row>
    <row r="752" spans="1:8" x14ac:dyDescent="0.35">
      <c r="A752">
        <v>15</v>
      </c>
      <c r="B752">
        <v>23</v>
      </c>
      <c r="C752" t="s">
        <v>1027</v>
      </c>
      <c r="D752" s="4">
        <v>5</v>
      </c>
      <c r="E752" s="4">
        <v>8</v>
      </c>
      <c r="F752" s="4">
        <v>20</v>
      </c>
      <c r="G752" s="4"/>
      <c r="H752" s="4"/>
    </row>
    <row r="753" spans="1:8" x14ac:dyDescent="0.35">
      <c r="A753">
        <v>15</v>
      </c>
      <c r="B753">
        <v>24</v>
      </c>
      <c r="C753" t="s">
        <v>1028</v>
      </c>
      <c r="D753" s="4">
        <v>60</v>
      </c>
      <c r="E753" s="4">
        <v>180</v>
      </c>
      <c r="F753" s="4">
        <v>240</v>
      </c>
      <c r="G753" s="4"/>
      <c r="H753" s="4"/>
    </row>
    <row r="754" spans="1:8" x14ac:dyDescent="0.35">
      <c r="A754">
        <v>15</v>
      </c>
      <c r="B754">
        <v>25</v>
      </c>
      <c r="C754" t="s">
        <v>1029</v>
      </c>
      <c r="D754" s="4">
        <v>20000000000</v>
      </c>
      <c r="E754" s="4">
        <v>50000000000</v>
      </c>
      <c r="F754" s="4">
        <v>100000000000</v>
      </c>
      <c r="G754" s="4"/>
      <c r="H754" s="4"/>
    </row>
    <row r="755" spans="1:8" x14ac:dyDescent="0.35">
      <c r="A755">
        <v>15</v>
      </c>
      <c r="B755">
        <v>26</v>
      </c>
      <c r="C755" t="s">
        <v>1030</v>
      </c>
      <c r="D755" s="4">
        <v>15000</v>
      </c>
      <c r="E755" s="4">
        <v>18000</v>
      </c>
      <c r="F755" s="4">
        <v>25000</v>
      </c>
      <c r="G755" s="4"/>
      <c r="H755" s="4"/>
    </row>
    <row r="756" spans="1:8" x14ac:dyDescent="0.35">
      <c r="A756">
        <v>15</v>
      </c>
      <c r="B756">
        <v>27</v>
      </c>
      <c r="C756" t="s">
        <v>1031</v>
      </c>
      <c r="D756" s="4">
        <v>180</v>
      </c>
      <c r="E756" s="4">
        <v>360</v>
      </c>
      <c r="F756" s="4">
        <v>900</v>
      </c>
      <c r="G756" s="4"/>
      <c r="H756" s="4"/>
    </row>
    <row r="757" spans="1:8" x14ac:dyDescent="0.35">
      <c r="A757">
        <v>15</v>
      </c>
      <c r="B757">
        <v>28</v>
      </c>
      <c r="C757" t="s">
        <v>1032</v>
      </c>
      <c r="D757" s="4">
        <v>100000000000</v>
      </c>
      <c r="E757" s="4">
        <v>1000000000000</v>
      </c>
      <c r="F757" s="4">
        <v>10000000000000</v>
      </c>
      <c r="G757" s="4"/>
      <c r="H757" s="4"/>
    </row>
    <row r="758" spans="1:8" x14ac:dyDescent="0.35">
      <c r="A758">
        <v>15</v>
      </c>
      <c r="B758">
        <v>29</v>
      </c>
      <c r="C758" t="s">
        <v>1033</v>
      </c>
      <c r="D758" s="4">
        <v>20000</v>
      </c>
      <c r="E758" s="4">
        <v>25000</v>
      </c>
      <c r="F758" s="4">
        <v>33000</v>
      </c>
      <c r="G758" s="4"/>
      <c r="H758" s="4"/>
    </row>
    <row r="759" spans="1:8" x14ac:dyDescent="0.35">
      <c r="A759">
        <v>15</v>
      </c>
      <c r="B759">
        <v>30</v>
      </c>
      <c r="C759" t="s">
        <v>1034</v>
      </c>
      <c r="D759" s="4">
        <v>1440</v>
      </c>
      <c r="E759" s="4">
        <v>10080</v>
      </c>
      <c r="F759" s="4">
        <v>43200</v>
      </c>
      <c r="G759" s="4"/>
      <c r="H759" s="4"/>
    </row>
    <row r="760" spans="1:8" x14ac:dyDescent="0.35">
      <c r="A760">
        <v>15</v>
      </c>
      <c r="B760">
        <v>31</v>
      </c>
      <c r="C760" t="s">
        <v>1035</v>
      </c>
      <c r="D760" s="4">
        <v>10000000</v>
      </c>
      <c r="E760" s="4">
        <v>500000000</v>
      </c>
      <c r="F760" s="4">
        <v>900000000</v>
      </c>
      <c r="G760" s="4"/>
      <c r="H760" s="4"/>
    </row>
    <row r="761" spans="1:8" x14ac:dyDescent="0.35">
      <c r="A761">
        <v>15</v>
      </c>
      <c r="B761">
        <v>32</v>
      </c>
      <c r="C761" t="s">
        <v>1036</v>
      </c>
      <c r="D761" s="4">
        <v>300</v>
      </c>
      <c r="E761" s="4">
        <v>500</v>
      </c>
      <c r="F761" s="4">
        <v>2000</v>
      </c>
      <c r="G761" s="4"/>
      <c r="H761" s="4"/>
    </row>
    <row r="762" spans="1:8" x14ac:dyDescent="0.35">
      <c r="A762">
        <v>15</v>
      </c>
      <c r="B762">
        <v>33</v>
      </c>
      <c r="C762" t="s">
        <v>1037</v>
      </c>
      <c r="D762" s="4">
        <v>6</v>
      </c>
      <c r="E762" s="4">
        <v>19.8</v>
      </c>
      <c r="F762" s="4">
        <v>30</v>
      </c>
      <c r="G762" s="4"/>
      <c r="H762" s="4"/>
    </row>
    <row r="763" spans="1:8" x14ac:dyDescent="0.35">
      <c r="A763">
        <v>15</v>
      </c>
      <c r="B763">
        <v>34</v>
      </c>
      <c r="C763" t="s">
        <v>1038</v>
      </c>
      <c r="D763" s="4">
        <v>1000000000</v>
      </c>
      <c r="E763" s="4">
        <v>5000000000</v>
      </c>
      <c r="F763" s="4">
        <v>9000000000</v>
      </c>
      <c r="G763" s="4"/>
      <c r="H763" s="4"/>
    </row>
    <row r="764" spans="1:8" x14ac:dyDescent="0.35">
      <c r="A764">
        <v>15</v>
      </c>
      <c r="B764">
        <v>35</v>
      </c>
      <c r="C764" t="s">
        <v>1039</v>
      </c>
      <c r="D764" s="4">
        <v>1000</v>
      </c>
      <c r="E764" s="4">
        <v>8000</v>
      </c>
      <c r="F764" s="4">
        <v>12000</v>
      </c>
      <c r="G764" s="4"/>
      <c r="H764" s="4"/>
    </row>
    <row r="765" spans="1:8" x14ac:dyDescent="0.35">
      <c r="A765">
        <v>15</v>
      </c>
      <c r="B765">
        <v>36</v>
      </c>
      <c r="C765" t="s">
        <v>1040</v>
      </c>
      <c r="D765" s="4">
        <v>60</v>
      </c>
      <c r="E765" s="4">
        <v>180</v>
      </c>
      <c r="F765" s="4">
        <v>240</v>
      </c>
      <c r="G765" s="4"/>
      <c r="H765" s="4"/>
    </row>
    <row r="766" spans="1:8" x14ac:dyDescent="0.35">
      <c r="A766">
        <v>15</v>
      </c>
      <c r="B766">
        <v>37</v>
      </c>
      <c r="C766" t="s">
        <v>1041</v>
      </c>
      <c r="D766" s="4">
        <v>36000000000</v>
      </c>
      <c r="E766" s="4">
        <v>90000000000</v>
      </c>
      <c r="F766" s="4">
        <v>180000000000</v>
      </c>
      <c r="G766" s="4"/>
      <c r="H766" s="4"/>
    </row>
    <row r="767" spans="1:8" x14ac:dyDescent="0.35">
      <c r="A767">
        <v>15</v>
      </c>
      <c r="B767">
        <v>38</v>
      </c>
      <c r="C767" t="s">
        <v>1042</v>
      </c>
      <c r="D767" s="4">
        <v>15000</v>
      </c>
      <c r="E767" s="4">
        <v>18000</v>
      </c>
      <c r="F767" s="4">
        <v>25000</v>
      </c>
      <c r="G767" s="4"/>
      <c r="H767" s="4"/>
    </row>
    <row r="768" spans="1:8" x14ac:dyDescent="0.35">
      <c r="A768">
        <v>15</v>
      </c>
      <c r="B768">
        <v>39</v>
      </c>
      <c r="C768" t="s">
        <v>1043</v>
      </c>
      <c r="D768" s="4">
        <v>180</v>
      </c>
      <c r="E768" s="4">
        <v>360</v>
      </c>
      <c r="F768" s="4">
        <v>900</v>
      </c>
      <c r="G768" s="4"/>
      <c r="H768" s="4"/>
    </row>
    <row r="769" spans="1:8" x14ac:dyDescent="0.35">
      <c r="A769">
        <v>15</v>
      </c>
      <c r="B769">
        <v>40</v>
      </c>
      <c r="C769" t="s">
        <v>1044</v>
      </c>
      <c r="D769" s="4">
        <v>180000000000</v>
      </c>
      <c r="E769" s="4">
        <v>1800000000000</v>
      </c>
      <c r="F769" s="4">
        <v>20000000000000</v>
      </c>
      <c r="G769" s="4"/>
      <c r="H769" s="4"/>
    </row>
    <row r="770" spans="1:8" x14ac:dyDescent="0.35">
      <c r="A770">
        <v>15</v>
      </c>
      <c r="B770">
        <v>41</v>
      </c>
      <c r="C770" t="s">
        <v>1045</v>
      </c>
      <c r="D770" s="4">
        <v>20000</v>
      </c>
      <c r="E770" s="4">
        <v>25000</v>
      </c>
      <c r="F770" s="4">
        <v>33000</v>
      </c>
      <c r="G770" s="4"/>
      <c r="H770" s="4"/>
    </row>
    <row r="771" spans="1:8" x14ac:dyDescent="0.35">
      <c r="A771">
        <v>15</v>
      </c>
      <c r="B771">
        <v>42</v>
      </c>
      <c r="C771" t="s">
        <v>1046</v>
      </c>
      <c r="D771" s="4">
        <v>10</v>
      </c>
      <c r="E771" s="4">
        <v>50</v>
      </c>
      <c r="F771" s="4">
        <v>90</v>
      </c>
      <c r="G771" s="4"/>
      <c r="H771" s="4"/>
    </row>
    <row r="772" spans="1:8" x14ac:dyDescent="0.35">
      <c r="A772">
        <v>15</v>
      </c>
      <c r="B772">
        <v>43</v>
      </c>
      <c r="C772" t="s">
        <v>1047</v>
      </c>
      <c r="D772" s="4">
        <v>-999.6</v>
      </c>
      <c r="E772" s="4">
        <v>-999.6</v>
      </c>
      <c r="F772" s="4">
        <v>-999.6</v>
      </c>
      <c r="G772" s="4"/>
      <c r="H772" s="4"/>
    </row>
    <row r="773" spans="1:8" x14ac:dyDescent="0.35">
      <c r="A773">
        <v>15</v>
      </c>
      <c r="B773">
        <v>44</v>
      </c>
      <c r="C773" t="s">
        <v>1048</v>
      </c>
      <c r="D773" s="4">
        <v>-999.6</v>
      </c>
      <c r="E773" s="4">
        <v>-999.6</v>
      </c>
      <c r="F773" s="4">
        <v>-999.6</v>
      </c>
      <c r="G773" s="4"/>
      <c r="H773" s="4"/>
    </row>
    <row r="774" spans="1:8" x14ac:dyDescent="0.35">
      <c r="A774">
        <v>15</v>
      </c>
      <c r="B774">
        <v>45</v>
      </c>
      <c r="C774" t="s">
        <v>1049</v>
      </c>
      <c r="D774" s="4">
        <v>-999.6</v>
      </c>
      <c r="E774" s="4">
        <v>-999.6</v>
      </c>
      <c r="F774" s="4">
        <v>-999.6</v>
      </c>
      <c r="G774" s="4"/>
      <c r="H774" s="4"/>
    </row>
    <row r="775" spans="1:8" x14ac:dyDescent="0.35">
      <c r="A775">
        <v>15</v>
      </c>
      <c r="B775">
        <v>46</v>
      </c>
      <c r="C775" t="s">
        <v>1050</v>
      </c>
      <c r="D775" s="4">
        <v>-999.6</v>
      </c>
      <c r="E775" s="4">
        <v>-999.6</v>
      </c>
      <c r="F775" s="4">
        <v>-999.6</v>
      </c>
      <c r="G775" s="4"/>
      <c r="H775" s="4"/>
    </row>
    <row r="776" spans="1:8" x14ac:dyDescent="0.35">
      <c r="A776">
        <v>15</v>
      </c>
      <c r="B776">
        <v>47</v>
      </c>
      <c r="C776" t="s">
        <v>1051</v>
      </c>
      <c r="D776" s="4">
        <v>-999.6</v>
      </c>
      <c r="E776" s="4">
        <v>-999.6</v>
      </c>
      <c r="F776" s="4">
        <v>-999.6</v>
      </c>
      <c r="G776" s="4"/>
      <c r="H776" s="4"/>
    </row>
    <row r="777" spans="1:8" x14ac:dyDescent="0.35">
      <c r="A777">
        <v>15</v>
      </c>
      <c r="B777">
        <v>48</v>
      </c>
      <c r="C777" t="s">
        <v>1052</v>
      </c>
      <c r="D777" s="4">
        <v>-999.6</v>
      </c>
      <c r="E777" s="4">
        <v>-999.6</v>
      </c>
      <c r="F777" s="4">
        <v>-999.6</v>
      </c>
      <c r="G777" s="4"/>
      <c r="H777" s="4"/>
    </row>
    <row r="778" spans="1:8" x14ac:dyDescent="0.35">
      <c r="A778">
        <v>15</v>
      </c>
      <c r="B778">
        <v>49</v>
      </c>
      <c r="C778" t="s">
        <v>1053</v>
      </c>
      <c r="D778" s="4">
        <v>-999.6</v>
      </c>
      <c r="E778" s="4">
        <v>-999.6</v>
      </c>
      <c r="F778" s="4">
        <v>-999.6</v>
      </c>
      <c r="G778" s="4"/>
      <c r="H778" s="4"/>
    </row>
    <row r="779" spans="1:8" x14ac:dyDescent="0.35">
      <c r="A779">
        <v>15</v>
      </c>
      <c r="B779">
        <v>50</v>
      </c>
      <c r="C779" t="s">
        <v>1054</v>
      </c>
      <c r="D779" s="4">
        <v>-999.6</v>
      </c>
      <c r="E779" s="4">
        <v>-999.6</v>
      </c>
      <c r="F779" s="4">
        <v>-999.6</v>
      </c>
      <c r="G779" s="4"/>
      <c r="H779" s="4"/>
    </row>
    <row r="780" spans="1:8" x14ac:dyDescent="0.35">
      <c r="A780">
        <v>15</v>
      </c>
      <c r="B780">
        <v>51</v>
      </c>
      <c r="C780" t="s">
        <v>1055</v>
      </c>
      <c r="D780" s="4">
        <v>-999.6</v>
      </c>
      <c r="E780" s="4">
        <v>-999.6</v>
      </c>
      <c r="F780" s="4">
        <v>-999.6</v>
      </c>
      <c r="G780" s="4"/>
      <c r="H780" s="4"/>
    </row>
    <row r="781" spans="1:8" x14ac:dyDescent="0.35">
      <c r="A781">
        <v>15</v>
      </c>
      <c r="B781">
        <v>52</v>
      </c>
      <c r="C781" t="s">
        <v>1056</v>
      </c>
      <c r="D781" s="4">
        <v>-999.6</v>
      </c>
      <c r="E781" s="4">
        <v>-999.6</v>
      </c>
      <c r="F781" s="4">
        <v>-999.6</v>
      </c>
      <c r="G781" s="4"/>
      <c r="H781" s="4"/>
    </row>
    <row r="782" spans="1:8" x14ac:dyDescent="0.35">
      <c r="A782">
        <v>16</v>
      </c>
      <c r="B782">
        <v>1</v>
      </c>
      <c r="C782" t="s">
        <v>318</v>
      </c>
      <c r="D782" s="4">
        <v>5895</v>
      </c>
      <c r="E782" s="4">
        <v>5897</v>
      </c>
      <c r="F782" s="4">
        <v>6000</v>
      </c>
      <c r="G782" s="4"/>
      <c r="H782" s="4"/>
    </row>
    <row r="783" spans="1:8" x14ac:dyDescent="0.35">
      <c r="A783">
        <v>16</v>
      </c>
      <c r="B783">
        <v>2</v>
      </c>
      <c r="C783" t="s">
        <v>319</v>
      </c>
      <c r="D783" s="4">
        <v>1000000</v>
      </c>
      <c r="E783" s="4">
        <v>2000000</v>
      </c>
      <c r="F783" s="4">
        <v>3000000</v>
      </c>
      <c r="G783" s="4"/>
      <c r="H783" s="4"/>
    </row>
    <row r="784" spans="1:8" x14ac:dyDescent="0.35">
      <c r="A784">
        <v>16</v>
      </c>
      <c r="B784">
        <v>3</v>
      </c>
      <c r="C784" t="s">
        <v>320</v>
      </c>
      <c r="D784" s="4">
        <v>1</v>
      </c>
      <c r="E784" s="4">
        <v>5</v>
      </c>
      <c r="F784" s="4">
        <v>15</v>
      </c>
      <c r="G784" s="4"/>
      <c r="H784" s="4"/>
    </row>
    <row r="785" spans="1:8" x14ac:dyDescent="0.35">
      <c r="A785">
        <v>16</v>
      </c>
      <c r="B785">
        <v>4</v>
      </c>
      <c r="C785" t="s">
        <v>321</v>
      </c>
      <c r="D785" s="4">
        <v>1000</v>
      </c>
      <c r="E785" s="4">
        <v>2000</v>
      </c>
      <c r="F785" s="4">
        <v>5000</v>
      </c>
      <c r="G785" s="4"/>
      <c r="H785" s="4"/>
    </row>
    <row r="786" spans="1:8" x14ac:dyDescent="0.35">
      <c r="A786">
        <v>16</v>
      </c>
      <c r="B786">
        <v>5</v>
      </c>
      <c r="C786" t="s">
        <v>322</v>
      </c>
      <c r="D786" s="4">
        <v>1</v>
      </c>
      <c r="E786" s="4">
        <v>20</v>
      </c>
      <c r="F786" s="4">
        <v>70</v>
      </c>
      <c r="G786" s="4"/>
      <c r="H786" s="4"/>
    </row>
    <row r="787" spans="1:8" x14ac:dyDescent="0.35">
      <c r="A787">
        <v>16</v>
      </c>
      <c r="B787">
        <v>6</v>
      </c>
      <c r="C787" t="s">
        <v>323</v>
      </c>
      <c r="D787" s="4">
        <v>3</v>
      </c>
      <c r="E787" s="4">
        <v>10</v>
      </c>
      <c r="F787" s="4">
        <v>50</v>
      </c>
      <c r="G787" s="4"/>
      <c r="H787" s="4"/>
    </row>
    <row r="788" spans="1:8" x14ac:dyDescent="0.35">
      <c r="A788">
        <v>16</v>
      </c>
      <c r="B788">
        <v>7</v>
      </c>
      <c r="C788" t="s">
        <v>324</v>
      </c>
      <c r="D788" s="4">
        <v>190</v>
      </c>
      <c r="E788" s="4">
        <v>300</v>
      </c>
      <c r="F788" s="4">
        <v>365</v>
      </c>
      <c r="G788" s="4"/>
      <c r="H788" s="4"/>
    </row>
    <row r="789" spans="1:8" x14ac:dyDescent="0.35">
      <c r="A789">
        <v>16</v>
      </c>
      <c r="B789">
        <v>8</v>
      </c>
      <c r="C789" t="s">
        <v>325</v>
      </c>
      <c r="D789" s="4">
        <v>10</v>
      </c>
      <c r="E789" s="4">
        <v>20</v>
      </c>
      <c r="F789" s="4">
        <v>60</v>
      </c>
      <c r="G789" s="4"/>
      <c r="H789" s="4"/>
    </row>
    <row r="790" spans="1:8" x14ac:dyDescent="0.35">
      <c r="A790">
        <v>16</v>
      </c>
      <c r="B790">
        <v>9</v>
      </c>
      <c r="C790" t="s">
        <v>326</v>
      </c>
      <c r="D790" s="4">
        <v>3</v>
      </c>
      <c r="E790" s="4">
        <v>25</v>
      </c>
      <c r="F790" s="4">
        <v>70</v>
      </c>
      <c r="G790" s="4"/>
      <c r="H790" s="4"/>
    </row>
    <row r="791" spans="1:8" x14ac:dyDescent="0.35">
      <c r="A791">
        <v>16</v>
      </c>
      <c r="B791">
        <v>10</v>
      </c>
      <c r="C791" t="s">
        <v>327</v>
      </c>
      <c r="D791" s="4">
        <v>100</v>
      </c>
      <c r="E791" s="4">
        <v>500</v>
      </c>
      <c r="F791" s="4">
        <v>3000</v>
      </c>
      <c r="G791" s="4"/>
      <c r="H791" s="4"/>
    </row>
    <row r="792" spans="1:8" x14ac:dyDescent="0.35">
      <c r="A792">
        <v>16</v>
      </c>
      <c r="B792">
        <v>11</v>
      </c>
      <c r="C792" t="s">
        <v>328</v>
      </c>
      <c r="D792" s="4">
        <v>1</v>
      </c>
      <c r="E792" s="4">
        <v>10</v>
      </c>
      <c r="F792" s="4">
        <v>50</v>
      </c>
      <c r="G792" s="4"/>
      <c r="H792" s="4"/>
    </row>
    <row r="793" spans="1:8" x14ac:dyDescent="0.35">
      <c r="A793">
        <v>16</v>
      </c>
      <c r="B793">
        <v>12</v>
      </c>
      <c r="C793" t="s">
        <v>329</v>
      </c>
      <c r="D793" s="4">
        <v>1000</v>
      </c>
      <c r="E793" s="4">
        <v>4300</v>
      </c>
      <c r="F793" s="4">
        <v>12000</v>
      </c>
      <c r="G793" s="4"/>
      <c r="H793" s="4"/>
    </row>
    <row r="794" spans="1:8" x14ac:dyDescent="0.35">
      <c r="A794">
        <v>16</v>
      </c>
      <c r="B794">
        <v>13</v>
      </c>
      <c r="C794" t="s">
        <v>330</v>
      </c>
      <c r="D794" s="4">
        <v>0</v>
      </c>
      <c r="E794" s="4">
        <v>15</v>
      </c>
      <c r="F794" s="4">
        <v>80</v>
      </c>
      <c r="G794" s="4"/>
      <c r="H794" s="4"/>
    </row>
    <row r="795" spans="1:8" x14ac:dyDescent="0.35">
      <c r="A795">
        <v>16</v>
      </c>
      <c r="B795">
        <v>14</v>
      </c>
      <c r="C795" t="s">
        <v>1018</v>
      </c>
      <c r="D795" s="4">
        <v>5</v>
      </c>
      <c r="E795" s="4">
        <v>10</v>
      </c>
      <c r="F795" s="4">
        <v>20</v>
      </c>
      <c r="G795" s="4"/>
      <c r="H795" s="4"/>
    </row>
    <row r="796" spans="1:8" x14ac:dyDescent="0.35">
      <c r="A796">
        <v>16</v>
      </c>
      <c r="B796">
        <v>15</v>
      </c>
      <c r="C796" t="s">
        <v>1019</v>
      </c>
      <c r="D796" s="4">
        <v>70</v>
      </c>
      <c r="E796" s="4">
        <v>90</v>
      </c>
      <c r="F796" s="4">
        <v>95</v>
      </c>
      <c r="G796" s="4"/>
      <c r="H796" s="4"/>
    </row>
    <row r="797" spans="1:8" x14ac:dyDescent="0.35">
      <c r="A797">
        <v>16</v>
      </c>
      <c r="B797">
        <v>16</v>
      </c>
      <c r="C797" t="s">
        <v>1020</v>
      </c>
      <c r="D797" s="4">
        <v>50</v>
      </c>
      <c r="E797" s="4">
        <v>75</v>
      </c>
      <c r="F797" s="4">
        <v>95</v>
      </c>
      <c r="G797" s="4"/>
      <c r="H797" s="4"/>
    </row>
    <row r="798" spans="1:8" x14ac:dyDescent="0.35">
      <c r="A798">
        <v>16</v>
      </c>
      <c r="B798">
        <v>17</v>
      </c>
      <c r="C798" t="s">
        <v>1021</v>
      </c>
      <c r="D798" s="4">
        <v>10</v>
      </c>
      <c r="E798" s="4">
        <v>20</v>
      </c>
      <c r="F798" s="4">
        <v>40</v>
      </c>
      <c r="H798" s="4"/>
    </row>
    <row r="799" spans="1:8" x14ac:dyDescent="0.35">
      <c r="A799">
        <v>16</v>
      </c>
      <c r="B799">
        <v>18</v>
      </c>
      <c r="C799" t="s">
        <v>1022</v>
      </c>
      <c r="D799" s="4">
        <v>3</v>
      </c>
      <c r="E799" s="4">
        <v>5</v>
      </c>
      <c r="F799" s="4">
        <v>10</v>
      </c>
      <c r="G799" s="4"/>
      <c r="H799" s="4"/>
    </row>
    <row r="800" spans="1:8" x14ac:dyDescent="0.35">
      <c r="A800">
        <v>16</v>
      </c>
      <c r="B800">
        <v>19</v>
      </c>
      <c r="C800" t="s">
        <v>1023</v>
      </c>
      <c r="D800" s="4">
        <v>20</v>
      </c>
      <c r="E800" s="4">
        <v>40</v>
      </c>
      <c r="F800" s="4">
        <v>60</v>
      </c>
      <c r="G800" s="4"/>
      <c r="H800" s="4"/>
    </row>
    <row r="801" spans="1:8" x14ac:dyDescent="0.35">
      <c r="A801">
        <v>16</v>
      </c>
      <c r="B801">
        <v>20</v>
      </c>
      <c r="C801" t="s">
        <v>1024</v>
      </c>
      <c r="D801" s="4">
        <v>25</v>
      </c>
      <c r="E801" s="4">
        <v>35</v>
      </c>
      <c r="F801" s="4">
        <v>50</v>
      </c>
      <c r="G801" s="4"/>
      <c r="H801" s="4"/>
    </row>
    <row r="802" spans="1:8" x14ac:dyDescent="0.35">
      <c r="A802">
        <v>16</v>
      </c>
      <c r="B802">
        <v>21</v>
      </c>
      <c r="C802" t="s">
        <v>1025</v>
      </c>
      <c r="D802" s="4">
        <v>5</v>
      </c>
      <c r="E802" s="4">
        <v>15</v>
      </c>
      <c r="F802" s="4">
        <v>25</v>
      </c>
      <c r="G802" s="4"/>
      <c r="H802" s="4"/>
    </row>
    <row r="803" spans="1:8" x14ac:dyDescent="0.35">
      <c r="A803">
        <v>16</v>
      </c>
      <c r="B803">
        <v>22</v>
      </c>
      <c r="C803" t="s">
        <v>1026</v>
      </c>
      <c r="D803" s="4">
        <v>3</v>
      </c>
      <c r="E803" s="4">
        <v>7</v>
      </c>
      <c r="F803" s="4">
        <v>15</v>
      </c>
      <c r="G803" s="4"/>
      <c r="H803" s="4"/>
    </row>
    <row r="804" spans="1:8" x14ac:dyDescent="0.35">
      <c r="A804">
        <v>16</v>
      </c>
      <c r="B804">
        <v>23</v>
      </c>
      <c r="C804" t="s">
        <v>1027</v>
      </c>
      <c r="D804" s="4">
        <v>2</v>
      </c>
      <c r="E804" s="4">
        <v>3</v>
      </c>
      <c r="F804" s="4">
        <v>5</v>
      </c>
      <c r="G804" s="4"/>
      <c r="H804" s="4"/>
    </row>
    <row r="805" spans="1:8" x14ac:dyDescent="0.35">
      <c r="A805">
        <v>16</v>
      </c>
      <c r="B805">
        <v>24</v>
      </c>
      <c r="C805" t="s">
        <v>1028</v>
      </c>
      <c r="D805" s="4">
        <v>180</v>
      </c>
      <c r="E805" s="4">
        <v>360</v>
      </c>
      <c r="F805" s="4">
        <v>720</v>
      </c>
      <c r="G805" s="4"/>
      <c r="H805" s="4"/>
    </row>
    <row r="806" spans="1:8" x14ac:dyDescent="0.35">
      <c r="A806">
        <v>16</v>
      </c>
      <c r="B806">
        <v>25</v>
      </c>
      <c r="C806" t="s">
        <v>1029</v>
      </c>
      <c r="D806" s="4">
        <v>300000000000</v>
      </c>
      <c r="E806" s="4">
        <v>550000000000</v>
      </c>
      <c r="F806" s="4">
        <v>750000000000</v>
      </c>
      <c r="G806" s="4"/>
      <c r="H806" s="4"/>
    </row>
    <row r="807" spans="1:8" x14ac:dyDescent="0.35">
      <c r="A807">
        <v>16</v>
      </c>
      <c r="B807">
        <v>26</v>
      </c>
      <c r="C807" t="s">
        <v>1030</v>
      </c>
      <c r="D807" s="4">
        <v>10000</v>
      </c>
      <c r="E807" s="4">
        <v>15000</v>
      </c>
      <c r="F807" s="4">
        <v>20000</v>
      </c>
      <c r="G807" s="4"/>
      <c r="H807" s="4"/>
    </row>
    <row r="808" spans="1:8" x14ac:dyDescent="0.35">
      <c r="A808">
        <v>16</v>
      </c>
      <c r="B808">
        <v>27</v>
      </c>
      <c r="C808" t="s">
        <v>1031</v>
      </c>
      <c r="D808" s="4">
        <v>180</v>
      </c>
      <c r="E808" s="4">
        <v>600</v>
      </c>
      <c r="F808" s="4">
        <v>1440</v>
      </c>
      <c r="G808" s="4"/>
      <c r="H808" s="4"/>
    </row>
    <row r="809" spans="1:8" x14ac:dyDescent="0.35">
      <c r="A809">
        <v>16</v>
      </c>
      <c r="B809">
        <v>28</v>
      </c>
      <c r="C809" t="s">
        <v>1032</v>
      </c>
      <c r="D809" s="4">
        <v>300000000000</v>
      </c>
      <c r="E809" s="4">
        <v>800000000000</v>
      </c>
      <c r="F809" s="4">
        <v>1000000000000</v>
      </c>
      <c r="G809" s="4"/>
      <c r="H809" s="4"/>
    </row>
    <row r="810" spans="1:8" x14ac:dyDescent="0.35">
      <c r="A810">
        <v>16</v>
      </c>
      <c r="B810">
        <v>29</v>
      </c>
      <c r="C810" t="s">
        <v>1033</v>
      </c>
      <c r="D810" s="4">
        <v>20000</v>
      </c>
      <c r="E810" s="4">
        <v>30000</v>
      </c>
      <c r="F810" s="4">
        <v>50000</v>
      </c>
      <c r="G810" s="4"/>
      <c r="H810" s="4"/>
    </row>
    <row r="811" spans="1:8" x14ac:dyDescent="0.35">
      <c r="A811">
        <v>16</v>
      </c>
      <c r="B811">
        <v>30</v>
      </c>
      <c r="C811" t="s">
        <v>1034</v>
      </c>
      <c r="D811" s="4">
        <v>43200</v>
      </c>
      <c r="E811" s="4">
        <v>129600</v>
      </c>
      <c r="F811" s="4">
        <v>172800</v>
      </c>
      <c r="G811" s="4"/>
      <c r="H811" s="4"/>
    </row>
    <row r="812" spans="1:8" x14ac:dyDescent="0.35">
      <c r="A812">
        <v>16</v>
      </c>
      <c r="B812">
        <v>31</v>
      </c>
      <c r="C812" t="s">
        <v>1035</v>
      </c>
      <c r="D812" s="4">
        <v>800000000</v>
      </c>
      <c r="E812" s="4">
        <v>1200000000</v>
      </c>
      <c r="F812" s="4">
        <v>1500000000</v>
      </c>
      <c r="G812" s="4"/>
      <c r="H812" s="4"/>
    </row>
    <row r="813" spans="1:8" x14ac:dyDescent="0.35">
      <c r="A813">
        <v>16</v>
      </c>
      <c r="B813">
        <v>32</v>
      </c>
      <c r="C813" t="s">
        <v>1036</v>
      </c>
      <c r="D813" s="4">
        <v>2000</v>
      </c>
      <c r="E813" s="4">
        <v>10000</v>
      </c>
      <c r="F813" s="4">
        <v>11000</v>
      </c>
      <c r="G813" s="4"/>
      <c r="H813" s="4"/>
    </row>
    <row r="814" spans="1:8" x14ac:dyDescent="0.35">
      <c r="A814">
        <v>16</v>
      </c>
      <c r="B814">
        <v>33</v>
      </c>
      <c r="C814" t="s">
        <v>1037</v>
      </c>
      <c r="D814" s="4">
        <v>6</v>
      </c>
      <c r="E814" s="4">
        <v>30</v>
      </c>
      <c r="F814" s="4">
        <v>60</v>
      </c>
      <c r="G814" s="4"/>
      <c r="H814" s="4"/>
    </row>
    <row r="815" spans="1:8" x14ac:dyDescent="0.35">
      <c r="A815">
        <v>16</v>
      </c>
      <c r="B815">
        <v>34</v>
      </c>
      <c r="C815" t="s">
        <v>1038</v>
      </c>
      <c r="D815" s="4">
        <v>10000000000</v>
      </c>
      <c r="E815" s="4">
        <v>20000000000</v>
      </c>
      <c r="F815" s="4">
        <v>35000000000</v>
      </c>
      <c r="G815" s="4"/>
      <c r="H815" s="4"/>
    </row>
    <row r="816" spans="1:8" x14ac:dyDescent="0.35">
      <c r="A816">
        <v>16</v>
      </c>
      <c r="B816">
        <v>35</v>
      </c>
      <c r="C816" t="s">
        <v>1039</v>
      </c>
      <c r="D816" s="4">
        <v>12000</v>
      </c>
      <c r="E816" s="4">
        <v>15000</v>
      </c>
      <c r="F816" s="4">
        <v>20000</v>
      </c>
      <c r="G816" s="4"/>
      <c r="H816" s="4"/>
    </row>
    <row r="817" spans="1:8" x14ac:dyDescent="0.35">
      <c r="A817">
        <v>16</v>
      </c>
      <c r="B817">
        <v>36</v>
      </c>
      <c r="C817" t="s">
        <v>1040</v>
      </c>
      <c r="D817" s="4">
        <v>7.8</v>
      </c>
      <c r="E817" s="4">
        <v>18</v>
      </c>
      <c r="F817" s="4">
        <v>60</v>
      </c>
      <c r="G817" s="4"/>
      <c r="H817" s="4"/>
    </row>
    <row r="818" spans="1:8" x14ac:dyDescent="0.35">
      <c r="A818">
        <v>16</v>
      </c>
      <c r="B818">
        <v>37</v>
      </c>
      <c r="C818" t="s">
        <v>1041</v>
      </c>
      <c r="D818" s="4">
        <v>15000000000</v>
      </c>
      <c r="E818" s="4">
        <v>30000000000</v>
      </c>
      <c r="F818" s="4">
        <v>40000000000</v>
      </c>
      <c r="G818" s="4"/>
      <c r="H818" s="4"/>
    </row>
    <row r="819" spans="1:8" x14ac:dyDescent="0.35">
      <c r="A819">
        <v>16</v>
      </c>
      <c r="B819">
        <v>38</v>
      </c>
      <c r="C819" t="s">
        <v>1042</v>
      </c>
      <c r="D819" s="4">
        <v>15000</v>
      </c>
      <c r="E819" s="4">
        <v>20000</v>
      </c>
      <c r="F819" s="4">
        <v>25000</v>
      </c>
      <c r="G819" s="4"/>
      <c r="H819" s="4"/>
    </row>
    <row r="820" spans="1:8" x14ac:dyDescent="0.35">
      <c r="A820">
        <v>16</v>
      </c>
      <c r="B820">
        <v>39</v>
      </c>
      <c r="C820" t="s">
        <v>1043</v>
      </c>
      <c r="D820" s="4">
        <v>180</v>
      </c>
      <c r="E820" s="4">
        <v>432</v>
      </c>
      <c r="F820" s="4">
        <v>900</v>
      </c>
      <c r="G820" s="4"/>
      <c r="H820" s="4"/>
    </row>
    <row r="821" spans="1:8" x14ac:dyDescent="0.35">
      <c r="A821">
        <v>16</v>
      </c>
      <c r="B821">
        <v>40</v>
      </c>
      <c r="C821" t="s">
        <v>1044</v>
      </c>
      <c r="D821" s="4">
        <v>1000000000000</v>
      </c>
      <c r="E821" s="4">
        <v>1690000000000</v>
      </c>
      <c r="F821" s="4">
        <v>2000000000000</v>
      </c>
      <c r="G821" s="4"/>
      <c r="H821" s="4"/>
    </row>
    <row r="822" spans="1:8" x14ac:dyDescent="0.35">
      <c r="A822">
        <v>16</v>
      </c>
      <c r="B822">
        <v>41</v>
      </c>
      <c r="C822" t="s">
        <v>1045</v>
      </c>
      <c r="D822" s="4">
        <v>20000</v>
      </c>
      <c r="E822" s="4">
        <v>25000</v>
      </c>
      <c r="F822" s="4">
        <v>35000</v>
      </c>
      <c r="G822" s="4"/>
      <c r="H822" s="4"/>
    </row>
    <row r="823" spans="1:8" x14ac:dyDescent="0.35">
      <c r="A823">
        <v>16</v>
      </c>
      <c r="B823">
        <v>42</v>
      </c>
      <c r="C823" t="s">
        <v>1046</v>
      </c>
      <c r="D823" s="4">
        <v>0</v>
      </c>
      <c r="E823" s="4">
        <v>25</v>
      </c>
      <c r="F823" s="4">
        <v>80</v>
      </c>
      <c r="G823" s="4"/>
      <c r="H823" s="4"/>
    </row>
    <row r="824" spans="1:8" x14ac:dyDescent="0.35">
      <c r="A824">
        <v>16</v>
      </c>
      <c r="B824">
        <v>43</v>
      </c>
      <c r="C824" t="s">
        <v>1047</v>
      </c>
      <c r="D824" s="4">
        <v>10</v>
      </c>
      <c r="E824" s="4">
        <v>20</v>
      </c>
      <c r="F824" s="4">
        <v>30</v>
      </c>
      <c r="G824" s="4"/>
      <c r="H824" s="4"/>
    </row>
    <row r="825" spans="1:8" x14ac:dyDescent="0.35">
      <c r="A825">
        <v>16</v>
      </c>
      <c r="B825">
        <v>44</v>
      </c>
      <c r="C825" t="s">
        <v>1048</v>
      </c>
      <c r="D825" s="4">
        <v>60</v>
      </c>
      <c r="E825" s="4">
        <v>80</v>
      </c>
      <c r="F825" s="4">
        <v>90</v>
      </c>
      <c r="G825" s="4"/>
      <c r="H825" s="4"/>
    </row>
    <row r="826" spans="1:8" x14ac:dyDescent="0.35">
      <c r="A826">
        <v>16</v>
      </c>
      <c r="B826">
        <v>45</v>
      </c>
      <c r="C826" t="s">
        <v>1049</v>
      </c>
      <c r="D826" s="4">
        <v>20</v>
      </c>
      <c r="E826" s="4">
        <v>50</v>
      </c>
      <c r="F826" s="4">
        <v>70</v>
      </c>
      <c r="G826" s="4"/>
      <c r="H826" s="4"/>
    </row>
    <row r="827" spans="1:8" x14ac:dyDescent="0.35">
      <c r="A827">
        <v>16</v>
      </c>
      <c r="B827">
        <v>46</v>
      </c>
      <c r="C827" t="s">
        <v>1050</v>
      </c>
      <c r="D827" s="4">
        <v>20</v>
      </c>
      <c r="E827" s="4">
        <v>40</v>
      </c>
      <c r="F827" s="4">
        <v>60</v>
      </c>
      <c r="G827" s="4"/>
      <c r="H827" s="4"/>
    </row>
    <row r="828" spans="1:8" x14ac:dyDescent="0.35">
      <c r="A828">
        <v>16</v>
      </c>
      <c r="B828">
        <v>47</v>
      </c>
      <c r="C828" t="s">
        <v>1051</v>
      </c>
      <c r="D828" s="4">
        <v>5</v>
      </c>
      <c r="E828" s="4">
        <v>10</v>
      </c>
      <c r="F828" s="4">
        <v>20</v>
      </c>
      <c r="G828" s="4"/>
      <c r="H828" s="4"/>
    </row>
    <row r="829" spans="1:8" x14ac:dyDescent="0.35">
      <c r="A829">
        <v>16</v>
      </c>
      <c r="B829">
        <v>48</v>
      </c>
      <c r="C829" t="s">
        <v>1052</v>
      </c>
      <c r="D829" s="4">
        <v>10</v>
      </c>
      <c r="E829" s="4">
        <v>30</v>
      </c>
      <c r="F829" s="4">
        <v>50</v>
      </c>
      <c r="G829" s="4"/>
      <c r="H829" s="4"/>
    </row>
    <row r="830" spans="1:8" x14ac:dyDescent="0.35">
      <c r="A830">
        <v>16</v>
      </c>
      <c r="B830">
        <v>49</v>
      </c>
      <c r="C830" t="s">
        <v>1053</v>
      </c>
      <c r="D830" s="4">
        <v>15</v>
      </c>
      <c r="E830" s="4">
        <v>35</v>
      </c>
      <c r="F830" s="4">
        <v>60</v>
      </c>
      <c r="G830" s="4"/>
      <c r="H830" s="4"/>
    </row>
    <row r="831" spans="1:8" x14ac:dyDescent="0.35">
      <c r="A831">
        <v>16</v>
      </c>
      <c r="B831">
        <v>50</v>
      </c>
      <c r="C831" t="s">
        <v>1054</v>
      </c>
      <c r="D831" s="4">
        <v>10</v>
      </c>
      <c r="E831" s="4">
        <v>20</v>
      </c>
      <c r="F831" s="4">
        <v>40</v>
      </c>
      <c r="G831" s="4"/>
      <c r="H831" s="4"/>
    </row>
    <row r="832" spans="1:8" x14ac:dyDescent="0.35">
      <c r="A832">
        <v>16</v>
      </c>
      <c r="B832">
        <v>51</v>
      </c>
      <c r="C832" t="s">
        <v>1055</v>
      </c>
      <c r="D832" s="4">
        <v>5</v>
      </c>
      <c r="E832" s="4">
        <v>10</v>
      </c>
      <c r="F832" s="4">
        <v>20</v>
      </c>
      <c r="G832" s="4"/>
      <c r="H832" s="4"/>
    </row>
    <row r="833" spans="1:8" x14ac:dyDescent="0.35">
      <c r="A833">
        <v>16</v>
      </c>
      <c r="B833">
        <v>52</v>
      </c>
      <c r="C833" t="s">
        <v>1056</v>
      </c>
      <c r="D833" s="4">
        <v>3</v>
      </c>
      <c r="E833" s="4">
        <v>5</v>
      </c>
      <c r="F833" s="4">
        <v>10</v>
      </c>
      <c r="G833" s="4"/>
      <c r="H833" s="4"/>
    </row>
    <row r="834" spans="1:8" x14ac:dyDescent="0.35">
      <c r="A834">
        <v>17</v>
      </c>
      <c r="B834">
        <v>1</v>
      </c>
      <c r="C834" t="s">
        <v>318</v>
      </c>
      <c r="D834" s="4">
        <v>5894</v>
      </c>
      <c r="E834" s="4">
        <v>5896</v>
      </c>
      <c r="F834" s="4">
        <v>5898</v>
      </c>
      <c r="G834" s="4"/>
      <c r="H834" s="4"/>
    </row>
    <row r="835" spans="1:8" x14ac:dyDescent="0.35">
      <c r="A835">
        <v>17</v>
      </c>
      <c r="B835">
        <v>2</v>
      </c>
      <c r="C835" t="s">
        <v>319</v>
      </c>
      <c r="D835" s="4">
        <v>2300000</v>
      </c>
      <c r="E835" s="4">
        <v>2500000</v>
      </c>
      <c r="F835" s="4">
        <v>3000000</v>
      </c>
      <c r="G835" s="4"/>
      <c r="H835" s="4"/>
    </row>
    <row r="836" spans="1:8" x14ac:dyDescent="0.35">
      <c r="A836">
        <v>17</v>
      </c>
      <c r="B836">
        <v>3</v>
      </c>
      <c r="C836" t="s">
        <v>320</v>
      </c>
      <c r="D836" s="4">
        <v>10</v>
      </c>
      <c r="E836" s="4">
        <v>15</v>
      </c>
      <c r="F836" s="4">
        <v>18</v>
      </c>
      <c r="G836" s="4"/>
      <c r="H836" s="4"/>
    </row>
    <row r="837" spans="1:8" x14ac:dyDescent="0.35">
      <c r="A837">
        <v>17</v>
      </c>
      <c r="B837">
        <v>4</v>
      </c>
      <c r="C837" t="s">
        <v>321</v>
      </c>
      <c r="D837" s="4">
        <v>200</v>
      </c>
      <c r="E837" s="4">
        <v>500</v>
      </c>
      <c r="F837" s="4">
        <v>800</v>
      </c>
      <c r="G837" s="4"/>
      <c r="H837" s="4"/>
    </row>
    <row r="838" spans="1:8" x14ac:dyDescent="0.35">
      <c r="A838">
        <v>17</v>
      </c>
      <c r="B838">
        <v>5</v>
      </c>
      <c r="C838" t="s">
        <v>322</v>
      </c>
      <c r="D838" s="4">
        <v>5</v>
      </c>
      <c r="E838" s="4">
        <v>25</v>
      </c>
      <c r="F838" s="4">
        <v>50</v>
      </c>
      <c r="G838" s="4"/>
      <c r="H838" s="4"/>
    </row>
    <row r="839" spans="1:8" x14ac:dyDescent="0.35">
      <c r="A839">
        <v>17</v>
      </c>
      <c r="B839">
        <v>6</v>
      </c>
      <c r="C839" t="s">
        <v>323</v>
      </c>
      <c r="D839" s="4">
        <v>29</v>
      </c>
      <c r="E839" s="4">
        <v>30</v>
      </c>
      <c r="F839" s="4">
        <v>33</v>
      </c>
      <c r="G839" s="4"/>
      <c r="H839" s="4"/>
    </row>
    <row r="840" spans="1:8" x14ac:dyDescent="0.35">
      <c r="A840">
        <v>17</v>
      </c>
      <c r="B840">
        <v>7</v>
      </c>
      <c r="C840" t="s">
        <v>324</v>
      </c>
      <c r="D840" s="4">
        <v>270</v>
      </c>
      <c r="E840" s="4">
        <v>280</v>
      </c>
      <c r="F840" s="4">
        <v>290</v>
      </c>
      <c r="G840" s="4"/>
      <c r="H840" s="4"/>
    </row>
    <row r="841" spans="1:8" x14ac:dyDescent="0.35">
      <c r="A841">
        <v>17</v>
      </c>
      <c r="B841">
        <v>8</v>
      </c>
      <c r="C841" t="s">
        <v>325</v>
      </c>
      <c r="D841" s="4">
        <v>20</v>
      </c>
      <c r="E841" s="4">
        <v>30</v>
      </c>
      <c r="F841" s="4">
        <v>50</v>
      </c>
      <c r="G841" s="4"/>
      <c r="H841" s="4"/>
    </row>
    <row r="842" spans="1:8" x14ac:dyDescent="0.35">
      <c r="A842">
        <v>17</v>
      </c>
      <c r="B842">
        <v>9</v>
      </c>
      <c r="C842" t="s">
        <v>326</v>
      </c>
      <c r="D842" s="4">
        <v>20</v>
      </c>
      <c r="E842" s="4">
        <v>30</v>
      </c>
      <c r="F842" s="4">
        <v>40</v>
      </c>
      <c r="G842" s="4"/>
      <c r="H842" s="4"/>
    </row>
    <row r="843" spans="1:8" x14ac:dyDescent="0.35">
      <c r="A843">
        <v>17</v>
      </c>
      <c r="B843">
        <v>10</v>
      </c>
      <c r="C843" t="s">
        <v>327</v>
      </c>
      <c r="D843" s="4">
        <v>25000000</v>
      </c>
      <c r="E843" s="4">
        <v>30000000</v>
      </c>
      <c r="F843" s="4">
        <v>35000000</v>
      </c>
      <c r="G843" s="4"/>
      <c r="H843" s="4"/>
    </row>
    <row r="844" spans="1:8" x14ac:dyDescent="0.35">
      <c r="A844">
        <v>17</v>
      </c>
      <c r="B844">
        <v>11</v>
      </c>
      <c r="C844" t="s">
        <v>328</v>
      </c>
      <c r="D844" s="4">
        <v>10</v>
      </c>
      <c r="E844" s="4">
        <v>14</v>
      </c>
      <c r="F844" s="4">
        <v>18</v>
      </c>
      <c r="G844" s="4"/>
      <c r="H844" s="4"/>
    </row>
    <row r="845" spans="1:8" x14ac:dyDescent="0.35">
      <c r="A845">
        <v>17</v>
      </c>
      <c r="B845">
        <v>12</v>
      </c>
      <c r="C845" t="s">
        <v>329</v>
      </c>
      <c r="D845" s="4">
        <v>8000</v>
      </c>
      <c r="E845" s="4">
        <v>10000</v>
      </c>
      <c r="F845" s="4">
        <v>13000</v>
      </c>
      <c r="G845" s="4"/>
      <c r="H845" s="4"/>
    </row>
    <row r="846" spans="1:8" x14ac:dyDescent="0.35">
      <c r="A846">
        <v>17</v>
      </c>
      <c r="B846">
        <v>13</v>
      </c>
      <c r="C846" t="s">
        <v>330</v>
      </c>
      <c r="D846" s="4">
        <v>0.5</v>
      </c>
      <c r="E846" s="4">
        <v>2</v>
      </c>
      <c r="F846" s="4">
        <v>4</v>
      </c>
      <c r="G846" s="4"/>
      <c r="H846" s="4"/>
    </row>
    <row r="847" spans="1:8" x14ac:dyDescent="0.35">
      <c r="A847">
        <v>17</v>
      </c>
      <c r="B847">
        <v>14</v>
      </c>
      <c r="C847" t="s">
        <v>1018</v>
      </c>
      <c r="D847" s="4">
        <v>20</v>
      </c>
      <c r="E847" s="4">
        <v>30</v>
      </c>
      <c r="F847" s="4">
        <v>60</v>
      </c>
      <c r="G847" s="4"/>
      <c r="H847" s="4"/>
    </row>
    <row r="848" spans="1:8" x14ac:dyDescent="0.35">
      <c r="A848">
        <v>17</v>
      </c>
      <c r="B848">
        <v>15</v>
      </c>
      <c r="C848" t="s">
        <v>1019</v>
      </c>
      <c r="D848" s="4">
        <v>40</v>
      </c>
      <c r="E848" s="4">
        <v>60</v>
      </c>
      <c r="F848" s="4">
        <v>90</v>
      </c>
      <c r="G848" s="4"/>
      <c r="H848" s="4"/>
    </row>
    <row r="849" spans="1:8" x14ac:dyDescent="0.35">
      <c r="A849">
        <v>17</v>
      </c>
      <c r="B849">
        <v>16</v>
      </c>
      <c r="C849" t="s">
        <v>1020</v>
      </c>
      <c r="D849" s="4">
        <v>30</v>
      </c>
      <c r="E849" s="4">
        <v>50</v>
      </c>
      <c r="F849" s="4">
        <v>80</v>
      </c>
      <c r="G849" s="4"/>
      <c r="H849" s="4"/>
    </row>
    <row r="850" spans="1:8" x14ac:dyDescent="0.35">
      <c r="A850">
        <v>17</v>
      </c>
      <c r="B850">
        <v>17</v>
      </c>
      <c r="C850" t="s">
        <v>1021</v>
      </c>
      <c r="D850" s="4">
        <v>20</v>
      </c>
      <c r="E850" s="4">
        <v>30</v>
      </c>
      <c r="F850" s="4">
        <v>70</v>
      </c>
      <c r="H850" s="4"/>
    </row>
    <row r="851" spans="1:8" x14ac:dyDescent="0.35">
      <c r="A851">
        <v>17</v>
      </c>
      <c r="B851">
        <v>18</v>
      </c>
      <c r="C851" t="s">
        <v>1022</v>
      </c>
      <c r="D851" s="4">
        <v>5</v>
      </c>
      <c r="E851" s="4">
        <v>20</v>
      </c>
      <c r="F851" s="4">
        <v>60</v>
      </c>
      <c r="G851" s="4"/>
      <c r="H851" s="4"/>
    </row>
    <row r="852" spans="1:8" x14ac:dyDescent="0.35">
      <c r="A852">
        <v>17</v>
      </c>
      <c r="B852">
        <v>19</v>
      </c>
      <c r="C852" t="s">
        <v>1023</v>
      </c>
      <c r="D852" s="4">
        <v>30</v>
      </c>
      <c r="E852" s="4">
        <v>40</v>
      </c>
      <c r="F852" s="4">
        <v>80</v>
      </c>
      <c r="G852" s="4"/>
      <c r="H852" s="4"/>
    </row>
    <row r="853" spans="1:8" x14ac:dyDescent="0.35">
      <c r="A853">
        <v>17</v>
      </c>
      <c r="B853">
        <v>20</v>
      </c>
      <c r="C853" t="s">
        <v>1024</v>
      </c>
      <c r="D853" s="4">
        <v>20</v>
      </c>
      <c r="E853" s="4">
        <v>30</v>
      </c>
      <c r="F853" s="4">
        <v>70</v>
      </c>
      <c r="G853" s="4"/>
      <c r="H853" s="4"/>
    </row>
    <row r="854" spans="1:8" x14ac:dyDescent="0.35">
      <c r="A854">
        <v>17</v>
      </c>
      <c r="B854">
        <v>21</v>
      </c>
      <c r="C854" t="s">
        <v>1025</v>
      </c>
      <c r="D854" s="4">
        <v>15</v>
      </c>
      <c r="E854" s="4">
        <v>20</v>
      </c>
      <c r="F854" s="4">
        <v>50</v>
      </c>
      <c r="G854" s="4"/>
      <c r="H854" s="4"/>
    </row>
    <row r="855" spans="1:8" x14ac:dyDescent="0.35">
      <c r="A855">
        <v>17</v>
      </c>
      <c r="B855">
        <v>22</v>
      </c>
      <c r="C855" t="s">
        <v>1026</v>
      </c>
      <c r="D855" s="4">
        <v>1</v>
      </c>
      <c r="E855" s="4">
        <v>5</v>
      </c>
      <c r="F855" s="4">
        <v>50</v>
      </c>
      <c r="G855" s="4"/>
      <c r="H855" s="4"/>
    </row>
    <row r="856" spans="1:8" x14ac:dyDescent="0.35">
      <c r="A856">
        <v>17</v>
      </c>
      <c r="B856">
        <v>23</v>
      </c>
      <c r="C856" t="s">
        <v>1027</v>
      </c>
      <c r="D856" s="4">
        <v>1</v>
      </c>
      <c r="E856" s="4">
        <v>5</v>
      </c>
      <c r="F856" s="4">
        <v>50</v>
      </c>
      <c r="G856" s="4"/>
      <c r="H856" s="4"/>
    </row>
    <row r="857" spans="1:8" x14ac:dyDescent="0.35">
      <c r="A857">
        <v>17</v>
      </c>
      <c r="B857">
        <v>24</v>
      </c>
      <c r="C857" t="s">
        <v>1028</v>
      </c>
      <c r="D857" s="4">
        <v>240</v>
      </c>
      <c r="E857" s="4">
        <v>360</v>
      </c>
      <c r="F857" s="4">
        <v>450</v>
      </c>
      <c r="G857" s="4"/>
      <c r="H857" s="4"/>
    </row>
    <row r="858" spans="1:8" x14ac:dyDescent="0.35">
      <c r="A858">
        <v>17</v>
      </c>
      <c r="B858">
        <v>25</v>
      </c>
      <c r="C858" t="s">
        <v>1029</v>
      </c>
      <c r="D858" s="4">
        <v>350000000000</v>
      </c>
      <c r="E858" s="4">
        <v>550000000000</v>
      </c>
      <c r="F858" s="4">
        <v>800000000000</v>
      </c>
      <c r="G858" s="4"/>
      <c r="H858" s="4"/>
    </row>
    <row r="859" spans="1:8" x14ac:dyDescent="0.35">
      <c r="A859">
        <v>17</v>
      </c>
      <c r="B859">
        <v>26</v>
      </c>
      <c r="C859" t="s">
        <v>1030</v>
      </c>
      <c r="D859" s="4">
        <v>11000</v>
      </c>
      <c r="E859" s="4">
        <v>14000</v>
      </c>
      <c r="F859" s="4">
        <v>18000</v>
      </c>
      <c r="G859" s="4"/>
      <c r="H859" s="4"/>
    </row>
    <row r="860" spans="1:8" x14ac:dyDescent="0.35">
      <c r="A860">
        <v>17</v>
      </c>
      <c r="B860">
        <v>27</v>
      </c>
      <c r="C860" t="s">
        <v>1031</v>
      </c>
      <c r="D860" s="4">
        <v>480</v>
      </c>
      <c r="E860" s="4">
        <v>600</v>
      </c>
      <c r="F860" s="4">
        <v>840</v>
      </c>
      <c r="G860" s="4"/>
      <c r="H860" s="4"/>
    </row>
    <row r="861" spans="1:8" x14ac:dyDescent="0.35">
      <c r="A861">
        <v>17</v>
      </c>
      <c r="B861">
        <v>28</v>
      </c>
      <c r="C861" t="s">
        <v>1032</v>
      </c>
      <c r="D861" s="4">
        <v>400000000000</v>
      </c>
      <c r="E861" s="4">
        <v>800000000000</v>
      </c>
      <c r="F861" s="4">
        <v>1500000000000</v>
      </c>
      <c r="G861" s="4"/>
      <c r="H861" s="4"/>
    </row>
    <row r="862" spans="1:8" x14ac:dyDescent="0.35">
      <c r="A862">
        <v>17</v>
      </c>
      <c r="B862">
        <v>29</v>
      </c>
      <c r="C862" t="s">
        <v>1033</v>
      </c>
      <c r="D862" s="4">
        <v>10000</v>
      </c>
      <c r="E862" s="4">
        <v>25000</v>
      </c>
      <c r="F862" s="4">
        <v>30000</v>
      </c>
      <c r="G862" s="4"/>
      <c r="H862" s="4"/>
    </row>
    <row r="863" spans="1:8" x14ac:dyDescent="0.35">
      <c r="A863">
        <v>17</v>
      </c>
      <c r="B863">
        <v>30</v>
      </c>
      <c r="C863" t="s">
        <v>1034</v>
      </c>
      <c r="D863" s="4">
        <v>7200</v>
      </c>
      <c r="E863" s="4">
        <v>172800</v>
      </c>
      <c r="F863" s="4">
        <v>259200</v>
      </c>
      <c r="G863" s="4"/>
      <c r="H863" s="4"/>
    </row>
    <row r="864" spans="1:8" x14ac:dyDescent="0.35">
      <c r="A864">
        <v>17</v>
      </c>
      <c r="B864">
        <v>31</v>
      </c>
      <c r="C864" t="s">
        <v>1035</v>
      </c>
      <c r="D864" s="4">
        <v>500000000</v>
      </c>
      <c r="E864" s="4">
        <v>1200000000</v>
      </c>
      <c r="F864" s="4">
        <v>3000000000</v>
      </c>
      <c r="G864" s="4"/>
      <c r="H864" s="4"/>
    </row>
    <row r="865" spans="1:8" x14ac:dyDescent="0.35">
      <c r="A865">
        <v>17</v>
      </c>
      <c r="B865">
        <v>32</v>
      </c>
      <c r="C865" t="s">
        <v>1036</v>
      </c>
      <c r="D865" s="4">
        <v>1000</v>
      </c>
      <c r="E865" s="4">
        <v>5000</v>
      </c>
      <c r="F865" s="4">
        <v>10000</v>
      </c>
      <c r="G865" s="4"/>
      <c r="H865" s="4"/>
    </row>
    <row r="866" spans="1:8" x14ac:dyDescent="0.35">
      <c r="A866">
        <v>17</v>
      </c>
      <c r="B866">
        <v>33</v>
      </c>
      <c r="C866" t="s">
        <v>1037</v>
      </c>
      <c r="D866" s="4">
        <v>8</v>
      </c>
      <c r="E866" s="4">
        <v>10</v>
      </c>
      <c r="F866" s="4">
        <v>15</v>
      </c>
      <c r="G866" s="4"/>
      <c r="H866" s="4"/>
    </row>
    <row r="867" spans="1:8" x14ac:dyDescent="0.35">
      <c r="A867">
        <v>17</v>
      </c>
      <c r="B867">
        <v>34</v>
      </c>
      <c r="C867" t="s">
        <v>1038</v>
      </c>
      <c r="D867" s="4">
        <v>10000000</v>
      </c>
      <c r="E867" s="4">
        <v>100000000</v>
      </c>
      <c r="F867" s="4">
        <v>500000000</v>
      </c>
      <c r="G867" s="4"/>
      <c r="H867" s="4"/>
    </row>
    <row r="868" spans="1:8" x14ac:dyDescent="0.35">
      <c r="A868">
        <v>17</v>
      </c>
      <c r="B868">
        <v>35</v>
      </c>
      <c r="C868" t="s">
        <v>1039</v>
      </c>
      <c r="D868" s="4">
        <v>8000</v>
      </c>
      <c r="E868" s="4">
        <v>13000</v>
      </c>
      <c r="F868" s="4">
        <v>17000</v>
      </c>
      <c r="G868" s="4"/>
      <c r="H868" s="4"/>
    </row>
    <row r="869" spans="1:8" x14ac:dyDescent="0.35">
      <c r="A869">
        <v>17</v>
      </c>
      <c r="B869">
        <v>36</v>
      </c>
      <c r="C869" t="s">
        <v>1040</v>
      </c>
      <c r="D869" s="4">
        <v>8</v>
      </c>
      <c r="E869" s="4">
        <v>15</v>
      </c>
      <c r="F869" s="4">
        <v>19</v>
      </c>
      <c r="G869" s="4"/>
      <c r="H869" s="4"/>
    </row>
    <row r="870" spans="1:8" x14ac:dyDescent="0.35">
      <c r="A870">
        <v>17</v>
      </c>
      <c r="B870">
        <v>37</v>
      </c>
      <c r="C870" t="s">
        <v>1041</v>
      </c>
      <c r="D870" s="4">
        <v>20000000000</v>
      </c>
      <c r="E870" s="4">
        <v>30000000000</v>
      </c>
      <c r="F870" s="4">
        <v>40000000000</v>
      </c>
      <c r="G870" s="4"/>
      <c r="H870" s="4"/>
    </row>
    <row r="871" spans="1:8" x14ac:dyDescent="0.35">
      <c r="A871">
        <v>17</v>
      </c>
      <c r="B871">
        <v>38</v>
      </c>
      <c r="C871" t="s">
        <v>1042</v>
      </c>
      <c r="D871" s="4">
        <v>20000</v>
      </c>
      <c r="E871" s="4">
        <v>22000</v>
      </c>
      <c r="F871" s="4">
        <v>24000</v>
      </c>
      <c r="G871" s="4"/>
      <c r="H871" s="4"/>
    </row>
    <row r="872" spans="1:8" x14ac:dyDescent="0.35">
      <c r="A872">
        <v>17</v>
      </c>
      <c r="B872">
        <v>39</v>
      </c>
      <c r="C872" t="s">
        <v>1043</v>
      </c>
      <c r="D872" s="4">
        <v>120</v>
      </c>
      <c r="E872" s="4">
        <v>150</v>
      </c>
      <c r="F872" s="4">
        <v>450</v>
      </c>
      <c r="G872" s="4"/>
      <c r="H872" s="4"/>
    </row>
    <row r="873" spans="1:8" x14ac:dyDescent="0.35">
      <c r="A873">
        <v>17</v>
      </c>
      <c r="B873">
        <v>40</v>
      </c>
      <c r="C873" t="s">
        <v>1044</v>
      </c>
      <c r="D873" s="4">
        <v>200000000000</v>
      </c>
      <c r="E873" s="4">
        <v>480000000000</v>
      </c>
      <c r="F873" s="4">
        <v>2400000000000</v>
      </c>
      <c r="G873" s="4"/>
      <c r="H873" s="4"/>
    </row>
    <row r="874" spans="1:8" x14ac:dyDescent="0.35">
      <c r="A874">
        <v>17</v>
      </c>
      <c r="B874">
        <v>41</v>
      </c>
      <c r="C874" t="s">
        <v>1045</v>
      </c>
      <c r="D874" s="4">
        <v>19000</v>
      </c>
      <c r="E874" s="4">
        <v>32000</v>
      </c>
      <c r="F874" s="4">
        <v>34000</v>
      </c>
      <c r="G874" s="4"/>
      <c r="H874" s="4"/>
    </row>
    <row r="875" spans="1:8" x14ac:dyDescent="0.35">
      <c r="A875">
        <v>17</v>
      </c>
      <c r="B875">
        <v>42</v>
      </c>
      <c r="C875" t="s">
        <v>1046</v>
      </c>
      <c r="D875" s="4">
        <v>60</v>
      </c>
      <c r="E875" s="4">
        <v>70</v>
      </c>
      <c r="F875" s="4">
        <v>90</v>
      </c>
      <c r="G875" s="4"/>
      <c r="H875" s="4"/>
    </row>
    <row r="876" spans="1:8" x14ac:dyDescent="0.35">
      <c r="A876">
        <v>17</v>
      </c>
      <c r="B876">
        <v>43</v>
      </c>
      <c r="C876" t="s">
        <v>1047</v>
      </c>
      <c r="D876" s="4">
        <v>20</v>
      </c>
      <c r="E876" s="4">
        <v>40</v>
      </c>
      <c r="F876" s="4">
        <v>70</v>
      </c>
      <c r="G876" s="4"/>
      <c r="H876" s="4"/>
    </row>
    <row r="877" spans="1:8" x14ac:dyDescent="0.35">
      <c r="A877">
        <v>17</v>
      </c>
      <c r="B877">
        <v>44</v>
      </c>
      <c r="C877" t="s">
        <v>1048</v>
      </c>
      <c r="D877" s="4">
        <v>40</v>
      </c>
      <c r="E877" s="4">
        <v>60</v>
      </c>
      <c r="F877" s="4">
        <v>90</v>
      </c>
      <c r="G877" s="4"/>
      <c r="H877" s="4"/>
    </row>
    <row r="878" spans="1:8" x14ac:dyDescent="0.35">
      <c r="A878">
        <v>17</v>
      </c>
      <c r="B878">
        <v>45</v>
      </c>
      <c r="C878" t="s">
        <v>1049</v>
      </c>
      <c r="D878" s="4">
        <v>40</v>
      </c>
      <c r="E878" s="4">
        <v>50</v>
      </c>
      <c r="F878" s="4">
        <v>90</v>
      </c>
      <c r="G878" s="4"/>
      <c r="H878" s="4"/>
    </row>
    <row r="879" spans="1:8" x14ac:dyDescent="0.35">
      <c r="A879">
        <v>17</v>
      </c>
      <c r="B879">
        <v>46</v>
      </c>
      <c r="C879" t="s">
        <v>1050</v>
      </c>
      <c r="D879" s="4">
        <v>20</v>
      </c>
      <c r="E879" s="4">
        <v>30</v>
      </c>
      <c r="F879" s="4">
        <v>70</v>
      </c>
      <c r="G879" s="4"/>
      <c r="H879" s="4"/>
    </row>
    <row r="880" spans="1:8" x14ac:dyDescent="0.35">
      <c r="A880">
        <v>17</v>
      </c>
      <c r="B880">
        <v>47</v>
      </c>
      <c r="C880" t="s">
        <v>1051</v>
      </c>
      <c r="D880" s="4">
        <v>5</v>
      </c>
      <c r="E880" s="4">
        <v>15</v>
      </c>
      <c r="F880" s="4">
        <v>60</v>
      </c>
      <c r="G880" s="4"/>
      <c r="H880" s="4"/>
    </row>
    <row r="881" spans="1:8" x14ac:dyDescent="0.35">
      <c r="A881">
        <v>17</v>
      </c>
      <c r="B881">
        <v>48</v>
      </c>
      <c r="C881" t="s">
        <v>1052</v>
      </c>
      <c r="D881" s="4">
        <v>30</v>
      </c>
      <c r="E881" s="4">
        <v>40</v>
      </c>
      <c r="F881" s="4">
        <v>90</v>
      </c>
      <c r="G881" s="4"/>
      <c r="H881" s="4"/>
    </row>
    <row r="882" spans="1:8" x14ac:dyDescent="0.35">
      <c r="A882">
        <v>17</v>
      </c>
      <c r="B882">
        <v>49</v>
      </c>
      <c r="C882" t="s">
        <v>1053</v>
      </c>
      <c r="D882" s="4">
        <v>20</v>
      </c>
      <c r="E882" s="4">
        <v>30</v>
      </c>
      <c r="F882" s="4">
        <v>70</v>
      </c>
      <c r="G882" s="4"/>
      <c r="H882" s="4"/>
    </row>
    <row r="883" spans="1:8" x14ac:dyDescent="0.35">
      <c r="A883">
        <v>17</v>
      </c>
      <c r="B883">
        <v>50</v>
      </c>
      <c r="C883" t="s">
        <v>1054</v>
      </c>
      <c r="D883" s="4">
        <v>10</v>
      </c>
      <c r="E883" s="4">
        <v>20</v>
      </c>
      <c r="F883" s="4">
        <v>60</v>
      </c>
      <c r="G883" s="4"/>
      <c r="H883" s="4"/>
    </row>
    <row r="884" spans="1:8" x14ac:dyDescent="0.35">
      <c r="A884">
        <v>17</v>
      </c>
      <c r="B884">
        <v>51</v>
      </c>
      <c r="C884" t="s">
        <v>1055</v>
      </c>
      <c r="D884" s="4">
        <v>1</v>
      </c>
      <c r="E884" s="4">
        <v>5</v>
      </c>
      <c r="F884" s="4">
        <v>50</v>
      </c>
      <c r="G884" s="4"/>
      <c r="H884" s="4"/>
    </row>
    <row r="885" spans="1:8" x14ac:dyDescent="0.35">
      <c r="A885">
        <v>17</v>
      </c>
      <c r="B885">
        <v>52</v>
      </c>
      <c r="C885" t="s">
        <v>1056</v>
      </c>
      <c r="D885" s="4">
        <v>1</v>
      </c>
      <c r="E885" s="4">
        <v>5</v>
      </c>
      <c r="F885" s="4">
        <v>50</v>
      </c>
      <c r="G885" s="4"/>
      <c r="H885" s="4"/>
    </row>
    <row r="886" spans="1:8" x14ac:dyDescent="0.35">
      <c r="A886">
        <v>18</v>
      </c>
      <c r="B886">
        <v>1</v>
      </c>
      <c r="C886" t="s">
        <v>318</v>
      </c>
      <c r="D886" s="4">
        <v>5664</v>
      </c>
      <c r="E886" s="4">
        <v>5864</v>
      </c>
      <c r="F886" s="4">
        <v>5964</v>
      </c>
      <c r="G886" s="4"/>
      <c r="H886" s="4"/>
    </row>
    <row r="887" spans="1:8" x14ac:dyDescent="0.35">
      <c r="A887">
        <v>18</v>
      </c>
      <c r="B887">
        <v>2</v>
      </c>
      <c r="C887" t="s">
        <v>319</v>
      </c>
      <c r="D887" s="4">
        <v>2000000</v>
      </c>
      <c r="E887" s="4">
        <v>3000000</v>
      </c>
      <c r="F887" s="4">
        <v>4000000</v>
      </c>
      <c r="G887" s="4"/>
      <c r="H887" s="4"/>
    </row>
    <row r="888" spans="1:8" x14ac:dyDescent="0.35">
      <c r="A888">
        <v>18</v>
      </c>
      <c r="B888">
        <v>3</v>
      </c>
      <c r="C888" t="s">
        <v>320</v>
      </c>
      <c r="D888" s="4">
        <v>25</v>
      </c>
      <c r="E888" s="4">
        <v>75</v>
      </c>
      <c r="F888" s="4">
        <v>80</v>
      </c>
      <c r="G888" s="4"/>
      <c r="H888" s="4"/>
    </row>
    <row r="889" spans="1:8" x14ac:dyDescent="0.35">
      <c r="A889">
        <v>18</v>
      </c>
      <c r="B889">
        <v>4</v>
      </c>
      <c r="C889" t="s">
        <v>321</v>
      </c>
      <c r="D889" s="4">
        <v>500</v>
      </c>
      <c r="E889" s="4">
        <v>2000</v>
      </c>
      <c r="F889" s="4">
        <v>9000</v>
      </c>
      <c r="G889" s="4"/>
      <c r="H889" s="4"/>
    </row>
    <row r="890" spans="1:8" x14ac:dyDescent="0.35">
      <c r="A890">
        <v>18</v>
      </c>
      <c r="B890">
        <v>5</v>
      </c>
      <c r="C890" t="s">
        <v>322</v>
      </c>
      <c r="D890" s="4">
        <v>0.5</v>
      </c>
      <c r="E890" s="4">
        <v>7</v>
      </c>
      <c r="F890" s="4">
        <v>60</v>
      </c>
      <c r="G890" s="4"/>
      <c r="H890" s="4"/>
    </row>
    <row r="891" spans="1:8" x14ac:dyDescent="0.35">
      <c r="A891">
        <v>18</v>
      </c>
      <c r="B891">
        <v>6</v>
      </c>
      <c r="C891" t="s">
        <v>323</v>
      </c>
      <c r="D891" s="4">
        <v>2</v>
      </c>
      <c r="E891" s="4">
        <v>400</v>
      </c>
      <c r="F891" s="4">
        <v>4000</v>
      </c>
      <c r="G891" s="4"/>
      <c r="H891" s="4"/>
    </row>
    <row r="892" spans="1:8" x14ac:dyDescent="0.35">
      <c r="A892">
        <v>18</v>
      </c>
      <c r="B892">
        <v>7</v>
      </c>
      <c r="C892" t="s">
        <v>324</v>
      </c>
      <c r="D892" s="4">
        <v>110</v>
      </c>
      <c r="E892" s="4">
        <v>195</v>
      </c>
      <c r="F892" s="4">
        <v>210</v>
      </c>
      <c r="G892" s="4"/>
      <c r="H892" s="4"/>
    </row>
    <row r="893" spans="1:8" x14ac:dyDescent="0.35">
      <c r="A893">
        <v>18</v>
      </c>
      <c r="B893">
        <v>8</v>
      </c>
      <c r="C893" t="s">
        <v>325</v>
      </c>
      <c r="D893" s="4">
        <v>50</v>
      </c>
      <c r="E893" s="4">
        <v>75</v>
      </c>
      <c r="F893" s="4">
        <v>90</v>
      </c>
      <c r="G893" s="4"/>
      <c r="H893" s="4"/>
    </row>
    <row r="894" spans="1:8" x14ac:dyDescent="0.35">
      <c r="A894">
        <v>18</v>
      </c>
      <c r="B894">
        <v>9</v>
      </c>
      <c r="C894" t="s">
        <v>326</v>
      </c>
      <c r="D894" s="4">
        <v>7</v>
      </c>
      <c r="E894" s="4">
        <v>12</v>
      </c>
      <c r="F894" s="4">
        <v>60</v>
      </c>
      <c r="G894" s="4"/>
      <c r="H894" s="4"/>
    </row>
    <row r="895" spans="1:8" x14ac:dyDescent="0.35">
      <c r="A895">
        <v>18</v>
      </c>
      <c r="B895">
        <v>10</v>
      </c>
      <c r="C895" t="s">
        <v>327</v>
      </c>
      <c r="D895" s="4">
        <v>5000000</v>
      </c>
      <c r="E895" s="4">
        <v>12000000</v>
      </c>
      <c r="F895" s="4">
        <v>25000000</v>
      </c>
      <c r="G895" s="4"/>
      <c r="H895" s="4"/>
    </row>
    <row r="896" spans="1:8" x14ac:dyDescent="0.35">
      <c r="A896">
        <v>18</v>
      </c>
      <c r="B896">
        <v>11</v>
      </c>
      <c r="C896" t="s">
        <v>328</v>
      </c>
      <c r="D896" s="4">
        <v>55</v>
      </c>
      <c r="E896" s="4">
        <v>66</v>
      </c>
      <c r="F896" s="4">
        <v>70</v>
      </c>
      <c r="G896" s="4"/>
      <c r="H896" s="4"/>
    </row>
    <row r="897" spans="1:8" x14ac:dyDescent="0.35">
      <c r="A897">
        <v>18</v>
      </c>
      <c r="B897">
        <v>12</v>
      </c>
      <c r="C897" t="s">
        <v>329</v>
      </c>
      <c r="D897" s="4">
        <v>3</v>
      </c>
      <c r="E897" s="4">
        <v>10</v>
      </c>
      <c r="F897" s="4">
        <v>100</v>
      </c>
      <c r="G897" s="4"/>
      <c r="H897" s="4"/>
    </row>
    <row r="898" spans="1:8" x14ac:dyDescent="0.35">
      <c r="A898">
        <v>18</v>
      </c>
      <c r="B898">
        <v>13</v>
      </c>
      <c r="C898" t="s">
        <v>330</v>
      </c>
      <c r="D898" s="4">
        <v>1</v>
      </c>
      <c r="E898" s="4">
        <v>25</v>
      </c>
      <c r="F898" s="4">
        <v>75</v>
      </c>
      <c r="G898" s="4"/>
      <c r="H898" s="4"/>
    </row>
    <row r="899" spans="1:8" x14ac:dyDescent="0.35">
      <c r="A899">
        <v>18</v>
      </c>
      <c r="B899">
        <v>14</v>
      </c>
      <c r="C899" t="s">
        <v>1018</v>
      </c>
      <c r="D899" s="4">
        <v>0</v>
      </c>
      <c r="E899" s="4">
        <v>10</v>
      </c>
      <c r="F899" s="4">
        <v>90</v>
      </c>
      <c r="G899" s="4"/>
      <c r="H899" s="4"/>
    </row>
    <row r="900" spans="1:8" x14ac:dyDescent="0.35">
      <c r="A900">
        <v>18</v>
      </c>
      <c r="B900">
        <v>15</v>
      </c>
      <c r="C900" t="s">
        <v>1019</v>
      </c>
      <c r="D900" s="4">
        <v>0</v>
      </c>
      <c r="E900" s="4">
        <v>70</v>
      </c>
      <c r="F900" s="4">
        <v>100</v>
      </c>
      <c r="G900" s="4"/>
      <c r="H900" s="4"/>
    </row>
    <row r="901" spans="1:8" x14ac:dyDescent="0.35">
      <c r="A901">
        <v>18</v>
      </c>
      <c r="B901">
        <v>16</v>
      </c>
      <c r="C901" t="s">
        <v>1020</v>
      </c>
      <c r="D901" s="4">
        <v>0</v>
      </c>
      <c r="E901" s="4">
        <v>10</v>
      </c>
      <c r="F901" s="4">
        <v>90</v>
      </c>
      <c r="G901" s="4"/>
      <c r="H901" s="4"/>
    </row>
    <row r="902" spans="1:8" x14ac:dyDescent="0.35">
      <c r="A902">
        <v>18</v>
      </c>
      <c r="B902">
        <v>17</v>
      </c>
      <c r="C902" t="s">
        <v>1021</v>
      </c>
      <c r="D902" s="4">
        <v>0</v>
      </c>
      <c r="E902" s="4">
        <v>10</v>
      </c>
      <c r="F902" s="4">
        <v>80</v>
      </c>
      <c r="H902" s="4"/>
    </row>
    <row r="903" spans="1:8" x14ac:dyDescent="0.35">
      <c r="A903">
        <v>18</v>
      </c>
      <c r="B903">
        <v>18</v>
      </c>
      <c r="C903" t="s">
        <v>1022</v>
      </c>
      <c r="D903" s="4">
        <v>10</v>
      </c>
      <c r="E903" s="4">
        <v>30</v>
      </c>
      <c r="F903" s="4">
        <v>80</v>
      </c>
      <c r="G903" s="4"/>
      <c r="H903" s="4"/>
    </row>
    <row r="904" spans="1:8" x14ac:dyDescent="0.35">
      <c r="A904">
        <v>18</v>
      </c>
      <c r="B904">
        <v>19</v>
      </c>
      <c r="C904" t="s">
        <v>1023</v>
      </c>
      <c r="D904" s="4">
        <v>10</v>
      </c>
      <c r="E904" s="4">
        <v>30</v>
      </c>
      <c r="F904" s="4">
        <v>80</v>
      </c>
      <c r="G904" s="4"/>
      <c r="H904" s="4"/>
    </row>
    <row r="905" spans="1:8" x14ac:dyDescent="0.35">
      <c r="A905">
        <v>18</v>
      </c>
      <c r="B905">
        <v>20</v>
      </c>
      <c r="C905" t="s">
        <v>1024</v>
      </c>
      <c r="D905" s="4">
        <v>30</v>
      </c>
      <c r="E905" s="4">
        <v>70</v>
      </c>
      <c r="F905" s="4">
        <v>90</v>
      </c>
      <c r="G905" s="4"/>
      <c r="H905" s="4"/>
    </row>
    <row r="906" spans="1:8" x14ac:dyDescent="0.35">
      <c r="A906">
        <v>18</v>
      </c>
      <c r="B906">
        <v>21</v>
      </c>
      <c r="C906" t="s">
        <v>1025</v>
      </c>
      <c r="D906" s="4">
        <v>40</v>
      </c>
      <c r="E906" s="4">
        <v>80</v>
      </c>
      <c r="F906" s="4">
        <v>90</v>
      </c>
      <c r="G906" s="4"/>
      <c r="H906" s="4"/>
    </row>
    <row r="907" spans="1:8" x14ac:dyDescent="0.35">
      <c r="A907">
        <v>18</v>
      </c>
      <c r="B907">
        <v>22</v>
      </c>
      <c r="C907" t="s">
        <v>1026</v>
      </c>
      <c r="D907" s="4">
        <v>2</v>
      </c>
      <c r="E907" s="4">
        <v>20</v>
      </c>
      <c r="F907" s="4">
        <v>90</v>
      </c>
      <c r="G907" s="4"/>
      <c r="H907" s="4"/>
    </row>
    <row r="908" spans="1:8" x14ac:dyDescent="0.35">
      <c r="A908">
        <v>18</v>
      </c>
      <c r="B908">
        <v>23</v>
      </c>
      <c r="C908" t="s">
        <v>1027</v>
      </c>
      <c r="D908" s="4">
        <v>1</v>
      </c>
      <c r="E908" s="4">
        <v>5</v>
      </c>
      <c r="F908" s="4">
        <v>80</v>
      </c>
      <c r="G908" s="4"/>
      <c r="H908" s="4"/>
    </row>
    <row r="909" spans="1:8" x14ac:dyDescent="0.35">
      <c r="A909">
        <v>18</v>
      </c>
      <c r="B909">
        <v>24</v>
      </c>
      <c r="C909" t="s">
        <v>1028</v>
      </c>
      <c r="D909" s="4">
        <v>5</v>
      </c>
      <c r="E909" s="4">
        <v>20</v>
      </c>
      <c r="F909" s="4">
        <v>120</v>
      </c>
      <c r="G909" s="4"/>
      <c r="H909" s="4"/>
    </row>
    <row r="910" spans="1:8" x14ac:dyDescent="0.35">
      <c r="A910">
        <v>18</v>
      </c>
      <c r="B910">
        <v>25</v>
      </c>
      <c r="C910" t="s">
        <v>1029</v>
      </c>
      <c r="D910" s="4">
        <v>1</v>
      </c>
      <c r="E910" s="4">
        <v>30000000</v>
      </c>
      <c r="F910" s="4">
        <v>100000000</v>
      </c>
      <c r="G910" s="4"/>
      <c r="H910" s="4"/>
    </row>
    <row r="911" spans="1:8" x14ac:dyDescent="0.35">
      <c r="A911">
        <v>18</v>
      </c>
      <c r="B911">
        <v>26</v>
      </c>
      <c r="C911" t="s">
        <v>1030</v>
      </c>
      <c r="D911" s="4">
        <v>800</v>
      </c>
      <c r="E911" s="4">
        <v>1500</v>
      </c>
      <c r="F911" s="4">
        <v>12000</v>
      </c>
      <c r="G911" s="4"/>
      <c r="H911" s="4"/>
    </row>
    <row r="912" spans="1:8" x14ac:dyDescent="0.35">
      <c r="A912">
        <v>18</v>
      </c>
      <c r="B912">
        <v>27</v>
      </c>
      <c r="C912" t="s">
        <v>1031</v>
      </c>
      <c r="D912" s="4">
        <v>10</v>
      </c>
      <c r="E912" s="4">
        <v>15</v>
      </c>
      <c r="F912" s="4">
        <v>120</v>
      </c>
      <c r="G912" s="4"/>
      <c r="H912" s="4"/>
    </row>
    <row r="913" spans="1:8" x14ac:dyDescent="0.35">
      <c r="A913">
        <v>18</v>
      </c>
      <c r="B913">
        <v>28</v>
      </c>
      <c r="C913" t="s">
        <v>1032</v>
      </c>
      <c r="D913" s="4">
        <v>2</v>
      </c>
      <c r="E913" s="4">
        <v>112000000</v>
      </c>
      <c r="F913" s="4">
        <v>1800000000000</v>
      </c>
      <c r="G913" s="4"/>
      <c r="H913" s="4"/>
    </row>
    <row r="914" spans="1:8" x14ac:dyDescent="0.35">
      <c r="A914">
        <v>18</v>
      </c>
      <c r="B914">
        <v>29</v>
      </c>
      <c r="C914" t="s">
        <v>1033</v>
      </c>
      <c r="D914" s="4">
        <v>1000</v>
      </c>
      <c r="E914" s="4">
        <v>20000</v>
      </c>
      <c r="F914" s="4">
        <v>40000</v>
      </c>
      <c r="G914" s="4"/>
      <c r="H914" s="4"/>
    </row>
    <row r="915" spans="1:8" x14ac:dyDescent="0.35">
      <c r="A915">
        <v>18</v>
      </c>
      <c r="B915">
        <v>30</v>
      </c>
      <c r="C915" t="s">
        <v>1034</v>
      </c>
      <c r="D915" s="4">
        <v>10</v>
      </c>
      <c r="E915" s="4">
        <v>60</v>
      </c>
      <c r="F915" s="4">
        <v>120</v>
      </c>
      <c r="G915" s="4"/>
      <c r="H915" s="4"/>
    </row>
    <row r="916" spans="1:8" x14ac:dyDescent="0.35">
      <c r="A916">
        <v>18</v>
      </c>
      <c r="B916">
        <v>31</v>
      </c>
      <c r="C916" t="s">
        <v>1035</v>
      </c>
      <c r="D916" s="4">
        <v>1</v>
      </c>
      <c r="E916" s="4">
        <v>1200000000</v>
      </c>
      <c r="F916" s="4">
        <v>10000000000</v>
      </c>
      <c r="G916" s="4"/>
      <c r="H916" s="4"/>
    </row>
    <row r="917" spans="1:8" x14ac:dyDescent="0.35">
      <c r="A917">
        <v>18</v>
      </c>
      <c r="B917">
        <v>32</v>
      </c>
      <c r="C917" t="s">
        <v>1036</v>
      </c>
      <c r="D917" s="4">
        <v>1000</v>
      </c>
      <c r="E917" s="4">
        <v>9300</v>
      </c>
      <c r="F917" s="4">
        <v>10000</v>
      </c>
      <c r="G917" s="4"/>
      <c r="H917" s="4"/>
    </row>
    <row r="918" spans="1:8" x14ac:dyDescent="0.35">
      <c r="A918">
        <v>18</v>
      </c>
      <c r="B918">
        <v>33</v>
      </c>
      <c r="C918" t="s">
        <v>1037</v>
      </c>
      <c r="D918" s="4">
        <v>20</v>
      </c>
      <c r="E918" s="4">
        <v>60</v>
      </c>
      <c r="F918" s="4">
        <v>120</v>
      </c>
      <c r="G918" s="4"/>
      <c r="H918" s="4"/>
    </row>
    <row r="919" spans="1:8" x14ac:dyDescent="0.35">
      <c r="A919">
        <v>18</v>
      </c>
      <c r="B919">
        <v>34</v>
      </c>
      <c r="C919" t="s">
        <v>1038</v>
      </c>
      <c r="D919" s="4">
        <v>27000000</v>
      </c>
      <c r="E919" s="4">
        <v>28000000</v>
      </c>
      <c r="F919" s="4">
        <v>108000000</v>
      </c>
      <c r="G919" s="4"/>
      <c r="H919" s="4"/>
    </row>
    <row r="920" spans="1:8" x14ac:dyDescent="0.35">
      <c r="A920">
        <v>18</v>
      </c>
      <c r="B920">
        <v>35</v>
      </c>
      <c r="C920" t="s">
        <v>1039</v>
      </c>
      <c r="D920" s="4">
        <v>10000</v>
      </c>
      <c r="E920" s="4">
        <v>27000</v>
      </c>
      <c r="F920" s="4">
        <v>30000</v>
      </c>
      <c r="G920" s="4"/>
      <c r="H920" s="4"/>
    </row>
    <row r="921" spans="1:8" x14ac:dyDescent="0.35">
      <c r="A921">
        <v>18</v>
      </c>
      <c r="B921">
        <v>36</v>
      </c>
      <c r="C921" t="s">
        <v>1040</v>
      </c>
      <c r="D921" s="4">
        <v>10</v>
      </c>
      <c r="E921" s="4">
        <v>30</v>
      </c>
      <c r="F921" s="4">
        <v>60</v>
      </c>
      <c r="G921" s="4"/>
      <c r="H921" s="4"/>
    </row>
    <row r="922" spans="1:8" x14ac:dyDescent="0.35">
      <c r="A922">
        <v>18</v>
      </c>
      <c r="B922">
        <v>37</v>
      </c>
      <c r="C922" t="s">
        <v>1041</v>
      </c>
      <c r="D922" s="4">
        <v>27000000</v>
      </c>
      <c r="E922" s="4">
        <v>28000000</v>
      </c>
      <c r="F922" s="4">
        <v>108000000</v>
      </c>
      <c r="G922" s="4"/>
      <c r="H922" s="4"/>
    </row>
    <row r="923" spans="1:8" x14ac:dyDescent="0.35">
      <c r="A923">
        <v>18</v>
      </c>
      <c r="B923">
        <v>38</v>
      </c>
      <c r="C923" t="s">
        <v>1042</v>
      </c>
      <c r="D923" s="4">
        <v>20000</v>
      </c>
      <c r="E923" s="4">
        <v>27000</v>
      </c>
      <c r="F923" s="4">
        <v>29000</v>
      </c>
      <c r="G923" s="4"/>
      <c r="H923" s="4"/>
    </row>
    <row r="924" spans="1:8" x14ac:dyDescent="0.35">
      <c r="A924">
        <v>18</v>
      </c>
      <c r="B924">
        <v>39</v>
      </c>
      <c r="C924" t="s">
        <v>1043</v>
      </c>
      <c r="D924" s="4">
        <v>10</v>
      </c>
      <c r="E924" s="4">
        <v>30</v>
      </c>
      <c r="F924" s="4">
        <v>60</v>
      </c>
      <c r="G924" s="4"/>
      <c r="H924" s="4"/>
    </row>
    <row r="925" spans="1:8" x14ac:dyDescent="0.35">
      <c r="A925">
        <v>18</v>
      </c>
      <c r="B925">
        <v>40</v>
      </c>
      <c r="C925" t="s">
        <v>1044</v>
      </c>
      <c r="D925" s="4">
        <v>13500000</v>
      </c>
      <c r="E925" s="4">
        <v>27000000</v>
      </c>
      <c r="F925" s="4">
        <v>108000000</v>
      </c>
      <c r="G925" s="4"/>
      <c r="H925" s="4"/>
    </row>
    <row r="926" spans="1:8" x14ac:dyDescent="0.35">
      <c r="A926">
        <v>18</v>
      </c>
      <c r="B926">
        <v>41</v>
      </c>
      <c r="C926" t="s">
        <v>1045</v>
      </c>
      <c r="D926" s="4">
        <v>20000</v>
      </c>
      <c r="E926" s="4">
        <v>29000</v>
      </c>
      <c r="F926" s="4">
        <v>30000</v>
      </c>
      <c r="G926" s="4"/>
      <c r="H926" s="4"/>
    </row>
    <row r="927" spans="1:8" x14ac:dyDescent="0.35">
      <c r="A927">
        <v>18</v>
      </c>
      <c r="B927">
        <v>42</v>
      </c>
      <c r="C927" t="s">
        <v>1046</v>
      </c>
      <c r="D927" s="4">
        <v>1</v>
      </c>
      <c r="E927" s="4">
        <v>21</v>
      </c>
      <c r="F927" s="4">
        <v>90</v>
      </c>
      <c r="G927" s="4"/>
      <c r="H927" s="4"/>
    </row>
    <row r="928" spans="1:8" x14ac:dyDescent="0.35">
      <c r="A928">
        <v>18</v>
      </c>
      <c r="B928">
        <v>43</v>
      </c>
      <c r="C928" t="s">
        <v>1047</v>
      </c>
      <c r="D928" s="4">
        <v>0</v>
      </c>
      <c r="E928" s="4">
        <v>10</v>
      </c>
      <c r="F928" s="4">
        <v>90</v>
      </c>
      <c r="G928" s="4"/>
      <c r="H928" s="4"/>
    </row>
    <row r="929" spans="1:8" x14ac:dyDescent="0.35">
      <c r="A929">
        <v>18</v>
      </c>
      <c r="B929">
        <v>44</v>
      </c>
      <c r="C929" t="s">
        <v>1048</v>
      </c>
      <c r="D929" s="4">
        <v>20</v>
      </c>
      <c r="E929" s="4">
        <v>80</v>
      </c>
      <c r="F929" s="4">
        <v>100</v>
      </c>
      <c r="G929" s="4"/>
      <c r="H929" s="4"/>
    </row>
    <row r="930" spans="1:8" x14ac:dyDescent="0.35">
      <c r="A930">
        <v>18</v>
      </c>
      <c r="B930">
        <v>45</v>
      </c>
      <c r="C930" t="s">
        <v>1049</v>
      </c>
      <c r="D930" s="4">
        <v>0</v>
      </c>
      <c r="E930" s="4">
        <v>10</v>
      </c>
      <c r="F930" s="4">
        <v>90</v>
      </c>
      <c r="G930" s="4"/>
      <c r="H930" s="4"/>
    </row>
    <row r="931" spans="1:8" x14ac:dyDescent="0.35">
      <c r="A931">
        <v>18</v>
      </c>
      <c r="B931">
        <v>46</v>
      </c>
      <c r="C931" t="s">
        <v>1050</v>
      </c>
      <c r="D931" s="4">
        <v>0</v>
      </c>
      <c r="E931" s="4">
        <v>10</v>
      </c>
      <c r="F931" s="4">
        <v>90</v>
      </c>
      <c r="G931" s="4"/>
      <c r="H931" s="4"/>
    </row>
    <row r="932" spans="1:8" x14ac:dyDescent="0.35">
      <c r="A932">
        <v>18</v>
      </c>
      <c r="B932">
        <v>47</v>
      </c>
      <c r="C932" t="s">
        <v>1051</v>
      </c>
      <c r="D932" s="4">
        <v>0</v>
      </c>
      <c r="E932" s="4">
        <v>30</v>
      </c>
      <c r="F932" s="4">
        <v>90</v>
      </c>
      <c r="G932" s="4"/>
      <c r="H932" s="4"/>
    </row>
    <row r="933" spans="1:8" x14ac:dyDescent="0.35">
      <c r="A933">
        <v>18</v>
      </c>
      <c r="B933">
        <v>48</v>
      </c>
      <c r="C933" t="s">
        <v>1052</v>
      </c>
      <c r="D933" s="4">
        <v>0</v>
      </c>
      <c r="E933" s="4">
        <v>40</v>
      </c>
      <c r="F933" s="4">
        <v>90</v>
      </c>
      <c r="G933" s="4"/>
      <c r="H933" s="4"/>
    </row>
    <row r="934" spans="1:8" x14ac:dyDescent="0.35">
      <c r="A934">
        <v>18</v>
      </c>
      <c r="B934">
        <v>49</v>
      </c>
      <c r="C934" t="s">
        <v>1053</v>
      </c>
      <c r="D934" s="4">
        <v>0</v>
      </c>
      <c r="E934" s="4">
        <v>50</v>
      </c>
      <c r="F934" s="4">
        <v>90</v>
      </c>
      <c r="G934" s="4"/>
      <c r="H934" s="4"/>
    </row>
    <row r="935" spans="1:8" x14ac:dyDescent="0.35">
      <c r="A935">
        <v>18</v>
      </c>
      <c r="B935">
        <v>50</v>
      </c>
      <c r="C935" t="s">
        <v>1054</v>
      </c>
      <c r="D935" s="4">
        <v>0</v>
      </c>
      <c r="E935" s="4">
        <v>70</v>
      </c>
      <c r="F935" s="4">
        <v>100</v>
      </c>
      <c r="G935" s="4"/>
      <c r="H935" s="4"/>
    </row>
    <row r="936" spans="1:8" x14ac:dyDescent="0.35">
      <c r="A936">
        <v>18</v>
      </c>
      <c r="B936">
        <v>51</v>
      </c>
      <c r="C936" t="s">
        <v>1055</v>
      </c>
      <c r="D936" s="4">
        <v>0</v>
      </c>
      <c r="E936" s="4">
        <v>40</v>
      </c>
      <c r="F936" s="4">
        <v>90</v>
      </c>
      <c r="G936" s="4"/>
      <c r="H936" s="4"/>
    </row>
    <row r="937" spans="1:8" x14ac:dyDescent="0.35">
      <c r="A937">
        <v>18</v>
      </c>
      <c r="B937">
        <v>52</v>
      </c>
      <c r="C937" t="s">
        <v>1056</v>
      </c>
      <c r="D937" s="4">
        <v>0</v>
      </c>
      <c r="E937" s="4">
        <v>40</v>
      </c>
      <c r="F937" s="4">
        <v>80</v>
      </c>
      <c r="G937" s="4"/>
      <c r="H937" s="4"/>
    </row>
    <row r="938" spans="1:8" x14ac:dyDescent="0.35">
      <c r="A938">
        <v>19</v>
      </c>
      <c r="B938">
        <v>1</v>
      </c>
      <c r="C938" t="s">
        <v>318</v>
      </c>
      <c r="D938" s="4">
        <v>5750</v>
      </c>
      <c r="E938" s="4">
        <v>5850</v>
      </c>
      <c r="F938" s="4">
        <v>5900</v>
      </c>
      <c r="G938" s="4"/>
      <c r="H938" s="4"/>
    </row>
    <row r="939" spans="1:8" x14ac:dyDescent="0.35">
      <c r="A939">
        <v>19</v>
      </c>
      <c r="B939">
        <v>2</v>
      </c>
      <c r="C939" t="s">
        <v>319</v>
      </c>
      <c r="D939" s="4">
        <v>2000000</v>
      </c>
      <c r="E939" s="4">
        <v>3000000</v>
      </c>
      <c r="F939" s="4">
        <v>3500000</v>
      </c>
      <c r="G939" s="4"/>
      <c r="H939" s="4"/>
    </row>
    <row r="940" spans="1:8" x14ac:dyDescent="0.35">
      <c r="A940">
        <v>19</v>
      </c>
      <c r="B940">
        <v>3</v>
      </c>
      <c r="C940" t="s">
        <v>320</v>
      </c>
      <c r="D940" s="4">
        <v>25</v>
      </c>
      <c r="E940" s="4">
        <v>40</v>
      </c>
      <c r="F940" s="4">
        <v>50</v>
      </c>
      <c r="G940" s="4"/>
      <c r="H940" s="4"/>
    </row>
    <row r="941" spans="1:8" x14ac:dyDescent="0.35">
      <c r="A941">
        <v>19</v>
      </c>
      <c r="B941">
        <v>4</v>
      </c>
      <c r="C941" t="s">
        <v>321</v>
      </c>
      <c r="D941" s="4">
        <v>4000</v>
      </c>
      <c r="E941" s="4">
        <v>6000</v>
      </c>
      <c r="F941" s="4">
        <v>7000</v>
      </c>
      <c r="G941" s="4"/>
      <c r="H941" s="4"/>
    </row>
    <row r="942" spans="1:8" x14ac:dyDescent="0.35">
      <c r="A942">
        <v>19</v>
      </c>
      <c r="B942">
        <v>5</v>
      </c>
      <c r="C942" t="s">
        <v>322</v>
      </c>
      <c r="D942" s="4">
        <v>5</v>
      </c>
      <c r="E942" s="4">
        <v>10</v>
      </c>
      <c r="F942" s="4">
        <v>20</v>
      </c>
      <c r="G942" s="4"/>
      <c r="H942" s="4"/>
    </row>
    <row r="943" spans="1:8" x14ac:dyDescent="0.35">
      <c r="A943">
        <v>19</v>
      </c>
      <c r="B943">
        <v>6</v>
      </c>
      <c r="C943" t="s">
        <v>323</v>
      </c>
      <c r="D943" s="4">
        <v>15</v>
      </c>
      <c r="E943" s="4">
        <v>30</v>
      </c>
      <c r="F943" s="4">
        <v>40</v>
      </c>
      <c r="G943" s="4"/>
      <c r="H943" s="4"/>
    </row>
    <row r="944" spans="1:8" x14ac:dyDescent="0.35">
      <c r="A944">
        <v>19</v>
      </c>
      <c r="B944">
        <v>7</v>
      </c>
      <c r="C944" t="s">
        <v>324</v>
      </c>
      <c r="D944" s="4">
        <v>225</v>
      </c>
      <c r="E944" s="4">
        <v>280</v>
      </c>
      <c r="F944" s="4">
        <v>315</v>
      </c>
      <c r="G944" s="4"/>
      <c r="H944" s="4"/>
    </row>
    <row r="945" spans="1:8" x14ac:dyDescent="0.35">
      <c r="A945">
        <v>19</v>
      </c>
      <c r="B945">
        <v>8</v>
      </c>
      <c r="C945" t="s">
        <v>325</v>
      </c>
      <c r="D945" s="4">
        <v>50</v>
      </c>
      <c r="E945" s="4">
        <v>65</v>
      </c>
      <c r="F945" s="4">
        <v>75</v>
      </c>
      <c r="G945" s="4"/>
      <c r="H945" s="4"/>
    </row>
    <row r="946" spans="1:8" x14ac:dyDescent="0.35">
      <c r="A946">
        <v>19</v>
      </c>
      <c r="B946">
        <v>9</v>
      </c>
      <c r="C946" t="s">
        <v>326</v>
      </c>
      <c r="D946" s="4">
        <v>20</v>
      </c>
      <c r="E946" s="4">
        <v>35</v>
      </c>
      <c r="F946" s="4">
        <v>45</v>
      </c>
      <c r="G946" s="4"/>
      <c r="H946" s="4"/>
    </row>
    <row r="947" spans="1:8" x14ac:dyDescent="0.35">
      <c r="A947">
        <v>19</v>
      </c>
      <c r="B947">
        <v>10</v>
      </c>
      <c r="C947" t="s">
        <v>327</v>
      </c>
      <c r="D947" s="4">
        <v>15000000</v>
      </c>
      <c r="E947" s="4">
        <v>30000000</v>
      </c>
      <c r="F947" s="4">
        <v>40000000</v>
      </c>
      <c r="G947" s="4"/>
      <c r="H947" s="4"/>
    </row>
    <row r="948" spans="1:8" x14ac:dyDescent="0.35">
      <c r="A948">
        <v>19</v>
      </c>
      <c r="B948">
        <v>11</v>
      </c>
      <c r="C948" t="s">
        <v>328</v>
      </c>
      <c r="D948" s="4">
        <v>15</v>
      </c>
      <c r="E948" s="4">
        <v>25</v>
      </c>
      <c r="F948" s="4">
        <v>30</v>
      </c>
      <c r="G948" s="4"/>
      <c r="H948" s="4"/>
    </row>
    <row r="949" spans="1:8" x14ac:dyDescent="0.35">
      <c r="A949">
        <v>19</v>
      </c>
      <c r="B949">
        <v>12</v>
      </c>
      <c r="C949" t="s">
        <v>329</v>
      </c>
      <c r="D949" s="4">
        <v>1000</v>
      </c>
      <c r="E949" s="4">
        <v>2000</v>
      </c>
      <c r="F949" s="4">
        <v>4000</v>
      </c>
      <c r="G949" s="4"/>
      <c r="H949" s="4"/>
    </row>
    <row r="950" spans="1:8" x14ac:dyDescent="0.35">
      <c r="A950">
        <v>19</v>
      </c>
      <c r="B950">
        <v>13</v>
      </c>
      <c r="C950" t="s">
        <v>330</v>
      </c>
      <c r="D950" s="4">
        <v>20</v>
      </c>
      <c r="E950" s="4">
        <v>30</v>
      </c>
      <c r="F950" s="4">
        <v>50</v>
      </c>
      <c r="G950" s="4"/>
      <c r="H950" s="4"/>
    </row>
    <row r="951" spans="1:8" x14ac:dyDescent="0.35">
      <c r="A951">
        <v>19</v>
      </c>
      <c r="B951">
        <v>14</v>
      </c>
      <c r="C951" t="s">
        <v>1018</v>
      </c>
      <c r="D951" s="4">
        <v>5</v>
      </c>
      <c r="E951" s="4">
        <v>10</v>
      </c>
      <c r="F951" s="4">
        <v>15</v>
      </c>
      <c r="G951" s="4"/>
      <c r="H951" s="4"/>
    </row>
    <row r="952" spans="1:8" x14ac:dyDescent="0.35">
      <c r="A952">
        <v>19</v>
      </c>
      <c r="B952">
        <v>15</v>
      </c>
      <c r="C952" t="s">
        <v>1019</v>
      </c>
      <c r="D952" s="4">
        <v>85</v>
      </c>
      <c r="E952" s="4">
        <v>90</v>
      </c>
      <c r="F952" s="4">
        <v>95</v>
      </c>
      <c r="G952" s="4"/>
      <c r="H952" s="4"/>
    </row>
    <row r="953" spans="1:8" x14ac:dyDescent="0.35">
      <c r="A953">
        <v>19</v>
      </c>
      <c r="B953">
        <v>16</v>
      </c>
      <c r="C953" t="s">
        <v>1020</v>
      </c>
      <c r="D953" s="4">
        <v>40</v>
      </c>
      <c r="E953" s="4">
        <v>60</v>
      </c>
      <c r="F953" s="4">
        <v>65</v>
      </c>
      <c r="G953" s="4"/>
      <c r="H953" s="4"/>
    </row>
    <row r="954" spans="1:8" x14ac:dyDescent="0.35">
      <c r="A954">
        <v>19</v>
      </c>
      <c r="B954">
        <v>17</v>
      </c>
      <c r="C954" t="s">
        <v>1021</v>
      </c>
      <c r="D954" s="4">
        <v>20</v>
      </c>
      <c r="E954" s="4">
        <v>30</v>
      </c>
      <c r="F954" s="4">
        <v>40</v>
      </c>
      <c r="H954" s="4"/>
    </row>
    <row r="955" spans="1:8" x14ac:dyDescent="0.35">
      <c r="A955">
        <v>19</v>
      </c>
      <c r="B955">
        <v>18</v>
      </c>
      <c r="C955" t="s">
        <v>1022</v>
      </c>
      <c r="D955" s="4">
        <v>5</v>
      </c>
      <c r="E955" s="4">
        <v>10</v>
      </c>
      <c r="F955" s="4">
        <v>15</v>
      </c>
      <c r="G955" s="4"/>
      <c r="H955" s="4"/>
    </row>
    <row r="956" spans="1:8" x14ac:dyDescent="0.35">
      <c r="A956">
        <v>19</v>
      </c>
      <c r="B956">
        <v>19</v>
      </c>
      <c r="C956" t="s">
        <v>1023</v>
      </c>
      <c r="D956" s="4">
        <v>30</v>
      </c>
      <c r="E956" s="4">
        <v>40</v>
      </c>
      <c r="F956" s="4">
        <v>50</v>
      </c>
      <c r="G956" s="4"/>
      <c r="H956" s="4"/>
    </row>
    <row r="957" spans="1:8" x14ac:dyDescent="0.35">
      <c r="A957">
        <v>19</v>
      </c>
      <c r="B957">
        <v>20</v>
      </c>
      <c r="C957" t="s">
        <v>1024</v>
      </c>
      <c r="D957" s="4">
        <v>20</v>
      </c>
      <c r="E957" s="4">
        <v>30</v>
      </c>
      <c r="F957" s="4">
        <v>35</v>
      </c>
      <c r="G957" s="4"/>
      <c r="H957" s="4"/>
    </row>
    <row r="958" spans="1:8" x14ac:dyDescent="0.35">
      <c r="A958">
        <v>19</v>
      </c>
      <c r="B958">
        <v>21</v>
      </c>
      <c r="C958" t="s">
        <v>1025</v>
      </c>
      <c r="D958" s="4">
        <v>15</v>
      </c>
      <c r="E958" s="4">
        <v>20</v>
      </c>
      <c r="F958" s="4">
        <v>30</v>
      </c>
      <c r="G958" s="4"/>
      <c r="H958" s="4"/>
    </row>
    <row r="959" spans="1:8" x14ac:dyDescent="0.35">
      <c r="A959">
        <v>19</v>
      </c>
      <c r="B959">
        <v>22</v>
      </c>
      <c r="C959" t="s">
        <v>1026</v>
      </c>
      <c r="D959" s="4">
        <v>0</v>
      </c>
      <c r="E959" s="4">
        <v>5</v>
      </c>
      <c r="F959" s="4">
        <v>15</v>
      </c>
      <c r="G959" s="4"/>
      <c r="H959" s="4"/>
    </row>
    <row r="960" spans="1:8" x14ac:dyDescent="0.35">
      <c r="A960">
        <v>19</v>
      </c>
      <c r="B960">
        <v>23</v>
      </c>
      <c r="C960" t="s">
        <v>1027</v>
      </c>
      <c r="D960" s="4">
        <v>0</v>
      </c>
      <c r="E960" s="4">
        <v>5</v>
      </c>
      <c r="F960" s="4">
        <v>10</v>
      </c>
      <c r="G960" s="4"/>
      <c r="H960" s="4"/>
    </row>
    <row r="961" spans="1:8" x14ac:dyDescent="0.35">
      <c r="A961">
        <v>19</v>
      </c>
      <c r="B961">
        <v>24</v>
      </c>
      <c r="C961" t="s">
        <v>1028</v>
      </c>
      <c r="D961" s="4">
        <v>120</v>
      </c>
      <c r="E961" s="4">
        <v>240</v>
      </c>
      <c r="F961" s="4">
        <v>360</v>
      </c>
      <c r="G961" s="4"/>
      <c r="H961" s="4"/>
    </row>
    <row r="962" spans="1:8" x14ac:dyDescent="0.35">
      <c r="A962">
        <v>19</v>
      </c>
      <c r="B962">
        <v>25</v>
      </c>
      <c r="C962" t="s">
        <v>1029</v>
      </c>
      <c r="D962" s="4">
        <v>100000000000</v>
      </c>
      <c r="E962" s="4">
        <v>450000000000</v>
      </c>
      <c r="F962" s="4">
        <v>600000000000</v>
      </c>
      <c r="G962" s="4"/>
      <c r="H962" s="4"/>
    </row>
    <row r="963" spans="1:8" x14ac:dyDescent="0.35">
      <c r="A963">
        <v>19</v>
      </c>
      <c r="B963">
        <v>26</v>
      </c>
      <c r="C963" t="s">
        <v>1030</v>
      </c>
      <c r="D963" s="4">
        <v>21000</v>
      </c>
      <c r="E963" s="4">
        <v>26000</v>
      </c>
      <c r="F963" s="4">
        <v>30000</v>
      </c>
      <c r="G963" s="4"/>
      <c r="H963" s="4"/>
    </row>
    <row r="964" spans="1:8" x14ac:dyDescent="0.35">
      <c r="A964">
        <v>19</v>
      </c>
      <c r="B964">
        <v>27</v>
      </c>
      <c r="C964" t="s">
        <v>1031</v>
      </c>
      <c r="D964" s="4">
        <v>360</v>
      </c>
      <c r="E964" s="4">
        <v>720</v>
      </c>
      <c r="F964" s="4">
        <v>1080</v>
      </c>
      <c r="G964" s="4"/>
      <c r="H964" s="4"/>
    </row>
    <row r="965" spans="1:8" x14ac:dyDescent="0.35">
      <c r="A965">
        <v>19</v>
      </c>
      <c r="B965">
        <v>28</v>
      </c>
      <c r="C965" t="s">
        <v>1032</v>
      </c>
      <c r="D965" s="4">
        <v>600000000000</v>
      </c>
      <c r="E965" s="4">
        <v>800000000000</v>
      </c>
      <c r="F965" s="4">
        <v>3000000000000</v>
      </c>
      <c r="G965" s="4"/>
      <c r="H965" s="4"/>
    </row>
    <row r="966" spans="1:8" x14ac:dyDescent="0.35">
      <c r="A966">
        <v>19</v>
      </c>
      <c r="B966">
        <v>29</v>
      </c>
      <c r="C966" t="s">
        <v>1033</v>
      </c>
      <c r="D966" s="4">
        <v>29000</v>
      </c>
      <c r="E966" s="4">
        <v>31000</v>
      </c>
      <c r="F966" s="4">
        <v>36000</v>
      </c>
      <c r="G966" s="4"/>
      <c r="H966" s="4"/>
    </row>
    <row r="967" spans="1:8" x14ac:dyDescent="0.35">
      <c r="A967">
        <v>19</v>
      </c>
      <c r="B967">
        <v>30</v>
      </c>
      <c r="C967" t="s">
        <v>1034</v>
      </c>
      <c r="D967" s="4">
        <v>21600</v>
      </c>
      <c r="E967" s="4">
        <v>86400</v>
      </c>
      <c r="F967" s="4">
        <v>172800</v>
      </c>
      <c r="G967" s="4"/>
      <c r="H967" s="4"/>
    </row>
    <row r="968" spans="1:8" x14ac:dyDescent="0.35">
      <c r="A968">
        <v>19</v>
      </c>
      <c r="B968">
        <v>31</v>
      </c>
      <c r="C968" t="s">
        <v>1035</v>
      </c>
      <c r="D968" s="4">
        <v>100000000</v>
      </c>
      <c r="E968" s="4">
        <v>1000000000</v>
      </c>
      <c r="F968" s="4">
        <v>2000000000</v>
      </c>
      <c r="G968" s="4"/>
      <c r="H968" s="4"/>
    </row>
    <row r="969" spans="1:8" x14ac:dyDescent="0.35">
      <c r="A969">
        <v>19</v>
      </c>
      <c r="B969">
        <v>32</v>
      </c>
      <c r="C969" t="s">
        <v>1036</v>
      </c>
      <c r="D969" s="4">
        <v>7000</v>
      </c>
      <c r="E969" s="4">
        <v>11000</v>
      </c>
      <c r="F969" s="4">
        <v>14000</v>
      </c>
      <c r="G969" s="4"/>
      <c r="H969" s="4"/>
    </row>
    <row r="970" spans="1:8" x14ac:dyDescent="0.35">
      <c r="A970">
        <v>19</v>
      </c>
      <c r="B970">
        <v>33</v>
      </c>
      <c r="C970" t="s">
        <v>1037</v>
      </c>
      <c r="D970" s="4">
        <v>5</v>
      </c>
      <c r="E970" s="4">
        <v>15</v>
      </c>
      <c r="F970" s="4">
        <v>25</v>
      </c>
      <c r="G970" s="4"/>
      <c r="H970" s="4"/>
    </row>
    <row r="971" spans="1:8" x14ac:dyDescent="0.35">
      <c r="A971">
        <v>19</v>
      </c>
      <c r="B971">
        <v>34</v>
      </c>
      <c r="C971" t="s">
        <v>1038</v>
      </c>
      <c r="D971" s="4">
        <v>8000000000</v>
      </c>
      <c r="E971" s="4">
        <v>11000000000</v>
      </c>
      <c r="F971" s="4">
        <v>15000000000</v>
      </c>
      <c r="G971" s="4"/>
      <c r="H971" s="4"/>
    </row>
    <row r="972" spans="1:8" x14ac:dyDescent="0.35">
      <c r="A972">
        <v>19</v>
      </c>
      <c r="B972">
        <v>35</v>
      </c>
      <c r="C972" t="s">
        <v>1039</v>
      </c>
      <c r="D972" s="4">
        <v>11000</v>
      </c>
      <c r="E972" s="4">
        <v>14000</v>
      </c>
      <c r="F972" s="4">
        <v>19000</v>
      </c>
      <c r="G972" s="4"/>
      <c r="H972" s="4"/>
    </row>
    <row r="973" spans="1:8" x14ac:dyDescent="0.35">
      <c r="A973">
        <v>19</v>
      </c>
      <c r="B973">
        <v>36</v>
      </c>
      <c r="C973" t="s">
        <v>1040</v>
      </c>
      <c r="D973" s="4">
        <v>10</v>
      </c>
      <c r="E973" s="4">
        <v>20</v>
      </c>
      <c r="F973" s="4">
        <v>30</v>
      </c>
      <c r="G973" s="4"/>
      <c r="H973" s="4"/>
    </row>
    <row r="974" spans="1:8" x14ac:dyDescent="0.35">
      <c r="A974">
        <v>19</v>
      </c>
      <c r="B974">
        <v>37</v>
      </c>
      <c r="C974" t="s">
        <v>1041</v>
      </c>
      <c r="D974" s="4">
        <v>15000000000</v>
      </c>
      <c r="E974" s="4">
        <v>18000000000</v>
      </c>
      <c r="F974" s="4">
        <v>30000000000</v>
      </c>
      <c r="G974" s="4"/>
      <c r="H974" s="4"/>
    </row>
    <row r="975" spans="1:8" x14ac:dyDescent="0.35">
      <c r="A975">
        <v>19</v>
      </c>
      <c r="B975">
        <v>38</v>
      </c>
      <c r="C975" t="s">
        <v>1042</v>
      </c>
      <c r="D975" s="4">
        <v>21000</v>
      </c>
      <c r="E975" s="4">
        <v>25000</v>
      </c>
      <c r="F975" s="4">
        <v>28000</v>
      </c>
      <c r="G975" s="4"/>
      <c r="H975" s="4"/>
    </row>
    <row r="976" spans="1:8" x14ac:dyDescent="0.35">
      <c r="A976">
        <v>19</v>
      </c>
      <c r="B976">
        <v>39</v>
      </c>
      <c r="C976" t="s">
        <v>1043</v>
      </c>
      <c r="D976" s="4">
        <v>90</v>
      </c>
      <c r="E976" s="4">
        <v>180</v>
      </c>
      <c r="F976" s="4">
        <v>300</v>
      </c>
      <c r="G976" s="4"/>
      <c r="H976" s="4"/>
    </row>
    <row r="977" spans="1:8" x14ac:dyDescent="0.35">
      <c r="A977">
        <v>19</v>
      </c>
      <c r="B977">
        <v>40</v>
      </c>
      <c r="C977" t="s">
        <v>1044</v>
      </c>
      <c r="D977" s="4">
        <v>625000000000</v>
      </c>
      <c r="E977" s="4">
        <v>1000000000000</v>
      </c>
      <c r="F977" s="4">
        <v>1250000000000</v>
      </c>
      <c r="G977" s="4"/>
      <c r="H977" s="4"/>
    </row>
    <row r="978" spans="1:8" x14ac:dyDescent="0.35">
      <c r="A978">
        <v>19</v>
      </c>
      <c r="B978">
        <v>41</v>
      </c>
      <c r="C978" t="s">
        <v>1045</v>
      </c>
      <c r="D978" s="4">
        <v>28000</v>
      </c>
      <c r="E978" s="4">
        <v>31000</v>
      </c>
      <c r="F978" s="4">
        <v>35000</v>
      </c>
      <c r="G978" s="4"/>
      <c r="H978" s="4"/>
    </row>
    <row r="979" spans="1:8" x14ac:dyDescent="0.35">
      <c r="A979">
        <v>19</v>
      </c>
      <c r="B979">
        <v>42</v>
      </c>
      <c r="C979" t="s">
        <v>1046</v>
      </c>
      <c r="D979" s="4">
        <v>20</v>
      </c>
      <c r="E979" s="4">
        <v>30</v>
      </c>
      <c r="F979" s="4">
        <v>50</v>
      </c>
      <c r="G979" s="4"/>
      <c r="H979" s="4"/>
    </row>
    <row r="980" spans="1:8" x14ac:dyDescent="0.35">
      <c r="A980">
        <v>19</v>
      </c>
      <c r="B980">
        <v>43</v>
      </c>
      <c r="C980" t="s">
        <v>1047</v>
      </c>
      <c r="D980" s="4">
        <v>10</v>
      </c>
      <c r="E980" s="4">
        <v>20</v>
      </c>
      <c r="F980" s="4">
        <v>25</v>
      </c>
      <c r="G980" s="4"/>
      <c r="H980" s="4"/>
    </row>
    <row r="981" spans="1:8" x14ac:dyDescent="0.35">
      <c r="A981">
        <v>19</v>
      </c>
      <c r="B981">
        <v>44</v>
      </c>
      <c r="C981" t="s">
        <v>1048</v>
      </c>
      <c r="D981" s="4">
        <v>75</v>
      </c>
      <c r="E981" s="4">
        <v>80</v>
      </c>
      <c r="F981" s="4">
        <v>90</v>
      </c>
      <c r="G981" s="4"/>
      <c r="H981" s="4"/>
    </row>
    <row r="982" spans="1:8" x14ac:dyDescent="0.35">
      <c r="A982">
        <v>19</v>
      </c>
      <c r="B982">
        <v>45</v>
      </c>
      <c r="C982" t="s">
        <v>1049</v>
      </c>
      <c r="D982" s="4">
        <v>65</v>
      </c>
      <c r="E982" s="4">
        <v>70</v>
      </c>
      <c r="F982" s="4">
        <v>75</v>
      </c>
      <c r="G982" s="4"/>
      <c r="H982" s="4"/>
    </row>
    <row r="983" spans="1:8" x14ac:dyDescent="0.35">
      <c r="A983">
        <v>19</v>
      </c>
      <c r="B983">
        <v>46</v>
      </c>
      <c r="C983" t="s">
        <v>1050</v>
      </c>
      <c r="D983" s="4">
        <v>20</v>
      </c>
      <c r="E983" s="4">
        <v>25</v>
      </c>
      <c r="F983" s="4">
        <v>30</v>
      </c>
      <c r="G983" s="4"/>
      <c r="H983" s="4"/>
    </row>
    <row r="984" spans="1:8" x14ac:dyDescent="0.35">
      <c r="A984">
        <v>19</v>
      </c>
      <c r="B984">
        <v>47</v>
      </c>
      <c r="C984" t="s">
        <v>1051</v>
      </c>
      <c r="D984" s="4">
        <v>0</v>
      </c>
      <c r="E984" s="4">
        <v>5</v>
      </c>
      <c r="F984" s="4">
        <v>10</v>
      </c>
      <c r="G984" s="4"/>
      <c r="H984" s="4"/>
    </row>
    <row r="985" spans="1:8" x14ac:dyDescent="0.35">
      <c r="A985">
        <v>19</v>
      </c>
      <c r="B985">
        <v>48</v>
      </c>
      <c r="C985" t="s">
        <v>1052</v>
      </c>
      <c r="D985" s="4">
        <v>40</v>
      </c>
      <c r="E985" s="4">
        <v>60</v>
      </c>
      <c r="F985" s="4">
        <v>75</v>
      </c>
      <c r="G985" s="4"/>
      <c r="H985" s="4"/>
    </row>
    <row r="986" spans="1:8" x14ac:dyDescent="0.35">
      <c r="A986">
        <v>19</v>
      </c>
      <c r="B986">
        <v>49</v>
      </c>
      <c r="C986" t="s">
        <v>1053</v>
      </c>
      <c r="D986" s="4">
        <v>15</v>
      </c>
      <c r="E986" s="4">
        <v>20</v>
      </c>
      <c r="F986" s="4">
        <v>25</v>
      </c>
      <c r="G986" s="4"/>
      <c r="H986" s="4"/>
    </row>
    <row r="987" spans="1:8" x14ac:dyDescent="0.35">
      <c r="A987">
        <v>19</v>
      </c>
      <c r="B987">
        <v>50</v>
      </c>
      <c r="C987" t="s">
        <v>1054</v>
      </c>
      <c r="D987" s="4">
        <v>10</v>
      </c>
      <c r="E987" s="4">
        <v>20</v>
      </c>
      <c r="F987" s="4">
        <v>25</v>
      </c>
      <c r="G987" s="4"/>
      <c r="H987" s="4"/>
    </row>
    <row r="988" spans="1:8" x14ac:dyDescent="0.35">
      <c r="A988">
        <v>19</v>
      </c>
      <c r="B988">
        <v>51</v>
      </c>
      <c r="C988" t="s">
        <v>1055</v>
      </c>
      <c r="D988" s="4">
        <v>0</v>
      </c>
      <c r="E988" s="4">
        <v>5</v>
      </c>
      <c r="F988" s="4">
        <v>15</v>
      </c>
      <c r="G988" s="4"/>
      <c r="H988" s="4"/>
    </row>
    <row r="989" spans="1:8" x14ac:dyDescent="0.35">
      <c r="A989">
        <v>19</v>
      </c>
      <c r="B989">
        <v>52</v>
      </c>
      <c r="C989" t="s">
        <v>1056</v>
      </c>
      <c r="D989" s="4">
        <v>0</v>
      </c>
      <c r="E989" s="4">
        <v>5</v>
      </c>
      <c r="F989" s="4">
        <v>10</v>
      </c>
      <c r="G989" s="4"/>
      <c r="H989" s="4"/>
    </row>
    <row r="990" spans="1:8" x14ac:dyDescent="0.35">
      <c r="A990">
        <v>20</v>
      </c>
      <c r="B990">
        <v>1</v>
      </c>
      <c r="C990" t="s">
        <v>318</v>
      </c>
      <c r="D990" s="4">
        <v>400</v>
      </c>
      <c r="E990" s="4">
        <v>2200</v>
      </c>
      <c r="F990" s="4">
        <v>6000</v>
      </c>
      <c r="G990" s="4"/>
      <c r="H990" s="4"/>
    </row>
    <row r="991" spans="1:8" x14ac:dyDescent="0.35">
      <c r="A991">
        <v>20</v>
      </c>
      <c r="B991">
        <v>2</v>
      </c>
      <c r="C991" t="s">
        <v>319</v>
      </c>
      <c r="D991" s="4">
        <v>4000</v>
      </c>
      <c r="E991" s="4">
        <v>26000</v>
      </c>
      <c r="F991" s="4">
        <v>100000</v>
      </c>
      <c r="G991" s="4"/>
      <c r="H991" s="4"/>
    </row>
    <row r="992" spans="1:8" x14ac:dyDescent="0.35">
      <c r="A992">
        <v>20</v>
      </c>
      <c r="B992">
        <v>3</v>
      </c>
      <c r="C992" t="s">
        <v>320</v>
      </c>
      <c r="D992" s="4">
        <v>2</v>
      </c>
      <c r="E992" s="4">
        <v>8</v>
      </c>
      <c r="F992" s="4">
        <v>20</v>
      </c>
      <c r="G992" s="4"/>
      <c r="H992" s="4"/>
    </row>
    <row r="993" spans="1:8" x14ac:dyDescent="0.35">
      <c r="A993">
        <v>20</v>
      </c>
      <c r="B993">
        <v>4</v>
      </c>
      <c r="C993" t="s">
        <v>321</v>
      </c>
      <c r="D993" s="4">
        <v>5</v>
      </c>
      <c r="E993" s="4">
        <v>50</v>
      </c>
      <c r="F993" s="4">
        <v>250</v>
      </c>
      <c r="G993" s="4"/>
      <c r="H993" s="4"/>
    </row>
    <row r="994" spans="1:8" x14ac:dyDescent="0.35">
      <c r="A994">
        <v>20</v>
      </c>
      <c r="B994">
        <v>5</v>
      </c>
      <c r="C994" t="s">
        <v>322</v>
      </c>
      <c r="D994" s="4">
        <v>5</v>
      </c>
      <c r="E994" s="4">
        <v>35</v>
      </c>
      <c r="F994" s="4">
        <v>85</v>
      </c>
      <c r="G994" s="4"/>
      <c r="H994" s="4"/>
    </row>
    <row r="995" spans="1:8" x14ac:dyDescent="0.35">
      <c r="A995">
        <v>20</v>
      </c>
      <c r="B995">
        <v>6</v>
      </c>
      <c r="C995" t="s">
        <v>323</v>
      </c>
      <c r="D995" s="4">
        <v>10</v>
      </c>
      <c r="E995" s="4">
        <v>100</v>
      </c>
      <c r="F995" s="4">
        <v>1000</v>
      </c>
      <c r="G995" s="4"/>
      <c r="H995" s="4"/>
    </row>
    <row r="996" spans="1:8" x14ac:dyDescent="0.35">
      <c r="A996">
        <v>20</v>
      </c>
      <c r="B996">
        <v>7</v>
      </c>
      <c r="C996" t="s">
        <v>324</v>
      </c>
      <c r="D996" s="4">
        <v>5</v>
      </c>
      <c r="E996" s="4">
        <v>75</v>
      </c>
      <c r="F996" s="4">
        <v>355</v>
      </c>
      <c r="G996" s="4"/>
      <c r="H996" s="4"/>
    </row>
    <row r="997" spans="1:8" x14ac:dyDescent="0.35">
      <c r="A997">
        <v>20</v>
      </c>
      <c r="B997">
        <v>8</v>
      </c>
      <c r="C997" t="s">
        <v>325</v>
      </c>
      <c r="D997" s="4">
        <v>5</v>
      </c>
      <c r="E997" s="4">
        <v>70</v>
      </c>
      <c r="F997" s="4">
        <v>90</v>
      </c>
      <c r="G997" s="4"/>
      <c r="H997" s="4"/>
    </row>
    <row r="998" spans="1:8" x14ac:dyDescent="0.35">
      <c r="A998">
        <v>20</v>
      </c>
      <c r="B998">
        <v>9</v>
      </c>
      <c r="C998" t="s">
        <v>326</v>
      </c>
      <c r="D998" s="4">
        <v>3</v>
      </c>
      <c r="E998" s="4">
        <v>30</v>
      </c>
      <c r="F998" s="4">
        <v>75</v>
      </c>
      <c r="G998" s="4"/>
      <c r="H998" s="4"/>
    </row>
    <row r="999" spans="1:8" x14ac:dyDescent="0.35">
      <c r="A999">
        <v>20</v>
      </c>
      <c r="B999">
        <v>10</v>
      </c>
      <c r="C999" t="s">
        <v>327</v>
      </c>
      <c r="D999" s="4">
        <v>500</v>
      </c>
      <c r="E999" s="4">
        <v>50000</v>
      </c>
      <c r="F999" s="4">
        <v>50000000</v>
      </c>
      <c r="G999" s="4"/>
      <c r="H999" s="4"/>
    </row>
    <row r="1000" spans="1:8" x14ac:dyDescent="0.35">
      <c r="A1000">
        <v>20</v>
      </c>
      <c r="B1000">
        <v>11</v>
      </c>
      <c r="C1000" t="s">
        <v>328</v>
      </c>
      <c r="D1000" s="4">
        <v>2</v>
      </c>
      <c r="E1000" s="4">
        <v>25</v>
      </c>
      <c r="F1000" s="4">
        <v>75</v>
      </c>
      <c r="G1000" s="4"/>
      <c r="H1000" s="4"/>
    </row>
    <row r="1001" spans="1:8" x14ac:dyDescent="0.35">
      <c r="A1001">
        <v>20</v>
      </c>
      <c r="B1001">
        <v>12</v>
      </c>
      <c r="C1001" t="s">
        <v>329</v>
      </c>
      <c r="D1001" s="4">
        <v>10</v>
      </c>
      <c r="E1001" s="4">
        <v>500</v>
      </c>
      <c r="F1001" s="4">
        <v>1000</v>
      </c>
      <c r="G1001" s="4"/>
      <c r="H1001" s="4"/>
    </row>
    <row r="1002" spans="1:8" x14ac:dyDescent="0.35">
      <c r="A1002">
        <v>20</v>
      </c>
      <c r="B1002">
        <v>13</v>
      </c>
      <c r="C1002" t="s">
        <v>330</v>
      </c>
      <c r="D1002" s="4">
        <v>0.1</v>
      </c>
      <c r="E1002" s="4">
        <v>7</v>
      </c>
      <c r="F1002" s="4">
        <v>33</v>
      </c>
      <c r="G1002" s="4"/>
      <c r="H1002" s="4"/>
    </row>
    <row r="1003" spans="1:8" x14ac:dyDescent="0.35">
      <c r="A1003">
        <v>20</v>
      </c>
      <c r="B1003">
        <v>14</v>
      </c>
      <c r="C1003" t="s">
        <v>1018</v>
      </c>
      <c r="D1003" s="4">
        <v>2.5</v>
      </c>
      <c r="E1003" s="4">
        <v>20</v>
      </c>
      <c r="F1003" s="4">
        <v>50</v>
      </c>
      <c r="G1003" s="4"/>
      <c r="H1003" s="4"/>
    </row>
    <row r="1004" spans="1:8" x14ac:dyDescent="0.35">
      <c r="A1004">
        <v>20</v>
      </c>
      <c r="B1004">
        <v>15</v>
      </c>
      <c r="C1004" t="s">
        <v>1019</v>
      </c>
      <c r="D1004" s="4">
        <v>33</v>
      </c>
      <c r="E1004" s="4">
        <v>75</v>
      </c>
      <c r="F1004" s="4">
        <v>95</v>
      </c>
      <c r="G1004" s="4"/>
      <c r="H1004" s="4"/>
    </row>
    <row r="1005" spans="1:8" x14ac:dyDescent="0.35">
      <c r="A1005">
        <v>20</v>
      </c>
      <c r="B1005">
        <v>16</v>
      </c>
      <c r="C1005" t="s">
        <v>1020</v>
      </c>
      <c r="D1005" s="4">
        <v>20</v>
      </c>
      <c r="E1005" s="4">
        <v>50</v>
      </c>
      <c r="F1005" s="4">
        <v>90</v>
      </c>
      <c r="G1005" s="4"/>
      <c r="H1005" s="4"/>
    </row>
    <row r="1006" spans="1:8" x14ac:dyDescent="0.35">
      <c r="A1006">
        <v>20</v>
      </c>
      <c r="B1006">
        <v>17</v>
      </c>
      <c r="C1006" t="s">
        <v>1021</v>
      </c>
      <c r="D1006" s="4">
        <v>5</v>
      </c>
      <c r="E1006" s="4">
        <v>15</v>
      </c>
      <c r="F1006" s="4">
        <v>45</v>
      </c>
      <c r="H1006" s="4"/>
    </row>
    <row r="1007" spans="1:8" x14ac:dyDescent="0.35">
      <c r="A1007">
        <v>20</v>
      </c>
      <c r="B1007">
        <v>18</v>
      </c>
      <c r="C1007" t="s">
        <v>1022</v>
      </c>
      <c r="D1007" s="4">
        <v>5</v>
      </c>
      <c r="E1007" s="4">
        <v>35</v>
      </c>
      <c r="F1007" s="4">
        <v>65</v>
      </c>
      <c r="G1007" s="4"/>
      <c r="H1007" s="4"/>
    </row>
    <row r="1008" spans="1:8" x14ac:dyDescent="0.35">
      <c r="A1008">
        <v>20</v>
      </c>
      <c r="B1008">
        <v>19</v>
      </c>
      <c r="C1008" t="s">
        <v>1023</v>
      </c>
      <c r="D1008" s="4">
        <v>20</v>
      </c>
      <c r="E1008" s="4">
        <v>45</v>
      </c>
      <c r="F1008" s="4">
        <v>80</v>
      </c>
      <c r="G1008" s="4"/>
      <c r="H1008" s="4"/>
    </row>
    <row r="1009" spans="1:8" x14ac:dyDescent="0.35">
      <c r="A1009">
        <v>20</v>
      </c>
      <c r="B1009">
        <v>20</v>
      </c>
      <c r="C1009" t="s">
        <v>1024</v>
      </c>
      <c r="D1009" s="4">
        <v>10</v>
      </c>
      <c r="E1009" s="4">
        <v>30</v>
      </c>
      <c r="F1009" s="4">
        <v>60</v>
      </c>
      <c r="G1009" s="4"/>
      <c r="H1009" s="4"/>
    </row>
    <row r="1010" spans="1:8" x14ac:dyDescent="0.35">
      <c r="A1010">
        <v>20</v>
      </c>
      <c r="B1010">
        <v>21</v>
      </c>
      <c r="C1010" t="s">
        <v>1025</v>
      </c>
      <c r="D1010" s="4">
        <v>2</v>
      </c>
      <c r="E1010" s="4">
        <v>10</v>
      </c>
      <c r="F1010" s="4">
        <v>40</v>
      </c>
      <c r="G1010" s="4"/>
      <c r="H1010" s="4"/>
    </row>
    <row r="1011" spans="1:8" x14ac:dyDescent="0.35">
      <c r="A1011">
        <v>20</v>
      </c>
      <c r="B1011">
        <v>22</v>
      </c>
      <c r="C1011" t="s">
        <v>1026</v>
      </c>
      <c r="D1011" s="4">
        <v>0.5</v>
      </c>
      <c r="E1011" s="4">
        <v>5</v>
      </c>
      <c r="F1011" s="4">
        <v>10</v>
      </c>
      <c r="G1011" s="4"/>
      <c r="H1011" s="4"/>
    </row>
    <row r="1012" spans="1:8" x14ac:dyDescent="0.35">
      <c r="A1012">
        <v>20</v>
      </c>
      <c r="B1012">
        <v>23</v>
      </c>
      <c r="C1012" t="s">
        <v>1027</v>
      </c>
      <c r="D1012" s="4">
        <v>1</v>
      </c>
      <c r="E1012" s="4">
        <v>5</v>
      </c>
      <c r="F1012" s="4">
        <v>20</v>
      </c>
      <c r="G1012" s="4"/>
      <c r="H1012" s="4"/>
    </row>
    <row r="1013" spans="1:8" x14ac:dyDescent="0.35">
      <c r="A1013">
        <v>20</v>
      </c>
      <c r="B1013">
        <v>24</v>
      </c>
      <c r="C1013" t="s">
        <v>1028</v>
      </c>
      <c r="D1013" s="4">
        <v>6</v>
      </c>
      <c r="E1013" s="4">
        <v>18</v>
      </c>
      <c r="F1013" s="4">
        <v>60</v>
      </c>
      <c r="G1013" s="4"/>
      <c r="H1013" s="4"/>
    </row>
    <row r="1014" spans="1:8" x14ac:dyDescent="0.35">
      <c r="A1014">
        <v>20</v>
      </c>
      <c r="B1014">
        <v>25</v>
      </c>
      <c r="C1014" t="s">
        <v>1029</v>
      </c>
      <c r="D1014" s="4">
        <v>1000000000</v>
      </c>
      <c r="E1014" s="4">
        <v>20000000000</v>
      </c>
      <c r="F1014" s="4">
        <v>1000000000000</v>
      </c>
      <c r="G1014" s="4"/>
      <c r="H1014" s="4"/>
    </row>
    <row r="1015" spans="1:8" x14ac:dyDescent="0.35">
      <c r="A1015">
        <v>20</v>
      </c>
      <c r="B1015">
        <v>26</v>
      </c>
      <c r="C1015" t="s">
        <v>1030</v>
      </c>
      <c r="D1015" s="4">
        <v>7500</v>
      </c>
      <c r="E1015" s="4">
        <v>10000</v>
      </c>
      <c r="F1015" s="4">
        <v>17500</v>
      </c>
      <c r="G1015" s="4"/>
      <c r="H1015" s="4"/>
    </row>
    <row r="1016" spans="1:8" x14ac:dyDescent="0.35">
      <c r="A1016">
        <v>20</v>
      </c>
      <c r="B1016">
        <v>27</v>
      </c>
      <c r="C1016" t="s">
        <v>1031</v>
      </c>
      <c r="D1016" s="4">
        <v>19.8</v>
      </c>
      <c r="E1016" s="4">
        <v>60</v>
      </c>
      <c r="F1016" s="4">
        <v>150</v>
      </c>
      <c r="G1016" s="4"/>
      <c r="H1016" s="4"/>
    </row>
    <row r="1017" spans="1:8" x14ac:dyDescent="0.35">
      <c r="A1017">
        <v>20</v>
      </c>
      <c r="B1017">
        <v>28</v>
      </c>
      <c r="C1017" t="s">
        <v>1032</v>
      </c>
      <c r="D1017" s="4">
        <v>20000000000</v>
      </c>
      <c r="E1017" s="4">
        <v>500000000000</v>
      </c>
      <c r="F1017" s="4">
        <v>300000000000000</v>
      </c>
      <c r="G1017" s="4"/>
      <c r="H1017" s="4"/>
    </row>
    <row r="1018" spans="1:8" x14ac:dyDescent="0.35">
      <c r="A1018">
        <v>20</v>
      </c>
      <c r="B1018">
        <v>29</v>
      </c>
      <c r="C1018" t="s">
        <v>1033</v>
      </c>
      <c r="D1018" s="4">
        <v>12000</v>
      </c>
      <c r="E1018" s="4">
        <v>16500</v>
      </c>
      <c r="F1018" s="4">
        <v>27500</v>
      </c>
      <c r="G1018" s="4"/>
      <c r="H1018" s="4"/>
    </row>
    <row r="1019" spans="1:8" x14ac:dyDescent="0.35">
      <c r="A1019">
        <v>20</v>
      </c>
      <c r="B1019">
        <v>30</v>
      </c>
      <c r="C1019" t="s">
        <v>1034</v>
      </c>
      <c r="D1019" s="4">
        <v>15</v>
      </c>
      <c r="E1019" s="4">
        <v>120</v>
      </c>
      <c r="F1019" s="4">
        <v>6000</v>
      </c>
      <c r="G1019" s="4"/>
      <c r="H1019" s="4"/>
    </row>
    <row r="1020" spans="1:8" x14ac:dyDescent="0.35">
      <c r="A1020">
        <v>20</v>
      </c>
      <c r="B1020">
        <v>31</v>
      </c>
      <c r="C1020" t="s">
        <v>1035</v>
      </c>
      <c r="D1020" s="4">
        <v>20000000</v>
      </c>
      <c r="E1020" s="4">
        <v>500000000</v>
      </c>
      <c r="F1020" s="4">
        <v>10000000000</v>
      </c>
      <c r="G1020" s="4"/>
      <c r="H1020" s="4"/>
    </row>
    <row r="1021" spans="1:8" x14ac:dyDescent="0.35">
      <c r="A1021">
        <v>20</v>
      </c>
      <c r="B1021">
        <v>32</v>
      </c>
      <c r="C1021" t="s">
        <v>1036</v>
      </c>
      <c r="D1021" s="4">
        <v>800</v>
      </c>
      <c r="E1021" s="4">
        <v>1750</v>
      </c>
      <c r="F1021" s="4">
        <v>2750</v>
      </c>
      <c r="G1021" s="4"/>
      <c r="H1021" s="4"/>
    </row>
    <row r="1022" spans="1:8" x14ac:dyDescent="0.35">
      <c r="A1022">
        <v>20</v>
      </c>
      <c r="B1022">
        <v>33</v>
      </c>
      <c r="C1022" t="s">
        <v>1037</v>
      </c>
      <c r="D1022" s="4">
        <v>4.9800000000000004</v>
      </c>
      <c r="E1022" s="4">
        <v>15</v>
      </c>
      <c r="F1022" s="4">
        <v>30</v>
      </c>
      <c r="G1022" s="4"/>
      <c r="H1022" s="4"/>
    </row>
    <row r="1023" spans="1:8" x14ac:dyDescent="0.35">
      <c r="A1023">
        <v>20</v>
      </c>
      <c r="B1023">
        <v>34</v>
      </c>
      <c r="C1023" t="s">
        <v>1038</v>
      </c>
      <c r="D1023" s="4">
        <v>50000000</v>
      </c>
      <c r="E1023" s="4">
        <v>200000000</v>
      </c>
      <c r="F1023" s="4">
        <v>5000000000</v>
      </c>
      <c r="G1023" s="4"/>
      <c r="H1023" s="4"/>
    </row>
    <row r="1024" spans="1:8" x14ac:dyDescent="0.35">
      <c r="A1024">
        <v>20</v>
      </c>
      <c r="B1024">
        <v>35</v>
      </c>
      <c r="C1024" t="s">
        <v>1039</v>
      </c>
      <c r="D1024" s="4">
        <v>6500</v>
      </c>
      <c r="E1024" s="4">
        <v>10000</v>
      </c>
      <c r="F1024" s="4">
        <v>15000</v>
      </c>
      <c r="G1024" s="4"/>
      <c r="H1024" s="4"/>
    </row>
    <row r="1025" spans="1:8" x14ac:dyDescent="0.35">
      <c r="A1025">
        <v>20</v>
      </c>
      <c r="B1025">
        <v>36</v>
      </c>
      <c r="C1025" t="s">
        <v>1040</v>
      </c>
      <c r="D1025" s="4">
        <v>7.2</v>
      </c>
      <c r="E1025" s="4">
        <v>21</v>
      </c>
      <c r="F1025" s="4">
        <v>45</v>
      </c>
      <c r="G1025" s="4"/>
      <c r="H1025" s="4"/>
    </row>
    <row r="1026" spans="1:8" x14ac:dyDescent="0.35">
      <c r="A1026">
        <v>20</v>
      </c>
      <c r="B1026">
        <v>37</v>
      </c>
      <c r="C1026" t="s">
        <v>1041</v>
      </c>
      <c r="D1026" s="4">
        <v>5000000000</v>
      </c>
      <c r="E1026" s="4">
        <v>10000000000</v>
      </c>
      <c r="F1026" s="4">
        <v>500000000000</v>
      </c>
      <c r="G1026" s="4"/>
      <c r="H1026" s="4"/>
    </row>
    <row r="1027" spans="1:8" x14ac:dyDescent="0.35">
      <c r="A1027">
        <v>20</v>
      </c>
      <c r="B1027">
        <v>38</v>
      </c>
      <c r="C1027" t="s">
        <v>1042</v>
      </c>
      <c r="D1027" s="4">
        <v>6500</v>
      </c>
      <c r="E1027" s="4">
        <v>10000</v>
      </c>
      <c r="F1027" s="4">
        <v>15000</v>
      </c>
      <c r="G1027" s="4"/>
      <c r="H1027" s="4"/>
    </row>
    <row r="1028" spans="1:8" x14ac:dyDescent="0.35">
      <c r="A1028">
        <v>20</v>
      </c>
      <c r="B1028">
        <v>39</v>
      </c>
      <c r="C1028" t="s">
        <v>1043</v>
      </c>
      <c r="D1028" s="4">
        <v>19.8</v>
      </c>
      <c r="E1028" s="4">
        <v>60</v>
      </c>
      <c r="F1028" s="4">
        <v>150</v>
      </c>
      <c r="G1028" s="4"/>
      <c r="H1028" s="4"/>
    </row>
    <row r="1029" spans="1:8" x14ac:dyDescent="0.35">
      <c r="A1029">
        <v>20</v>
      </c>
      <c r="B1029">
        <v>40</v>
      </c>
      <c r="C1029" t="s">
        <v>1044</v>
      </c>
      <c r="D1029" s="4">
        <v>10000000000</v>
      </c>
      <c r="E1029" s="4">
        <v>200000000000</v>
      </c>
      <c r="F1029" s="4">
        <v>200000000000000</v>
      </c>
      <c r="G1029" s="4"/>
      <c r="H1029" s="4"/>
    </row>
    <row r="1030" spans="1:8" x14ac:dyDescent="0.35">
      <c r="A1030">
        <v>20</v>
      </c>
      <c r="B1030">
        <v>41</v>
      </c>
      <c r="C1030" t="s">
        <v>1045</v>
      </c>
      <c r="D1030" s="4">
        <v>12000</v>
      </c>
      <c r="E1030" s="4">
        <v>15000</v>
      </c>
      <c r="F1030" s="4">
        <v>25000</v>
      </c>
      <c r="G1030" s="4"/>
      <c r="H1030" s="4"/>
    </row>
    <row r="1031" spans="1:8" x14ac:dyDescent="0.35">
      <c r="A1031">
        <v>20</v>
      </c>
      <c r="B1031">
        <v>42</v>
      </c>
      <c r="C1031" t="s">
        <v>1046</v>
      </c>
      <c r="D1031" s="4">
        <v>30</v>
      </c>
      <c r="E1031" s="4">
        <v>66</v>
      </c>
      <c r="F1031" s="4">
        <v>90</v>
      </c>
      <c r="G1031" s="4"/>
      <c r="H1031" s="4"/>
    </row>
    <row r="1032" spans="1:8" x14ac:dyDescent="0.35">
      <c r="A1032">
        <v>20</v>
      </c>
      <c r="B1032">
        <v>43</v>
      </c>
      <c r="C1032" t="s">
        <v>1047</v>
      </c>
      <c r="D1032" s="4">
        <v>5</v>
      </c>
      <c r="E1032" s="4">
        <v>33</v>
      </c>
      <c r="F1032" s="4">
        <v>66</v>
      </c>
      <c r="G1032" s="4"/>
      <c r="H1032" s="4"/>
    </row>
    <row r="1033" spans="1:8" x14ac:dyDescent="0.35">
      <c r="A1033">
        <v>20</v>
      </c>
      <c r="B1033">
        <v>44</v>
      </c>
      <c r="C1033" t="s">
        <v>1048</v>
      </c>
      <c r="D1033" s="4">
        <v>66</v>
      </c>
      <c r="E1033" s="4">
        <v>90</v>
      </c>
      <c r="F1033" s="4">
        <v>98</v>
      </c>
      <c r="G1033" s="4"/>
      <c r="H1033" s="4"/>
    </row>
    <row r="1034" spans="1:8" x14ac:dyDescent="0.35">
      <c r="A1034">
        <v>20</v>
      </c>
      <c r="B1034">
        <v>45</v>
      </c>
      <c r="C1034" t="s">
        <v>1049</v>
      </c>
      <c r="D1034" s="4">
        <v>40</v>
      </c>
      <c r="E1034" s="4">
        <v>75</v>
      </c>
      <c r="F1034" s="4">
        <v>95</v>
      </c>
      <c r="G1034" s="4"/>
      <c r="H1034" s="4"/>
    </row>
    <row r="1035" spans="1:8" x14ac:dyDescent="0.35">
      <c r="A1035">
        <v>20</v>
      </c>
      <c r="B1035">
        <v>46</v>
      </c>
      <c r="C1035" t="s">
        <v>1050</v>
      </c>
      <c r="D1035" s="4">
        <v>33</v>
      </c>
      <c r="E1035" s="4">
        <v>60</v>
      </c>
      <c r="F1035" s="4">
        <v>90</v>
      </c>
      <c r="G1035" s="4"/>
      <c r="H1035" s="4"/>
    </row>
    <row r="1036" spans="1:8" x14ac:dyDescent="0.35">
      <c r="A1036">
        <v>20</v>
      </c>
      <c r="B1036">
        <v>47</v>
      </c>
      <c r="C1036" t="s">
        <v>1051</v>
      </c>
      <c r="D1036" s="4">
        <v>2.5</v>
      </c>
      <c r="E1036" s="4">
        <v>15</v>
      </c>
      <c r="F1036" s="4">
        <v>33</v>
      </c>
      <c r="G1036" s="4"/>
      <c r="H1036" s="4"/>
    </row>
    <row r="1037" spans="1:8" x14ac:dyDescent="0.35">
      <c r="A1037">
        <v>20</v>
      </c>
      <c r="B1037">
        <v>48</v>
      </c>
      <c r="C1037" t="s">
        <v>1052</v>
      </c>
      <c r="D1037" s="4">
        <v>66</v>
      </c>
      <c r="E1037" s="4">
        <v>90</v>
      </c>
      <c r="F1037" s="4">
        <v>99</v>
      </c>
      <c r="G1037" s="4"/>
      <c r="H1037" s="4"/>
    </row>
    <row r="1038" spans="1:8" x14ac:dyDescent="0.35">
      <c r="A1038">
        <v>20</v>
      </c>
      <c r="B1038">
        <v>49</v>
      </c>
      <c r="C1038" t="s">
        <v>1053</v>
      </c>
      <c r="D1038" s="4">
        <v>10</v>
      </c>
      <c r="E1038" s="4">
        <v>40</v>
      </c>
      <c r="F1038" s="4">
        <v>75</v>
      </c>
      <c r="G1038" s="4"/>
      <c r="H1038" s="4"/>
    </row>
    <row r="1039" spans="1:8" x14ac:dyDescent="0.35">
      <c r="A1039">
        <v>20</v>
      </c>
      <c r="B1039">
        <v>50</v>
      </c>
      <c r="C1039" t="s">
        <v>1054</v>
      </c>
      <c r="D1039" s="4">
        <v>0.5</v>
      </c>
      <c r="E1039" s="4">
        <v>3</v>
      </c>
      <c r="F1039" s="4">
        <v>20</v>
      </c>
      <c r="G1039" s="4"/>
      <c r="H1039" s="4"/>
    </row>
    <row r="1040" spans="1:8" x14ac:dyDescent="0.35">
      <c r="A1040">
        <v>20</v>
      </c>
      <c r="B1040">
        <v>51</v>
      </c>
      <c r="C1040" t="s">
        <v>1055</v>
      </c>
      <c r="D1040" s="4">
        <v>0.25</v>
      </c>
      <c r="E1040" s="4">
        <v>1</v>
      </c>
      <c r="F1040" s="4">
        <v>10</v>
      </c>
      <c r="G1040" s="4"/>
      <c r="H1040" s="4"/>
    </row>
    <row r="1041" spans="1:8" x14ac:dyDescent="0.35">
      <c r="A1041">
        <v>20</v>
      </c>
      <c r="B1041">
        <v>52</v>
      </c>
      <c r="C1041" t="s">
        <v>1056</v>
      </c>
      <c r="D1041" s="4">
        <v>0.1</v>
      </c>
      <c r="E1041" s="4">
        <v>1</v>
      </c>
      <c r="F1041" s="4">
        <v>5</v>
      </c>
      <c r="G1041" s="4"/>
      <c r="H1041" s="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6"/>
  <dimension ref="A1:H51"/>
  <sheetViews>
    <sheetView workbookViewId="0"/>
  </sheetViews>
  <sheetFormatPr defaultRowHeight="14.5" x14ac:dyDescent="0.35"/>
  <sheetData>
    <row r="1" spans="1:8" x14ac:dyDescent="0.35">
      <c r="A1" t="s">
        <v>255</v>
      </c>
      <c r="H1" t="s">
        <v>58</v>
      </c>
    </row>
    <row r="2" spans="1:8" x14ac:dyDescent="0.35">
      <c r="A2">
        <v>1</v>
      </c>
      <c r="B2">
        <v>1</v>
      </c>
      <c r="C2" s="4"/>
      <c r="D2" s="4">
        <v>2</v>
      </c>
      <c r="E2" s="4">
        <v>7</v>
      </c>
      <c r="F2" s="4">
        <v>20</v>
      </c>
      <c r="H2" s="4">
        <v>3.9</v>
      </c>
    </row>
    <row r="3" spans="1:8" x14ac:dyDescent="0.35">
      <c r="A3">
        <v>1</v>
      </c>
      <c r="B3">
        <v>2</v>
      </c>
      <c r="C3" s="4"/>
      <c r="D3" s="4">
        <v>4</v>
      </c>
      <c r="E3" s="4">
        <v>10</v>
      </c>
      <c r="F3" s="4">
        <v>30</v>
      </c>
      <c r="H3" s="4">
        <v>6.2</v>
      </c>
    </row>
    <row r="4" spans="1:8" x14ac:dyDescent="0.35">
      <c r="A4">
        <v>1</v>
      </c>
      <c r="B4">
        <v>3</v>
      </c>
      <c r="C4" s="4"/>
      <c r="D4" s="4">
        <v>10</v>
      </c>
      <c r="E4" s="4">
        <v>30</v>
      </c>
      <c r="F4" s="4">
        <v>60</v>
      </c>
      <c r="H4" s="4">
        <v>37.9</v>
      </c>
    </row>
    <row r="5" spans="1:8" x14ac:dyDescent="0.35">
      <c r="A5">
        <v>1</v>
      </c>
      <c r="B5">
        <v>4</v>
      </c>
      <c r="C5" s="4"/>
      <c r="D5" s="4">
        <v>3</v>
      </c>
      <c r="E5" s="4">
        <v>15</v>
      </c>
      <c r="F5" s="4">
        <v>50</v>
      </c>
      <c r="H5" s="4">
        <v>35.9</v>
      </c>
    </row>
    <row r="6" spans="1:8" x14ac:dyDescent="0.35">
      <c r="A6">
        <v>1</v>
      </c>
      <c r="B6">
        <v>5</v>
      </c>
      <c r="C6" s="4"/>
      <c r="D6" s="4">
        <v>5</v>
      </c>
      <c r="E6" s="4">
        <v>50</v>
      </c>
      <c r="F6" s="4">
        <v>60</v>
      </c>
      <c r="H6" s="4">
        <v>29.6</v>
      </c>
    </row>
    <row r="7" spans="1:8" x14ac:dyDescent="0.35">
      <c r="A7">
        <v>1</v>
      </c>
      <c r="B7">
        <v>6</v>
      </c>
      <c r="C7" s="4"/>
      <c r="D7" s="4">
        <v>3</v>
      </c>
      <c r="E7" s="4">
        <v>65</v>
      </c>
      <c r="F7" s="4">
        <v>90</v>
      </c>
      <c r="H7" s="4">
        <v>35.799999999999997</v>
      </c>
    </row>
    <row r="8" spans="1:8" x14ac:dyDescent="0.35">
      <c r="A8">
        <v>1</v>
      </c>
      <c r="B8">
        <v>7</v>
      </c>
      <c r="C8" s="4"/>
      <c r="D8" s="4">
        <v>10</v>
      </c>
      <c r="E8" s="4">
        <v>30</v>
      </c>
      <c r="F8" s="4">
        <v>70</v>
      </c>
      <c r="H8" s="4">
        <v>23.8</v>
      </c>
    </row>
    <row r="9" spans="1:8" x14ac:dyDescent="0.35">
      <c r="A9">
        <v>1</v>
      </c>
      <c r="B9">
        <v>8</v>
      </c>
      <c r="C9" s="4"/>
      <c r="D9" s="4">
        <v>0.5</v>
      </c>
      <c r="E9" s="4">
        <v>0.66</v>
      </c>
      <c r="F9" s="4">
        <v>0.9</v>
      </c>
      <c r="H9" s="4">
        <v>1.1499999999999999</v>
      </c>
    </row>
    <row r="10" spans="1:8" x14ac:dyDescent="0.35">
      <c r="A10">
        <v>1</v>
      </c>
      <c r="B10">
        <v>9</v>
      </c>
      <c r="C10" s="4"/>
      <c r="D10" s="4">
        <v>1</v>
      </c>
      <c r="E10" s="4">
        <v>2</v>
      </c>
      <c r="F10" s="4">
        <v>5</v>
      </c>
      <c r="H10" s="4">
        <v>1.3460000000000001</v>
      </c>
    </row>
    <row r="11" spans="1:8" x14ac:dyDescent="0.35">
      <c r="A11">
        <v>1</v>
      </c>
      <c r="B11">
        <v>10</v>
      </c>
      <c r="C11" s="4"/>
      <c r="D11" s="4">
        <v>2</v>
      </c>
      <c r="E11" s="4">
        <v>15</v>
      </c>
      <c r="F11" s="4">
        <v>50</v>
      </c>
      <c r="H11" s="4">
        <v>15.32</v>
      </c>
    </row>
    <row r="12" spans="1:8" x14ac:dyDescent="0.35">
      <c r="A12">
        <v>2</v>
      </c>
      <c r="B12">
        <v>1</v>
      </c>
      <c r="C12" s="4"/>
      <c r="D12" s="4">
        <v>5</v>
      </c>
      <c r="E12" s="4">
        <v>8</v>
      </c>
      <c r="F12" s="4">
        <v>10</v>
      </c>
    </row>
    <row r="13" spans="1:8" x14ac:dyDescent="0.35">
      <c r="A13">
        <v>2</v>
      </c>
      <c r="B13">
        <v>2</v>
      </c>
      <c r="C13" s="4"/>
      <c r="D13" s="4">
        <v>10</v>
      </c>
      <c r="E13" s="4">
        <v>20</v>
      </c>
      <c r="F13" s="4">
        <v>25</v>
      </c>
    </row>
    <row r="14" spans="1:8" x14ac:dyDescent="0.35">
      <c r="A14">
        <v>2</v>
      </c>
      <c r="B14">
        <v>3</v>
      </c>
      <c r="C14" s="4"/>
      <c r="D14" s="4">
        <v>10</v>
      </c>
      <c r="E14" s="4">
        <v>30</v>
      </c>
      <c r="F14" s="4">
        <v>40</v>
      </c>
    </row>
    <row r="15" spans="1:8" x14ac:dyDescent="0.35">
      <c r="A15">
        <v>2</v>
      </c>
      <c r="B15">
        <v>4</v>
      </c>
      <c r="C15" s="4"/>
      <c r="D15" s="4">
        <v>25</v>
      </c>
      <c r="E15" s="4">
        <v>40</v>
      </c>
      <c r="F15" s="4">
        <v>50</v>
      </c>
    </row>
    <row r="16" spans="1:8" x14ac:dyDescent="0.35">
      <c r="A16">
        <v>2</v>
      </c>
      <c r="B16">
        <v>5</v>
      </c>
      <c r="C16" s="4"/>
      <c r="D16" s="4">
        <v>10</v>
      </c>
      <c r="E16" s="4">
        <v>15</v>
      </c>
      <c r="F16" s="4">
        <v>20</v>
      </c>
    </row>
    <row r="17" spans="1:6" x14ac:dyDescent="0.35">
      <c r="A17">
        <v>2</v>
      </c>
      <c r="B17">
        <v>6</v>
      </c>
      <c r="C17" s="4"/>
      <c r="D17" s="4">
        <v>25</v>
      </c>
      <c r="E17" s="4">
        <v>50</v>
      </c>
      <c r="F17" s="4">
        <v>75</v>
      </c>
    </row>
    <row r="18" spans="1:6" x14ac:dyDescent="0.35">
      <c r="A18">
        <v>2</v>
      </c>
      <c r="B18">
        <v>7</v>
      </c>
      <c r="C18" s="4"/>
      <c r="D18" s="4">
        <v>10</v>
      </c>
      <c r="E18" s="4">
        <v>15</v>
      </c>
      <c r="F18" s="4">
        <v>20</v>
      </c>
    </row>
    <row r="19" spans="1:6" x14ac:dyDescent="0.35">
      <c r="A19">
        <v>2</v>
      </c>
      <c r="B19">
        <v>8</v>
      </c>
      <c r="C19" s="4"/>
      <c r="D19" s="4">
        <v>0.5</v>
      </c>
      <c r="E19" s="4">
        <v>1</v>
      </c>
      <c r="F19" s="4">
        <v>2</v>
      </c>
    </row>
    <row r="20" spans="1:6" x14ac:dyDescent="0.35">
      <c r="A20">
        <v>2</v>
      </c>
      <c r="B20">
        <v>9</v>
      </c>
      <c r="C20" s="4"/>
      <c r="D20" s="4">
        <v>1</v>
      </c>
      <c r="E20" s="4">
        <v>3</v>
      </c>
      <c r="F20" s="4">
        <v>5</v>
      </c>
    </row>
    <row r="21" spans="1:6" x14ac:dyDescent="0.35">
      <c r="A21">
        <v>2</v>
      </c>
      <c r="B21">
        <v>10</v>
      </c>
      <c r="C21" s="4"/>
      <c r="D21" s="4">
        <v>5</v>
      </c>
      <c r="E21" s="4">
        <v>10</v>
      </c>
      <c r="F21" s="4">
        <v>15</v>
      </c>
    </row>
    <row r="22" spans="1:6" x14ac:dyDescent="0.35">
      <c r="A22">
        <v>3</v>
      </c>
      <c r="B22">
        <v>1</v>
      </c>
      <c r="C22" s="4"/>
      <c r="D22" s="4">
        <v>4</v>
      </c>
      <c r="E22" s="4">
        <v>6</v>
      </c>
      <c r="F22" s="4">
        <v>8</v>
      </c>
    </row>
    <row r="23" spans="1:6" x14ac:dyDescent="0.35">
      <c r="A23">
        <v>3</v>
      </c>
      <c r="B23">
        <v>2</v>
      </c>
      <c r="C23" s="4"/>
      <c r="D23" s="4">
        <v>6</v>
      </c>
      <c r="E23" s="4">
        <v>8</v>
      </c>
      <c r="F23" s="4">
        <v>10</v>
      </c>
    </row>
    <row r="24" spans="1:6" x14ac:dyDescent="0.35">
      <c r="A24">
        <v>3</v>
      </c>
      <c r="B24">
        <v>3</v>
      </c>
      <c r="C24" s="4"/>
      <c r="D24" s="4">
        <v>25</v>
      </c>
      <c r="E24" s="4">
        <v>37</v>
      </c>
      <c r="F24" s="4">
        <v>50</v>
      </c>
    </row>
    <row r="25" spans="1:6" x14ac:dyDescent="0.35">
      <c r="A25">
        <v>3</v>
      </c>
      <c r="B25">
        <v>4</v>
      </c>
      <c r="C25" s="4"/>
      <c r="D25" s="4">
        <v>28</v>
      </c>
      <c r="E25" s="4">
        <v>33</v>
      </c>
      <c r="F25" s="4">
        <v>35</v>
      </c>
    </row>
    <row r="26" spans="1:6" x14ac:dyDescent="0.35">
      <c r="A26">
        <v>3</v>
      </c>
      <c r="B26">
        <v>5</v>
      </c>
      <c r="C26" s="4"/>
      <c r="D26" s="4">
        <v>10</v>
      </c>
      <c r="E26" s="4">
        <v>50</v>
      </c>
      <c r="F26" s="4">
        <v>90</v>
      </c>
    </row>
    <row r="27" spans="1:6" x14ac:dyDescent="0.35">
      <c r="A27">
        <v>3</v>
      </c>
      <c r="B27">
        <v>6</v>
      </c>
      <c r="C27" s="4"/>
      <c r="D27" s="4">
        <v>25</v>
      </c>
      <c r="E27" s="4">
        <v>50</v>
      </c>
      <c r="F27" s="4">
        <v>90</v>
      </c>
    </row>
    <row r="28" spans="1:6" x14ac:dyDescent="0.35">
      <c r="A28">
        <v>3</v>
      </c>
      <c r="B28">
        <v>7</v>
      </c>
      <c r="C28" s="4"/>
      <c r="D28" s="4">
        <v>10</v>
      </c>
      <c r="E28" s="4">
        <v>25</v>
      </c>
      <c r="F28" s="4">
        <v>50</v>
      </c>
    </row>
    <row r="29" spans="1:6" x14ac:dyDescent="0.35">
      <c r="A29">
        <v>3</v>
      </c>
      <c r="B29">
        <v>8</v>
      </c>
      <c r="C29" s="4"/>
      <c r="D29" s="4">
        <v>0.33</v>
      </c>
      <c r="E29" s="4">
        <v>0.5</v>
      </c>
      <c r="F29" s="4">
        <v>1</v>
      </c>
    </row>
    <row r="30" spans="1:6" x14ac:dyDescent="0.35">
      <c r="A30">
        <v>3</v>
      </c>
      <c r="B30">
        <v>9</v>
      </c>
      <c r="C30" s="4"/>
      <c r="D30" s="4">
        <v>0.75</v>
      </c>
      <c r="E30" s="4">
        <v>1.5</v>
      </c>
      <c r="F30" s="4">
        <v>2</v>
      </c>
    </row>
    <row r="31" spans="1:6" x14ac:dyDescent="0.35">
      <c r="A31">
        <v>3</v>
      </c>
      <c r="B31">
        <v>10</v>
      </c>
      <c r="C31" s="4"/>
      <c r="D31" s="4">
        <v>5</v>
      </c>
      <c r="E31" s="4">
        <v>15</v>
      </c>
      <c r="F31" s="4">
        <v>30</v>
      </c>
    </row>
    <row r="32" spans="1:6" x14ac:dyDescent="0.35">
      <c r="A32">
        <v>4</v>
      </c>
      <c r="B32">
        <v>1</v>
      </c>
      <c r="C32" s="4"/>
      <c r="D32" s="4">
        <v>2</v>
      </c>
      <c r="E32" s="4">
        <v>5</v>
      </c>
      <c r="F32" s="4">
        <v>6</v>
      </c>
    </row>
    <row r="33" spans="1:6" x14ac:dyDescent="0.35">
      <c r="A33">
        <v>4</v>
      </c>
      <c r="B33">
        <v>2</v>
      </c>
      <c r="C33" s="4"/>
      <c r="D33" s="4">
        <v>1</v>
      </c>
      <c r="E33" s="4">
        <v>3</v>
      </c>
      <c r="F33" s="4">
        <v>7</v>
      </c>
    </row>
    <row r="34" spans="1:6" x14ac:dyDescent="0.35">
      <c r="A34">
        <v>4</v>
      </c>
      <c r="B34">
        <v>3</v>
      </c>
      <c r="C34" s="4"/>
      <c r="D34" s="4">
        <v>24</v>
      </c>
      <c r="E34" s="4">
        <v>36</v>
      </c>
      <c r="F34" s="4">
        <v>48</v>
      </c>
    </row>
    <row r="35" spans="1:6" x14ac:dyDescent="0.35">
      <c r="A35">
        <v>4</v>
      </c>
      <c r="B35">
        <v>4</v>
      </c>
      <c r="C35" s="4"/>
      <c r="D35" s="4">
        <v>20</v>
      </c>
      <c r="E35" s="4">
        <v>28</v>
      </c>
      <c r="F35" s="4">
        <v>36</v>
      </c>
    </row>
    <row r="36" spans="1:6" x14ac:dyDescent="0.35">
      <c r="A36">
        <v>4</v>
      </c>
      <c r="B36">
        <v>5</v>
      </c>
      <c r="C36" s="4"/>
      <c r="D36" s="4">
        <v>25</v>
      </c>
      <c r="E36" s="4">
        <v>60</v>
      </c>
      <c r="F36" s="4">
        <v>80</v>
      </c>
    </row>
    <row r="37" spans="1:6" x14ac:dyDescent="0.35">
      <c r="A37">
        <v>4</v>
      </c>
      <c r="B37">
        <v>6</v>
      </c>
      <c r="C37" s="4"/>
      <c r="D37" s="4">
        <v>15</v>
      </c>
      <c r="E37" s="4">
        <v>50</v>
      </c>
      <c r="F37" s="4">
        <v>80</v>
      </c>
    </row>
    <row r="38" spans="1:6" x14ac:dyDescent="0.35">
      <c r="A38">
        <v>4</v>
      </c>
      <c r="B38">
        <v>7</v>
      </c>
      <c r="C38" s="4"/>
      <c r="D38" s="4">
        <v>5</v>
      </c>
      <c r="E38" s="4">
        <v>16</v>
      </c>
      <c r="F38" s="4">
        <v>30</v>
      </c>
    </row>
    <row r="39" spans="1:6" x14ac:dyDescent="0.35">
      <c r="A39">
        <v>4</v>
      </c>
      <c r="B39">
        <v>8</v>
      </c>
      <c r="C39" s="4"/>
      <c r="D39" s="4">
        <v>0.1</v>
      </c>
      <c r="E39" s="4">
        <v>0.5</v>
      </c>
      <c r="F39" s="4">
        <v>0.8</v>
      </c>
    </row>
    <row r="40" spans="1:6" x14ac:dyDescent="0.35">
      <c r="A40">
        <v>4</v>
      </c>
      <c r="B40">
        <v>9</v>
      </c>
      <c r="C40" s="4"/>
      <c r="D40" s="4">
        <v>0.25</v>
      </c>
      <c r="E40" s="4">
        <v>0.66600000000000004</v>
      </c>
      <c r="F40" s="4">
        <v>1.6659999999999999</v>
      </c>
    </row>
    <row r="41" spans="1:6" x14ac:dyDescent="0.35">
      <c r="A41">
        <v>4</v>
      </c>
      <c r="B41">
        <v>10</v>
      </c>
      <c r="C41" s="4"/>
      <c r="D41" s="4">
        <v>6</v>
      </c>
      <c r="E41" s="4">
        <v>18</v>
      </c>
      <c r="F41" s="4">
        <v>24</v>
      </c>
    </row>
    <row r="42" spans="1:6" x14ac:dyDescent="0.35">
      <c r="A42">
        <v>5</v>
      </c>
      <c r="B42">
        <v>1</v>
      </c>
      <c r="C42" s="4"/>
      <c r="D42" s="4">
        <v>1</v>
      </c>
      <c r="E42" s="4">
        <v>7</v>
      </c>
      <c r="F42" s="4">
        <v>10</v>
      </c>
    </row>
    <row r="43" spans="1:6" x14ac:dyDescent="0.35">
      <c r="A43">
        <v>5</v>
      </c>
      <c r="B43">
        <v>2</v>
      </c>
      <c r="C43" s="4"/>
      <c r="D43" s="4">
        <v>5</v>
      </c>
      <c r="E43" s="4">
        <v>15</v>
      </c>
      <c r="F43" s="4">
        <v>20</v>
      </c>
    </row>
    <row r="44" spans="1:6" x14ac:dyDescent="0.35">
      <c r="A44">
        <v>5</v>
      </c>
      <c r="B44">
        <v>3</v>
      </c>
      <c r="C44" s="4"/>
      <c r="D44" s="4">
        <v>5</v>
      </c>
      <c r="E44" s="4">
        <v>20</v>
      </c>
      <c r="F44" s="4">
        <v>30</v>
      </c>
    </row>
    <row r="45" spans="1:6" x14ac:dyDescent="0.35">
      <c r="A45">
        <v>5</v>
      </c>
      <c r="B45">
        <v>4</v>
      </c>
      <c r="C45" s="4"/>
      <c r="D45" s="4">
        <v>3</v>
      </c>
      <c r="E45" s="4">
        <v>10</v>
      </c>
      <c r="F45" s="4">
        <v>25</v>
      </c>
    </row>
    <row r="46" spans="1:6" x14ac:dyDescent="0.35">
      <c r="A46">
        <v>5</v>
      </c>
      <c r="B46">
        <v>5</v>
      </c>
      <c r="C46" s="4"/>
      <c r="D46" s="4">
        <v>1</v>
      </c>
      <c r="E46" s="4">
        <v>5</v>
      </c>
      <c r="F46" s="4">
        <v>10</v>
      </c>
    </row>
    <row r="47" spans="1:6" x14ac:dyDescent="0.35">
      <c r="A47">
        <v>5</v>
      </c>
      <c r="B47">
        <v>6</v>
      </c>
      <c r="C47" s="4"/>
      <c r="D47" s="4">
        <v>1</v>
      </c>
      <c r="E47" s="4">
        <v>20</v>
      </c>
      <c r="F47" s="4">
        <v>30</v>
      </c>
    </row>
    <row r="48" spans="1:6" x14ac:dyDescent="0.35">
      <c r="A48">
        <v>5</v>
      </c>
      <c r="B48">
        <v>7</v>
      </c>
      <c r="C48" s="4"/>
      <c r="D48" s="4">
        <v>1</v>
      </c>
      <c r="E48" s="4">
        <v>10</v>
      </c>
      <c r="F48" s="4">
        <v>20</v>
      </c>
    </row>
    <row r="49" spans="1:6" x14ac:dyDescent="0.35">
      <c r="A49">
        <v>5</v>
      </c>
      <c r="B49">
        <v>8</v>
      </c>
      <c r="C49" s="4"/>
      <c r="D49" s="4">
        <v>0.14299999999999999</v>
      </c>
      <c r="E49" s="4">
        <v>0.2</v>
      </c>
      <c r="F49" s="4">
        <v>1</v>
      </c>
    </row>
    <row r="50" spans="1:6" x14ac:dyDescent="0.35">
      <c r="A50">
        <v>5</v>
      </c>
      <c r="B50">
        <v>9</v>
      </c>
      <c r="C50" s="4"/>
      <c r="D50" s="4">
        <v>0.16700000000000001</v>
      </c>
      <c r="E50" s="4">
        <v>0.75</v>
      </c>
      <c r="F50" s="4">
        <v>1</v>
      </c>
    </row>
    <row r="51" spans="1:6" x14ac:dyDescent="0.35">
      <c r="A51">
        <v>5</v>
      </c>
      <c r="B51">
        <v>10</v>
      </c>
      <c r="C51" s="4"/>
      <c r="D51" s="4">
        <v>5</v>
      </c>
      <c r="E51" s="4">
        <v>14</v>
      </c>
      <c r="F51" s="4">
        <v>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8"/>
  <dimension ref="A1:H71"/>
  <sheetViews>
    <sheetView workbookViewId="0">
      <selection activeCell="H5" sqref="H5"/>
    </sheetView>
  </sheetViews>
  <sheetFormatPr defaultRowHeight="14.5" x14ac:dyDescent="0.35"/>
  <sheetData>
    <row r="1" spans="1:8" x14ac:dyDescent="0.35">
      <c r="A1" s="9" t="s">
        <v>336</v>
      </c>
      <c r="H1" s="9" t="s">
        <v>58</v>
      </c>
    </row>
    <row r="2" spans="1:8" x14ac:dyDescent="0.35">
      <c r="A2" s="9">
        <v>1</v>
      </c>
      <c r="B2" s="9">
        <v>1</v>
      </c>
      <c r="D2" s="15">
        <v>40</v>
      </c>
      <c r="E2" s="15">
        <v>70</v>
      </c>
      <c r="F2" s="15">
        <v>90</v>
      </c>
      <c r="H2" s="15">
        <v>97.2</v>
      </c>
    </row>
    <row r="3" spans="1:8" x14ac:dyDescent="0.35">
      <c r="A3" s="9">
        <v>1</v>
      </c>
      <c r="B3" s="9">
        <v>2</v>
      </c>
      <c r="D3" s="15">
        <v>30</v>
      </c>
      <c r="E3" s="15">
        <v>60</v>
      </c>
      <c r="F3" s="15">
        <v>80</v>
      </c>
      <c r="H3" s="15">
        <v>78.5</v>
      </c>
    </row>
    <row r="4" spans="1:8" x14ac:dyDescent="0.35">
      <c r="A4" s="9">
        <v>1</v>
      </c>
      <c r="B4" s="9">
        <v>3</v>
      </c>
      <c r="D4" s="15">
        <v>10</v>
      </c>
      <c r="E4" s="15">
        <v>20</v>
      </c>
      <c r="F4" s="15">
        <v>40</v>
      </c>
      <c r="H4" s="15">
        <v>40</v>
      </c>
    </row>
    <row r="5" spans="1:8" x14ac:dyDescent="0.35">
      <c r="A5" s="9">
        <v>1</v>
      </c>
      <c r="B5" s="9">
        <v>4</v>
      </c>
      <c r="D5" s="15">
        <v>1</v>
      </c>
      <c r="E5" s="15">
        <v>5</v>
      </c>
      <c r="F5" s="15">
        <v>10</v>
      </c>
      <c r="H5" s="114">
        <v>0</v>
      </c>
    </row>
    <row r="6" spans="1:8" x14ac:dyDescent="0.35">
      <c r="A6" s="9">
        <v>1</v>
      </c>
      <c r="B6" s="9">
        <v>5</v>
      </c>
      <c r="D6" s="15">
        <v>5</v>
      </c>
      <c r="E6" s="15">
        <v>10</v>
      </c>
      <c r="F6" s="15">
        <v>20</v>
      </c>
      <c r="H6" s="15">
        <v>7.7</v>
      </c>
    </row>
    <row r="7" spans="1:8" x14ac:dyDescent="0.35">
      <c r="A7" s="9">
        <v>1</v>
      </c>
      <c r="B7" s="9">
        <v>6</v>
      </c>
      <c r="D7" s="15">
        <v>10</v>
      </c>
      <c r="E7" s="15">
        <v>30</v>
      </c>
      <c r="F7" s="15">
        <v>50</v>
      </c>
      <c r="H7" s="15">
        <v>4.28</v>
      </c>
    </row>
    <row r="8" spans="1:8" x14ac:dyDescent="0.35">
      <c r="A8" s="9">
        <v>1</v>
      </c>
      <c r="B8" s="9">
        <v>7</v>
      </c>
      <c r="D8" s="15">
        <v>20</v>
      </c>
      <c r="E8" s="15">
        <v>50</v>
      </c>
      <c r="F8" s="15">
        <v>80</v>
      </c>
      <c r="H8" s="15">
        <v>11.2</v>
      </c>
    </row>
    <row r="9" spans="1:8" x14ac:dyDescent="0.35">
      <c r="A9" s="9">
        <v>1</v>
      </c>
      <c r="B9" s="9">
        <v>8</v>
      </c>
      <c r="D9" s="15">
        <v>5</v>
      </c>
      <c r="E9" s="15">
        <v>30</v>
      </c>
      <c r="F9" s="15">
        <v>50</v>
      </c>
      <c r="H9" s="15">
        <v>4.8</v>
      </c>
    </row>
    <row r="10" spans="1:8" x14ac:dyDescent="0.35">
      <c r="A10" s="9">
        <v>1</v>
      </c>
      <c r="B10" s="9">
        <v>9</v>
      </c>
      <c r="D10" s="15">
        <v>5</v>
      </c>
      <c r="E10" s="15">
        <v>20</v>
      </c>
      <c r="F10" s="15">
        <v>40</v>
      </c>
      <c r="H10" s="15">
        <v>0.5</v>
      </c>
    </row>
    <row r="11" spans="1:8" x14ac:dyDescent="0.35">
      <c r="A11" s="9">
        <v>1</v>
      </c>
      <c r="B11" s="9">
        <v>10</v>
      </c>
      <c r="D11" s="15">
        <v>10</v>
      </c>
      <c r="E11" s="15">
        <v>25</v>
      </c>
      <c r="F11" s="15">
        <v>40</v>
      </c>
      <c r="H11" s="15">
        <v>28.6</v>
      </c>
    </row>
    <row r="12" spans="1:8" x14ac:dyDescent="0.35">
      <c r="A12" s="9">
        <v>2</v>
      </c>
      <c r="B12" s="9">
        <v>1</v>
      </c>
      <c r="D12" s="15">
        <v>20</v>
      </c>
      <c r="E12" s="15">
        <v>70</v>
      </c>
      <c r="F12" s="15">
        <v>80</v>
      </c>
    </row>
    <row r="13" spans="1:8" x14ac:dyDescent="0.35">
      <c r="A13" s="9">
        <v>2</v>
      </c>
      <c r="B13" s="9">
        <v>2</v>
      </c>
      <c r="D13" s="15">
        <v>40</v>
      </c>
      <c r="E13" s="15">
        <v>80</v>
      </c>
      <c r="F13" s="15">
        <v>95</v>
      </c>
    </row>
    <row r="14" spans="1:8" x14ac:dyDescent="0.35">
      <c r="A14" s="9">
        <v>2</v>
      </c>
      <c r="B14" s="9">
        <v>3</v>
      </c>
      <c r="D14" s="15">
        <v>30</v>
      </c>
      <c r="E14" s="15">
        <v>60</v>
      </c>
      <c r="F14" s="15">
        <v>95</v>
      </c>
    </row>
    <row r="15" spans="1:8" x14ac:dyDescent="0.35">
      <c r="A15" s="9">
        <v>2</v>
      </c>
      <c r="B15" s="9">
        <v>4</v>
      </c>
      <c r="D15" s="15">
        <v>0</v>
      </c>
      <c r="E15" s="15">
        <v>70</v>
      </c>
      <c r="F15" s="15">
        <v>100</v>
      </c>
    </row>
    <row r="16" spans="1:8" x14ac:dyDescent="0.35">
      <c r="A16" s="9">
        <v>2</v>
      </c>
      <c r="B16" s="9">
        <v>5</v>
      </c>
      <c r="D16" s="15">
        <v>10</v>
      </c>
      <c r="E16" s="15">
        <v>20</v>
      </c>
      <c r="F16" s="15">
        <v>40</v>
      </c>
    </row>
    <row r="17" spans="1:6" x14ac:dyDescent="0.35">
      <c r="A17" s="9">
        <v>2</v>
      </c>
      <c r="B17" s="9">
        <v>6</v>
      </c>
      <c r="D17" s="15">
        <v>30</v>
      </c>
      <c r="E17" s="15">
        <v>70</v>
      </c>
      <c r="F17" s="15">
        <v>90</v>
      </c>
    </row>
    <row r="18" spans="1:6" x14ac:dyDescent="0.35">
      <c r="A18" s="9">
        <v>2</v>
      </c>
      <c r="B18" s="9">
        <v>7</v>
      </c>
      <c r="D18" s="15">
        <v>40</v>
      </c>
      <c r="E18" s="15">
        <v>60</v>
      </c>
      <c r="F18" s="15">
        <v>75</v>
      </c>
    </row>
    <row r="19" spans="1:6" x14ac:dyDescent="0.35">
      <c r="A19" s="9">
        <v>2</v>
      </c>
      <c r="B19" s="9">
        <v>8</v>
      </c>
      <c r="D19" s="15">
        <v>5</v>
      </c>
      <c r="E19" s="15">
        <v>10</v>
      </c>
      <c r="F19" s="15">
        <v>40</v>
      </c>
    </row>
    <row r="20" spans="1:6" x14ac:dyDescent="0.35">
      <c r="A20" s="9">
        <v>2</v>
      </c>
      <c r="B20" s="9">
        <v>9</v>
      </c>
      <c r="D20" s="15">
        <v>0</v>
      </c>
      <c r="E20" s="15">
        <v>5</v>
      </c>
      <c r="F20" s="15">
        <v>20</v>
      </c>
    </row>
    <row r="21" spans="1:6" x14ac:dyDescent="0.35">
      <c r="A21" s="9">
        <v>2</v>
      </c>
      <c r="B21" s="9">
        <v>10</v>
      </c>
      <c r="D21" s="15">
        <v>20</v>
      </c>
      <c r="E21" s="15">
        <v>40</v>
      </c>
      <c r="F21" s="15">
        <v>60</v>
      </c>
    </row>
    <row r="22" spans="1:6" x14ac:dyDescent="0.35">
      <c r="A22" s="9">
        <v>3</v>
      </c>
      <c r="B22" s="9">
        <v>1</v>
      </c>
      <c r="D22" s="15">
        <v>1</v>
      </c>
      <c r="E22" s="15">
        <v>30</v>
      </c>
      <c r="F22" s="15">
        <v>59</v>
      </c>
    </row>
    <row r="23" spans="1:6" x14ac:dyDescent="0.35">
      <c r="A23" s="9">
        <v>3</v>
      </c>
      <c r="B23" s="9">
        <v>2</v>
      </c>
      <c r="D23" s="15">
        <v>20</v>
      </c>
      <c r="E23" s="15">
        <v>50</v>
      </c>
      <c r="F23" s="15">
        <v>80</v>
      </c>
    </row>
    <row r="24" spans="1:6" x14ac:dyDescent="0.35">
      <c r="A24" s="9">
        <v>3</v>
      </c>
      <c r="B24" s="9">
        <v>3</v>
      </c>
      <c r="D24" s="15">
        <v>40</v>
      </c>
      <c r="E24" s="15">
        <v>80</v>
      </c>
      <c r="F24" s="15">
        <v>100</v>
      </c>
    </row>
    <row r="25" spans="1:6" x14ac:dyDescent="0.35">
      <c r="A25" s="9">
        <v>3</v>
      </c>
      <c r="B25" s="9">
        <v>4</v>
      </c>
      <c r="D25" s="15">
        <v>0</v>
      </c>
      <c r="E25" s="15">
        <v>20</v>
      </c>
      <c r="F25" s="15">
        <v>80</v>
      </c>
    </row>
    <row r="26" spans="1:6" x14ac:dyDescent="0.35">
      <c r="A26" s="9">
        <v>3</v>
      </c>
      <c r="B26" s="9">
        <v>5</v>
      </c>
      <c r="D26" s="15">
        <v>0</v>
      </c>
      <c r="E26" s="15">
        <v>5</v>
      </c>
      <c r="F26" s="15">
        <v>10</v>
      </c>
    </row>
    <row r="27" spans="1:6" x14ac:dyDescent="0.35">
      <c r="A27" s="9">
        <v>3</v>
      </c>
      <c r="B27" s="9">
        <v>6</v>
      </c>
      <c r="D27" s="15">
        <v>5</v>
      </c>
      <c r="E27" s="15">
        <v>20</v>
      </c>
      <c r="F27" s="15">
        <v>35</v>
      </c>
    </row>
    <row r="28" spans="1:6" x14ac:dyDescent="0.35">
      <c r="A28" s="9">
        <v>3</v>
      </c>
      <c r="B28" s="9">
        <v>7</v>
      </c>
      <c r="D28" s="15">
        <v>15</v>
      </c>
      <c r="E28" s="15">
        <v>40</v>
      </c>
      <c r="F28" s="15">
        <v>65</v>
      </c>
    </row>
    <row r="29" spans="1:6" x14ac:dyDescent="0.35">
      <c r="A29" s="9">
        <v>3</v>
      </c>
      <c r="B29" s="9">
        <v>8</v>
      </c>
      <c r="D29" s="15">
        <v>0</v>
      </c>
      <c r="E29" s="15">
        <v>5</v>
      </c>
      <c r="F29" s="15">
        <v>15</v>
      </c>
    </row>
    <row r="30" spans="1:6" x14ac:dyDescent="0.35">
      <c r="A30" s="9">
        <v>3</v>
      </c>
      <c r="B30" s="9">
        <v>9</v>
      </c>
      <c r="D30" s="15">
        <v>0</v>
      </c>
      <c r="E30" s="15">
        <v>20</v>
      </c>
      <c r="F30" s="15">
        <v>55</v>
      </c>
    </row>
    <row r="31" spans="1:6" x14ac:dyDescent="0.35">
      <c r="A31" s="9">
        <v>3</v>
      </c>
      <c r="B31" s="9">
        <v>10</v>
      </c>
      <c r="D31" s="15">
        <v>10</v>
      </c>
      <c r="E31" s="15">
        <v>30</v>
      </c>
      <c r="F31" s="15">
        <v>50</v>
      </c>
    </row>
    <row r="32" spans="1:6" x14ac:dyDescent="0.35">
      <c r="A32" s="9">
        <v>4</v>
      </c>
      <c r="B32" s="9">
        <v>1</v>
      </c>
      <c r="D32" s="15">
        <v>60</v>
      </c>
      <c r="E32" s="15">
        <v>75</v>
      </c>
      <c r="F32" s="15">
        <v>90</v>
      </c>
    </row>
    <row r="33" spans="1:6" x14ac:dyDescent="0.35">
      <c r="A33" s="9">
        <v>4</v>
      </c>
      <c r="B33" s="9">
        <v>2</v>
      </c>
      <c r="D33" s="15">
        <v>65</v>
      </c>
      <c r="E33" s="15">
        <v>80</v>
      </c>
      <c r="F33" s="15">
        <v>95</v>
      </c>
    </row>
    <row r="34" spans="1:6" x14ac:dyDescent="0.35">
      <c r="A34" s="9">
        <v>4</v>
      </c>
      <c r="B34" s="9">
        <v>3</v>
      </c>
      <c r="D34" s="15">
        <v>10</v>
      </c>
      <c r="E34" s="15">
        <v>40</v>
      </c>
      <c r="F34" s="15">
        <v>70</v>
      </c>
    </row>
    <row r="35" spans="1:6" x14ac:dyDescent="0.35">
      <c r="A35" s="9">
        <v>4</v>
      </c>
      <c r="B35" s="9">
        <v>4</v>
      </c>
      <c r="D35" s="15">
        <v>10</v>
      </c>
      <c r="E35" s="15">
        <v>20</v>
      </c>
      <c r="F35" s="15">
        <v>30</v>
      </c>
    </row>
    <row r="36" spans="1:6" x14ac:dyDescent="0.35">
      <c r="A36" s="9">
        <v>4</v>
      </c>
      <c r="B36" s="9">
        <v>5</v>
      </c>
      <c r="D36" s="15">
        <v>5</v>
      </c>
      <c r="E36" s="15">
        <v>10</v>
      </c>
      <c r="F36" s="15">
        <v>15</v>
      </c>
    </row>
    <row r="37" spans="1:6" x14ac:dyDescent="0.35">
      <c r="A37" s="9">
        <v>4</v>
      </c>
      <c r="B37" s="9">
        <v>6</v>
      </c>
      <c r="D37" s="15">
        <v>2</v>
      </c>
      <c r="E37" s="15">
        <v>5</v>
      </c>
      <c r="F37" s="15">
        <v>8</v>
      </c>
    </row>
    <row r="38" spans="1:6" x14ac:dyDescent="0.35">
      <c r="A38" s="9">
        <v>4</v>
      </c>
      <c r="B38" s="9">
        <v>7</v>
      </c>
      <c r="D38" s="15">
        <v>20</v>
      </c>
      <c r="E38" s="15">
        <v>30</v>
      </c>
      <c r="F38" s="15">
        <v>40</v>
      </c>
    </row>
    <row r="39" spans="1:6" x14ac:dyDescent="0.35">
      <c r="A39" s="9">
        <v>4</v>
      </c>
      <c r="B39" s="9">
        <v>8</v>
      </c>
      <c r="D39" s="15">
        <v>10</v>
      </c>
      <c r="E39" s="15">
        <v>15</v>
      </c>
      <c r="F39" s="15">
        <v>20</v>
      </c>
    </row>
    <row r="40" spans="1:6" x14ac:dyDescent="0.35">
      <c r="A40" s="9">
        <v>4</v>
      </c>
      <c r="B40" s="9">
        <v>9</v>
      </c>
      <c r="D40" s="15">
        <v>10</v>
      </c>
      <c r="E40" s="15">
        <v>20</v>
      </c>
      <c r="F40" s="15">
        <v>30</v>
      </c>
    </row>
    <row r="41" spans="1:6" x14ac:dyDescent="0.35">
      <c r="A41" s="9">
        <v>4</v>
      </c>
      <c r="B41" s="9">
        <v>10</v>
      </c>
      <c r="D41" s="15">
        <v>35</v>
      </c>
      <c r="E41" s="15">
        <v>50</v>
      </c>
      <c r="F41" s="15">
        <v>75</v>
      </c>
    </row>
    <row r="42" spans="1:6" x14ac:dyDescent="0.35">
      <c r="A42" s="9">
        <v>5</v>
      </c>
      <c r="B42" s="9">
        <v>1</v>
      </c>
      <c r="D42" s="15">
        <v>15</v>
      </c>
      <c r="E42" s="15">
        <v>50</v>
      </c>
      <c r="F42" s="15">
        <v>90</v>
      </c>
    </row>
    <row r="43" spans="1:6" x14ac:dyDescent="0.35">
      <c r="A43" s="9">
        <v>5</v>
      </c>
      <c r="B43" s="9">
        <v>2</v>
      </c>
      <c r="D43" s="15">
        <v>20</v>
      </c>
      <c r="E43" s="15">
        <v>70</v>
      </c>
      <c r="F43" s="15">
        <v>90</v>
      </c>
    </row>
    <row r="44" spans="1:6" x14ac:dyDescent="0.35">
      <c r="A44" s="9">
        <v>5</v>
      </c>
      <c r="B44" s="9">
        <v>3</v>
      </c>
      <c r="D44" s="15">
        <v>20</v>
      </c>
      <c r="E44" s="15">
        <v>70</v>
      </c>
      <c r="F44" s="15">
        <v>98</v>
      </c>
    </row>
    <row r="45" spans="1:6" x14ac:dyDescent="0.35">
      <c r="A45" s="9">
        <v>5</v>
      </c>
      <c r="B45" s="9">
        <v>4</v>
      </c>
      <c r="D45" s="15">
        <v>5</v>
      </c>
      <c r="E45" s="15">
        <v>30</v>
      </c>
      <c r="F45" s="15">
        <v>80</v>
      </c>
    </row>
    <row r="46" spans="1:6" x14ac:dyDescent="0.35">
      <c r="A46" s="9">
        <v>5</v>
      </c>
      <c r="B46" s="9">
        <v>5</v>
      </c>
      <c r="D46" s="15">
        <v>3</v>
      </c>
      <c r="E46" s="15">
        <v>15</v>
      </c>
      <c r="F46" s="15">
        <v>40</v>
      </c>
    </row>
    <row r="47" spans="1:6" x14ac:dyDescent="0.35">
      <c r="A47" s="9">
        <v>5</v>
      </c>
      <c r="B47" s="9">
        <v>6</v>
      </c>
      <c r="D47" s="15">
        <v>5</v>
      </c>
      <c r="E47" s="15">
        <v>35</v>
      </c>
      <c r="F47" s="15">
        <v>70</v>
      </c>
    </row>
    <row r="48" spans="1:6" x14ac:dyDescent="0.35">
      <c r="A48" s="9">
        <v>5</v>
      </c>
      <c r="B48" s="9">
        <v>7</v>
      </c>
      <c r="D48" s="15">
        <v>5</v>
      </c>
      <c r="E48" s="15">
        <v>30</v>
      </c>
      <c r="F48" s="15">
        <v>80</v>
      </c>
    </row>
    <row r="49" spans="1:6" x14ac:dyDescent="0.35">
      <c r="A49" s="9">
        <v>5</v>
      </c>
      <c r="B49" s="9">
        <v>8</v>
      </c>
      <c r="D49" s="15">
        <v>3</v>
      </c>
      <c r="E49" s="15">
        <v>30</v>
      </c>
      <c r="F49" s="15">
        <v>60</v>
      </c>
    </row>
    <row r="50" spans="1:6" x14ac:dyDescent="0.35">
      <c r="A50" s="9">
        <v>5</v>
      </c>
      <c r="B50" s="9">
        <v>9</v>
      </c>
      <c r="D50" s="15">
        <v>2</v>
      </c>
      <c r="E50" s="15">
        <v>20</v>
      </c>
      <c r="F50" s="15">
        <v>50</v>
      </c>
    </row>
    <row r="51" spans="1:6" x14ac:dyDescent="0.35">
      <c r="A51" s="9">
        <v>5</v>
      </c>
      <c r="B51" s="9">
        <v>10</v>
      </c>
      <c r="D51" s="15">
        <v>5</v>
      </c>
      <c r="E51" s="15">
        <v>30</v>
      </c>
      <c r="F51" s="15">
        <v>70</v>
      </c>
    </row>
    <row r="52" spans="1:6" x14ac:dyDescent="0.35">
      <c r="A52" s="9">
        <v>6</v>
      </c>
      <c r="B52" s="9">
        <v>1</v>
      </c>
      <c r="D52" s="15">
        <v>70</v>
      </c>
      <c r="E52" s="15">
        <v>80</v>
      </c>
      <c r="F52" s="15">
        <v>90</v>
      </c>
    </row>
    <row r="53" spans="1:6" x14ac:dyDescent="0.35">
      <c r="A53" s="9">
        <v>6</v>
      </c>
      <c r="B53" s="9">
        <v>2</v>
      </c>
      <c r="D53" s="15">
        <v>55</v>
      </c>
      <c r="E53" s="15">
        <v>75</v>
      </c>
      <c r="F53" s="15">
        <v>85</v>
      </c>
    </row>
    <row r="54" spans="1:6" x14ac:dyDescent="0.35">
      <c r="A54" s="9">
        <v>6</v>
      </c>
      <c r="B54" s="9">
        <v>3</v>
      </c>
      <c r="D54" s="15">
        <v>60</v>
      </c>
      <c r="E54" s="15">
        <v>75</v>
      </c>
      <c r="F54" s="15">
        <v>85</v>
      </c>
    </row>
    <row r="55" spans="1:6" x14ac:dyDescent="0.35">
      <c r="A55" s="9">
        <v>6</v>
      </c>
      <c r="B55" s="9">
        <v>4</v>
      </c>
      <c r="D55" s="15">
        <v>15</v>
      </c>
      <c r="E55" s="15">
        <v>50</v>
      </c>
      <c r="F55" s="15">
        <v>60</v>
      </c>
    </row>
    <row r="56" spans="1:6" x14ac:dyDescent="0.35">
      <c r="A56" s="9">
        <v>6</v>
      </c>
      <c r="B56" s="9">
        <v>5</v>
      </c>
      <c r="D56" s="15">
        <v>5</v>
      </c>
      <c r="E56" s="15">
        <v>10</v>
      </c>
      <c r="F56" s="15">
        <v>20</v>
      </c>
    </row>
    <row r="57" spans="1:6" x14ac:dyDescent="0.35">
      <c r="A57" s="9">
        <v>6</v>
      </c>
      <c r="B57" s="9">
        <v>6</v>
      </c>
      <c r="D57" s="15">
        <v>2</v>
      </c>
      <c r="E57" s="15">
        <v>25</v>
      </c>
      <c r="F57" s="15">
        <v>40</v>
      </c>
    </row>
    <row r="58" spans="1:6" x14ac:dyDescent="0.35">
      <c r="A58" s="9">
        <v>6</v>
      </c>
      <c r="B58" s="9">
        <v>7</v>
      </c>
      <c r="D58" s="15">
        <v>15</v>
      </c>
      <c r="E58" s="15">
        <v>25</v>
      </c>
      <c r="F58" s="15">
        <v>35</v>
      </c>
    </row>
    <row r="59" spans="1:6" x14ac:dyDescent="0.35">
      <c r="A59" s="9">
        <v>6</v>
      </c>
      <c r="B59" s="9">
        <v>8</v>
      </c>
      <c r="D59" s="15">
        <v>1</v>
      </c>
      <c r="E59" s="15">
        <v>5</v>
      </c>
      <c r="F59" s="15">
        <v>10</v>
      </c>
    </row>
    <row r="60" spans="1:6" x14ac:dyDescent="0.35">
      <c r="A60" s="9">
        <v>6</v>
      </c>
      <c r="B60" s="9">
        <v>9</v>
      </c>
      <c r="D60" s="15">
        <v>5</v>
      </c>
      <c r="E60" s="15">
        <v>10</v>
      </c>
      <c r="F60" s="15">
        <v>25</v>
      </c>
    </row>
    <row r="61" spans="1:6" x14ac:dyDescent="0.35">
      <c r="A61" s="9">
        <v>6</v>
      </c>
      <c r="B61" s="9">
        <v>10</v>
      </c>
      <c r="D61" s="15">
        <v>5</v>
      </c>
      <c r="E61" s="15">
        <v>15</v>
      </c>
      <c r="F61" s="15">
        <v>25</v>
      </c>
    </row>
    <row r="62" spans="1:6" x14ac:dyDescent="0.35">
      <c r="A62" s="9">
        <v>7</v>
      </c>
      <c r="B62" s="9">
        <v>1</v>
      </c>
      <c r="D62" s="15">
        <v>5</v>
      </c>
      <c r="E62" s="15">
        <v>50</v>
      </c>
      <c r="F62" s="15">
        <v>80</v>
      </c>
    </row>
    <row r="63" spans="1:6" x14ac:dyDescent="0.35">
      <c r="A63" s="9">
        <v>7</v>
      </c>
      <c r="B63" s="9">
        <v>2</v>
      </c>
      <c r="D63" s="15">
        <v>10</v>
      </c>
      <c r="E63" s="15">
        <v>70</v>
      </c>
      <c r="F63" s="15">
        <v>95</v>
      </c>
    </row>
    <row r="64" spans="1:6" x14ac:dyDescent="0.35">
      <c r="A64" s="9">
        <v>7</v>
      </c>
      <c r="B64" s="9">
        <v>3</v>
      </c>
      <c r="D64" s="15">
        <v>80</v>
      </c>
      <c r="E64" s="15">
        <v>90</v>
      </c>
      <c r="F64" s="15">
        <v>100</v>
      </c>
    </row>
    <row r="65" spans="1:6" x14ac:dyDescent="0.35">
      <c r="A65" s="9">
        <v>7</v>
      </c>
      <c r="B65" s="9">
        <v>4</v>
      </c>
      <c r="D65" s="15">
        <v>0</v>
      </c>
      <c r="E65" s="15">
        <v>5</v>
      </c>
      <c r="F65" s="15">
        <v>50</v>
      </c>
    </row>
    <row r="66" spans="1:6" x14ac:dyDescent="0.35">
      <c r="A66" s="9">
        <v>7</v>
      </c>
      <c r="B66" s="9">
        <v>5</v>
      </c>
      <c r="D66" s="15">
        <v>1</v>
      </c>
      <c r="E66" s="15">
        <v>5</v>
      </c>
      <c r="F66" s="15">
        <v>50</v>
      </c>
    </row>
    <row r="67" spans="1:6" x14ac:dyDescent="0.35">
      <c r="A67" s="9">
        <v>7</v>
      </c>
      <c r="B67" s="9">
        <v>6</v>
      </c>
      <c r="D67" s="15">
        <v>10</v>
      </c>
      <c r="E67" s="15">
        <v>50</v>
      </c>
      <c r="F67" s="15">
        <v>90</v>
      </c>
    </row>
    <row r="68" spans="1:6" x14ac:dyDescent="0.35">
      <c r="A68" s="9">
        <v>7</v>
      </c>
      <c r="B68" s="9">
        <v>7</v>
      </c>
      <c r="D68" s="15">
        <v>10</v>
      </c>
      <c r="E68" s="15">
        <v>50</v>
      </c>
      <c r="F68" s="15">
        <v>90</v>
      </c>
    </row>
    <row r="69" spans="1:6" x14ac:dyDescent="0.35">
      <c r="A69" s="9">
        <v>7</v>
      </c>
      <c r="B69" s="9">
        <v>8</v>
      </c>
      <c r="D69" s="15">
        <v>10</v>
      </c>
      <c r="E69" s="15">
        <v>50</v>
      </c>
      <c r="F69" s="15">
        <v>90</v>
      </c>
    </row>
    <row r="70" spans="1:6" x14ac:dyDescent="0.35">
      <c r="A70" s="9">
        <v>7</v>
      </c>
      <c r="B70" s="9">
        <v>9</v>
      </c>
      <c r="D70" s="15">
        <v>5</v>
      </c>
      <c r="E70" s="15">
        <v>50</v>
      </c>
      <c r="F70" s="15">
        <v>90</v>
      </c>
    </row>
    <row r="71" spans="1:6" x14ac:dyDescent="0.35">
      <c r="A71" s="9">
        <v>7</v>
      </c>
      <c r="B71" s="9">
        <v>10</v>
      </c>
      <c r="D71" s="15">
        <v>5</v>
      </c>
      <c r="E71" s="15">
        <v>50</v>
      </c>
      <c r="F71" s="15">
        <v>90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6"/>
  <dimension ref="A1:H323"/>
  <sheetViews>
    <sheetView workbookViewId="0"/>
  </sheetViews>
  <sheetFormatPr defaultRowHeight="14.5" x14ac:dyDescent="0.35"/>
  <sheetData>
    <row r="1" spans="1:8" x14ac:dyDescent="0.35">
      <c r="A1" t="s">
        <v>262</v>
      </c>
      <c r="G1" s="4"/>
    </row>
    <row r="2" spans="1:8" x14ac:dyDescent="0.35">
      <c r="A2">
        <v>1</v>
      </c>
      <c r="B2" s="10">
        <v>1</v>
      </c>
      <c r="C2" s="4" t="s">
        <v>288</v>
      </c>
      <c r="D2" s="4">
        <v>9</v>
      </c>
      <c r="E2" s="4">
        <v>18</v>
      </c>
      <c r="F2" s="4">
        <v>36</v>
      </c>
      <c r="G2" s="4"/>
      <c r="H2" s="4">
        <v>17</v>
      </c>
    </row>
    <row r="3" spans="1:8" x14ac:dyDescent="0.35">
      <c r="A3">
        <v>1</v>
      </c>
      <c r="B3" s="10">
        <v>2</v>
      </c>
      <c r="C3" s="4" t="s">
        <v>289</v>
      </c>
      <c r="D3" s="4">
        <v>0.5</v>
      </c>
      <c r="E3" s="4">
        <v>4</v>
      </c>
      <c r="F3" s="4">
        <v>6</v>
      </c>
      <c r="G3" s="4"/>
      <c r="H3" s="4">
        <v>6</v>
      </c>
    </row>
    <row r="4" spans="1:8" x14ac:dyDescent="0.35">
      <c r="A4">
        <v>1</v>
      </c>
      <c r="B4" s="10">
        <v>3</v>
      </c>
      <c r="C4" s="4" t="s">
        <v>290</v>
      </c>
      <c r="D4" s="4">
        <v>6</v>
      </c>
      <c r="E4" s="4">
        <v>12</v>
      </c>
      <c r="F4" s="4">
        <v>15</v>
      </c>
      <c r="G4" s="4"/>
      <c r="H4" s="4">
        <v>23</v>
      </c>
    </row>
    <row r="5" spans="1:8" x14ac:dyDescent="0.35">
      <c r="A5">
        <v>1</v>
      </c>
      <c r="B5" s="10">
        <v>4</v>
      </c>
      <c r="C5" s="4" t="s">
        <v>291</v>
      </c>
      <c r="D5" s="4">
        <v>-36</v>
      </c>
      <c r="E5" s="4">
        <v>-24</v>
      </c>
      <c r="F5" s="4">
        <v>-6</v>
      </c>
      <c r="G5" s="4"/>
      <c r="H5" s="4">
        <v>-38</v>
      </c>
    </row>
    <row r="6" spans="1:8" x14ac:dyDescent="0.35">
      <c r="A6">
        <v>1</v>
      </c>
      <c r="B6" s="10">
        <v>5</v>
      </c>
      <c r="C6" s="4" t="s">
        <v>292</v>
      </c>
      <c r="D6" s="4">
        <v>2</v>
      </c>
      <c r="E6" s="4">
        <v>10</v>
      </c>
      <c r="F6" s="4">
        <v>20</v>
      </c>
      <c r="G6" s="4"/>
      <c r="H6" s="4">
        <v>20</v>
      </c>
    </row>
    <row r="7" spans="1:8" x14ac:dyDescent="0.35">
      <c r="A7">
        <v>1</v>
      </c>
      <c r="B7" s="10">
        <v>6</v>
      </c>
      <c r="C7" s="4" t="s">
        <v>293</v>
      </c>
      <c r="D7" s="4">
        <v>100</v>
      </c>
      <c r="E7" s="4">
        <v>1000</v>
      </c>
      <c r="F7" s="4">
        <v>5000</v>
      </c>
      <c r="G7" s="4"/>
      <c r="H7" s="4">
        <v>680</v>
      </c>
    </row>
    <row r="8" spans="1:8" x14ac:dyDescent="0.35">
      <c r="A8">
        <v>1</v>
      </c>
      <c r="B8" s="10">
        <v>7</v>
      </c>
      <c r="C8" s="4" t="s">
        <v>294</v>
      </c>
      <c r="D8" s="4">
        <v>10</v>
      </c>
      <c r="E8" s="4">
        <v>300</v>
      </c>
      <c r="F8" s="4">
        <v>1500</v>
      </c>
      <c r="G8" s="4"/>
      <c r="H8" s="4">
        <v>90</v>
      </c>
    </row>
    <row r="9" spans="1:8" x14ac:dyDescent="0.35">
      <c r="A9">
        <v>1</v>
      </c>
      <c r="B9" s="10">
        <v>8</v>
      </c>
      <c r="C9" s="4" t="s">
        <v>295</v>
      </c>
      <c r="D9" s="4">
        <v>25</v>
      </c>
      <c r="E9" s="4">
        <v>35</v>
      </c>
      <c r="F9" s="4">
        <v>55</v>
      </c>
      <c r="G9" s="4"/>
      <c r="H9" s="4">
        <v>13</v>
      </c>
    </row>
    <row r="10" spans="1:8" x14ac:dyDescent="0.35">
      <c r="A10">
        <v>1</v>
      </c>
      <c r="B10" s="10">
        <v>9</v>
      </c>
      <c r="C10" s="4" t="s">
        <v>296</v>
      </c>
      <c r="D10" s="4">
        <v>2</v>
      </c>
      <c r="E10" s="4">
        <v>4</v>
      </c>
      <c r="F10" s="4">
        <v>12</v>
      </c>
      <c r="G10" s="4"/>
      <c r="H10" s="4">
        <v>27</v>
      </c>
    </row>
    <row r="11" spans="1:8" x14ac:dyDescent="0.35">
      <c r="A11">
        <v>1</v>
      </c>
      <c r="B11" s="10">
        <v>10</v>
      </c>
      <c r="C11" s="4" t="s">
        <v>297</v>
      </c>
      <c r="D11" s="4">
        <v>3</v>
      </c>
      <c r="E11" s="4">
        <v>6</v>
      </c>
      <c r="F11" s="4">
        <v>10</v>
      </c>
      <c r="G11" s="4"/>
      <c r="H11" s="4">
        <v>8.9</v>
      </c>
    </row>
    <row r="12" spans="1:8" x14ac:dyDescent="0.35">
      <c r="A12">
        <v>2</v>
      </c>
      <c r="B12" s="10">
        <v>1</v>
      </c>
      <c r="C12" s="4" t="s">
        <v>288</v>
      </c>
      <c r="D12" s="4">
        <v>18</v>
      </c>
      <c r="E12" s="4">
        <v>20</v>
      </c>
      <c r="F12" s="4">
        <v>29</v>
      </c>
      <c r="G12" s="4"/>
    </row>
    <row r="13" spans="1:8" x14ac:dyDescent="0.35">
      <c r="A13">
        <v>2</v>
      </c>
      <c r="B13" s="10">
        <v>2</v>
      </c>
      <c r="C13" s="4" t="s">
        <v>289</v>
      </c>
      <c r="D13" s="4">
        <v>4</v>
      </c>
      <c r="E13" s="4">
        <v>6</v>
      </c>
      <c r="F13" s="4">
        <v>8</v>
      </c>
      <c r="G13" s="4"/>
    </row>
    <row r="14" spans="1:8" x14ac:dyDescent="0.35">
      <c r="A14">
        <v>2</v>
      </c>
      <c r="B14" s="10">
        <v>3</v>
      </c>
      <c r="C14" s="4" t="s">
        <v>290</v>
      </c>
      <c r="D14" s="4">
        <v>2</v>
      </c>
      <c r="E14" s="4">
        <v>20</v>
      </c>
      <c r="F14" s="4">
        <v>22</v>
      </c>
      <c r="G14" s="4"/>
    </row>
    <row r="15" spans="1:8" x14ac:dyDescent="0.35">
      <c r="A15">
        <v>2</v>
      </c>
      <c r="B15" s="10">
        <v>4</v>
      </c>
      <c r="C15" s="4" t="s">
        <v>291</v>
      </c>
      <c r="D15" s="4">
        <v>2</v>
      </c>
      <c r="E15" s="4">
        <v>3</v>
      </c>
      <c r="F15" s="4">
        <v>25</v>
      </c>
      <c r="G15" s="4"/>
    </row>
    <row r="16" spans="1:8" x14ac:dyDescent="0.35">
      <c r="A16">
        <v>2</v>
      </c>
      <c r="B16" s="10">
        <v>5</v>
      </c>
      <c r="C16" s="4" t="s">
        <v>292</v>
      </c>
      <c r="D16" s="4">
        <v>0.2</v>
      </c>
      <c r="E16" s="4">
        <v>0.3</v>
      </c>
      <c r="F16" s="4">
        <v>0.5</v>
      </c>
      <c r="G16" s="4"/>
    </row>
    <row r="17" spans="1:7" x14ac:dyDescent="0.35">
      <c r="A17">
        <v>2</v>
      </c>
      <c r="B17" s="10">
        <v>6</v>
      </c>
      <c r="C17" s="4" t="s">
        <v>293</v>
      </c>
      <c r="D17" s="4">
        <v>0.2</v>
      </c>
      <c r="E17" s="4">
        <v>1</v>
      </c>
      <c r="F17" s="4">
        <v>2</v>
      </c>
      <c r="G17" s="4"/>
    </row>
    <row r="18" spans="1:7" x14ac:dyDescent="0.35">
      <c r="A18">
        <v>2</v>
      </c>
      <c r="B18" s="10">
        <v>7</v>
      </c>
      <c r="C18" s="4" t="s">
        <v>294</v>
      </c>
      <c r="D18" s="4">
        <v>5</v>
      </c>
      <c r="E18" s="4">
        <v>100</v>
      </c>
      <c r="F18" s="4">
        <v>200</v>
      </c>
      <c r="G18" s="4"/>
    </row>
    <row r="19" spans="1:7" x14ac:dyDescent="0.35">
      <c r="A19">
        <v>2</v>
      </c>
      <c r="B19" s="10">
        <v>8</v>
      </c>
      <c r="C19" s="4" t="s">
        <v>295</v>
      </c>
      <c r="D19" s="4">
        <v>5</v>
      </c>
      <c r="E19" s="4">
        <v>50</v>
      </c>
      <c r="F19" s="4">
        <v>75</v>
      </c>
      <c r="G19" s="4"/>
    </row>
    <row r="20" spans="1:7" x14ac:dyDescent="0.35">
      <c r="A20">
        <v>2</v>
      </c>
      <c r="B20" s="10">
        <v>9</v>
      </c>
      <c r="C20" s="4" t="s">
        <v>296</v>
      </c>
      <c r="D20" s="4">
        <v>1</v>
      </c>
      <c r="E20" s="4">
        <v>3</v>
      </c>
      <c r="F20" s="4">
        <v>5</v>
      </c>
      <c r="G20" s="4"/>
    </row>
    <row r="21" spans="1:7" x14ac:dyDescent="0.35">
      <c r="A21">
        <v>2</v>
      </c>
      <c r="B21" s="10">
        <v>10</v>
      </c>
      <c r="C21" s="4" t="s">
        <v>297</v>
      </c>
      <c r="D21" s="4">
        <v>33</v>
      </c>
      <c r="E21" s="4">
        <v>100</v>
      </c>
      <c r="F21" s="4">
        <v>500</v>
      </c>
      <c r="G21" s="4"/>
    </row>
    <row r="22" spans="1:7" x14ac:dyDescent="0.35">
      <c r="A22">
        <v>3</v>
      </c>
      <c r="B22" s="10">
        <v>1</v>
      </c>
      <c r="C22" s="4" t="s">
        <v>288</v>
      </c>
      <c r="D22" s="4">
        <v>14</v>
      </c>
      <c r="E22" s="4">
        <v>20</v>
      </c>
      <c r="F22" s="4">
        <v>34</v>
      </c>
      <c r="G22" s="4"/>
    </row>
    <row r="23" spans="1:7" x14ac:dyDescent="0.35">
      <c r="A23">
        <v>3</v>
      </c>
      <c r="B23" s="10">
        <v>2</v>
      </c>
      <c r="C23" s="4" t="s">
        <v>289</v>
      </c>
      <c r="D23" s="4">
        <v>1</v>
      </c>
      <c r="E23" s="4">
        <v>4</v>
      </c>
      <c r="F23" s="4">
        <v>6</v>
      </c>
      <c r="G23" s="4"/>
    </row>
    <row r="24" spans="1:7" x14ac:dyDescent="0.35">
      <c r="A24">
        <v>3</v>
      </c>
      <c r="B24" s="10">
        <v>3</v>
      </c>
      <c r="C24" s="4" t="s">
        <v>290</v>
      </c>
      <c r="D24" s="4">
        <v>15</v>
      </c>
      <c r="E24" s="4">
        <v>20</v>
      </c>
      <c r="F24" s="4">
        <v>36</v>
      </c>
    </row>
    <row r="25" spans="1:7" x14ac:dyDescent="0.35">
      <c r="A25">
        <v>3</v>
      </c>
      <c r="B25" s="10">
        <v>4</v>
      </c>
      <c r="C25" s="4" t="s">
        <v>291</v>
      </c>
      <c r="D25" s="4">
        <v>-96</v>
      </c>
      <c r="E25" s="4">
        <v>-50</v>
      </c>
      <c r="F25" s="4">
        <v>-26</v>
      </c>
    </row>
    <row r="26" spans="1:7" x14ac:dyDescent="0.35">
      <c r="A26">
        <v>3</v>
      </c>
      <c r="B26" s="10">
        <v>5</v>
      </c>
      <c r="C26" s="4" t="s">
        <v>292</v>
      </c>
      <c r="D26" s="4">
        <v>1</v>
      </c>
      <c r="E26" s="4">
        <v>4</v>
      </c>
      <c r="F26" s="4">
        <v>8</v>
      </c>
    </row>
    <row r="27" spans="1:7" x14ac:dyDescent="0.35">
      <c r="A27">
        <v>3</v>
      </c>
      <c r="B27" s="10">
        <v>6</v>
      </c>
      <c r="C27" s="4" t="s">
        <v>293</v>
      </c>
      <c r="D27" s="4">
        <v>1.2</v>
      </c>
      <c r="E27" s="4">
        <v>2</v>
      </c>
      <c r="F27" s="4">
        <v>5</v>
      </c>
    </row>
    <row r="28" spans="1:7" x14ac:dyDescent="0.35">
      <c r="A28">
        <v>3</v>
      </c>
      <c r="B28" s="10">
        <v>7</v>
      </c>
      <c r="C28" s="4" t="s">
        <v>294</v>
      </c>
      <c r="D28" s="4">
        <v>2</v>
      </c>
      <c r="E28" s="4">
        <v>20</v>
      </c>
      <c r="F28" s="4">
        <v>400</v>
      </c>
    </row>
    <row r="29" spans="1:7" x14ac:dyDescent="0.35">
      <c r="A29">
        <v>3</v>
      </c>
      <c r="B29" s="10">
        <v>8</v>
      </c>
      <c r="C29" s="4" t="s">
        <v>295</v>
      </c>
      <c r="D29" s="4">
        <v>20</v>
      </c>
      <c r="E29" s="4">
        <v>30</v>
      </c>
      <c r="F29" s="4">
        <v>38</v>
      </c>
    </row>
    <row r="30" spans="1:7" x14ac:dyDescent="0.35">
      <c r="A30">
        <v>3</v>
      </c>
      <c r="B30" s="10">
        <v>9</v>
      </c>
      <c r="C30" s="4" t="s">
        <v>296</v>
      </c>
      <c r="D30" s="4">
        <v>5</v>
      </c>
      <c r="E30" s="4">
        <v>40</v>
      </c>
      <c r="F30" s="4">
        <v>130</v>
      </c>
    </row>
    <row r="31" spans="1:7" x14ac:dyDescent="0.35">
      <c r="A31">
        <v>3</v>
      </c>
      <c r="B31" s="10">
        <v>10</v>
      </c>
      <c r="C31" s="4" t="s">
        <v>297</v>
      </c>
      <c r="D31" s="4">
        <v>1</v>
      </c>
      <c r="E31" s="4">
        <v>30</v>
      </c>
      <c r="F31" s="4">
        <v>100</v>
      </c>
    </row>
    <row r="32" spans="1:7" x14ac:dyDescent="0.35">
      <c r="A32">
        <v>4</v>
      </c>
      <c r="B32" s="10">
        <v>1</v>
      </c>
      <c r="C32" s="4" t="s">
        <v>288</v>
      </c>
      <c r="D32" s="4">
        <v>18</v>
      </c>
      <c r="E32" s="4">
        <v>36</v>
      </c>
      <c r="F32" s="4">
        <v>60</v>
      </c>
    </row>
    <row r="33" spans="1:6" x14ac:dyDescent="0.35">
      <c r="A33">
        <v>4</v>
      </c>
      <c r="B33" s="10">
        <v>2</v>
      </c>
      <c r="C33" s="4" t="s">
        <v>289</v>
      </c>
      <c r="D33" s="4">
        <v>18</v>
      </c>
      <c r="E33" s="4">
        <v>36</v>
      </c>
      <c r="F33" s="4">
        <v>60</v>
      </c>
    </row>
    <row r="34" spans="1:6" x14ac:dyDescent="0.35">
      <c r="A34">
        <v>4</v>
      </c>
      <c r="B34" s="10">
        <v>3</v>
      </c>
      <c r="C34" s="4" t="s">
        <v>290</v>
      </c>
      <c r="D34" s="4">
        <v>24</v>
      </c>
      <c r="E34" s="4">
        <v>48</v>
      </c>
      <c r="F34" s="4">
        <v>72</v>
      </c>
    </row>
    <row r="35" spans="1:6" x14ac:dyDescent="0.35">
      <c r="A35">
        <v>4</v>
      </c>
      <c r="B35" s="10">
        <v>4</v>
      </c>
      <c r="C35" s="4" t="s">
        <v>291</v>
      </c>
      <c r="D35" s="4">
        <v>0</v>
      </c>
      <c r="E35" s="4">
        <v>50</v>
      </c>
      <c r="F35" s="4">
        <v>100</v>
      </c>
    </row>
    <row r="36" spans="1:6" x14ac:dyDescent="0.35">
      <c r="A36">
        <v>4</v>
      </c>
      <c r="B36" s="10">
        <v>5</v>
      </c>
      <c r="C36" s="4" t="s">
        <v>292</v>
      </c>
      <c r="D36" s="4">
        <v>30</v>
      </c>
      <c r="E36" s="4">
        <v>70</v>
      </c>
      <c r="F36" s="4">
        <v>100</v>
      </c>
    </row>
    <row r="37" spans="1:6" x14ac:dyDescent="0.35">
      <c r="A37">
        <v>4</v>
      </c>
      <c r="B37" s="10">
        <v>6</v>
      </c>
      <c r="C37" s="4" t="s">
        <v>293</v>
      </c>
      <c r="D37" s="4">
        <v>2</v>
      </c>
      <c r="E37" s="4">
        <v>10</v>
      </c>
      <c r="F37" s="4">
        <v>1000</v>
      </c>
    </row>
    <row r="38" spans="1:6" x14ac:dyDescent="0.35">
      <c r="A38">
        <v>4</v>
      </c>
      <c r="B38" s="10">
        <v>7</v>
      </c>
      <c r="C38" s="4" t="s">
        <v>294</v>
      </c>
      <c r="D38" s="4">
        <v>5</v>
      </c>
      <c r="E38" s="4">
        <v>50</v>
      </c>
      <c r="F38" s="4">
        <v>500</v>
      </c>
    </row>
    <row r="39" spans="1:6" x14ac:dyDescent="0.35">
      <c r="A39">
        <v>4</v>
      </c>
      <c r="B39" s="10">
        <v>8</v>
      </c>
      <c r="C39" s="4" t="s">
        <v>295</v>
      </c>
      <c r="D39" s="4">
        <v>5</v>
      </c>
      <c r="E39" s="4">
        <v>8</v>
      </c>
      <c r="F39" s="4">
        <v>15</v>
      </c>
    </row>
    <row r="40" spans="1:6" x14ac:dyDescent="0.35">
      <c r="A40">
        <v>4</v>
      </c>
      <c r="B40" s="10">
        <v>9</v>
      </c>
      <c r="C40" s="4" t="s">
        <v>296</v>
      </c>
      <c r="D40" s="4">
        <v>0.1</v>
      </c>
      <c r="E40" s="4">
        <v>10</v>
      </c>
      <c r="F40" s="4">
        <v>30</v>
      </c>
    </row>
    <row r="41" spans="1:6" x14ac:dyDescent="0.35">
      <c r="A41">
        <v>4</v>
      </c>
      <c r="B41" s="10">
        <v>10</v>
      </c>
      <c r="C41" s="4" t="s">
        <v>297</v>
      </c>
      <c r="D41" s="4">
        <v>5</v>
      </c>
      <c r="E41" s="4">
        <v>20</v>
      </c>
      <c r="F41" s="4">
        <v>200</v>
      </c>
    </row>
    <row r="42" spans="1:6" x14ac:dyDescent="0.35">
      <c r="A42">
        <v>5</v>
      </c>
      <c r="B42" s="10">
        <v>1</v>
      </c>
      <c r="C42" s="4" t="s">
        <v>288</v>
      </c>
      <c r="D42" s="4">
        <v>18</v>
      </c>
      <c r="E42" s="4">
        <v>24</v>
      </c>
      <c r="F42" s="4">
        <v>34</v>
      </c>
    </row>
    <row r="43" spans="1:6" x14ac:dyDescent="0.35">
      <c r="A43">
        <v>5</v>
      </c>
      <c r="B43" s="10">
        <v>2</v>
      </c>
      <c r="C43" s="4" t="s">
        <v>289</v>
      </c>
      <c r="D43" s="4">
        <v>0.4</v>
      </c>
      <c r="E43" s="4">
        <v>1</v>
      </c>
      <c r="F43" s="4">
        <v>2</v>
      </c>
    </row>
    <row r="44" spans="1:6" x14ac:dyDescent="0.35">
      <c r="A44">
        <v>5</v>
      </c>
      <c r="B44" s="10">
        <v>3</v>
      </c>
      <c r="C44" s="4" t="s">
        <v>290</v>
      </c>
      <c r="D44" s="4">
        <v>26</v>
      </c>
      <c r="E44" s="4">
        <v>34</v>
      </c>
      <c r="F44" s="4">
        <v>40</v>
      </c>
    </row>
    <row r="45" spans="1:6" x14ac:dyDescent="0.35">
      <c r="A45">
        <v>5</v>
      </c>
      <c r="B45" s="10">
        <v>4</v>
      </c>
      <c r="C45" s="4" t="s">
        <v>291</v>
      </c>
      <c r="D45" s="4">
        <v>-14</v>
      </c>
      <c r="E45" s="4">
        <v>-8</v>
      </c>
      <c r="F45" s="4">
        <v>-4</v>
      </c>
    </row>
    <row r="46" spans="1:6" x14ac:dyDescent="0.35">
      <c r="A46">
        <v>5</v>
      </c>
      <c r="B46" s="10">
        <v>5</v>
      </c>
      <c r="C46" s="4" t="s">
        <v>292</v>
      </c>
      <c r="D46" s="4">
        <v>2</v>
      </c>
      <c r="E46" s="4">
        <v>3</v>
      </c>
      <c r="F46" s="4">
        <v>4</v>
      </c>
    </row>
    <row r="47" spans="1:6" x14ac:dyDescent="0.35">
      <c r="A47">
        <v>5</v>
      </c>
      <c r="B47" s="10">
        <v>6</v>
      </c>
      <c r="C47" s="4" t="s">
        <v>293</v>
      </c>
      <c r="D47" s="4">
        <v>100</v>
      </c>
      <c r="E47" s="4">
        <v>160</v>
      </c>
      <c r="F47" s="4">
        <v>200</v>
      </c>
    </row>
    <row r="48" spans="1:6" x14ac:dyDescent="0.35">
      <c r="A48">
        <v>5</v>
      </c>
      <c r="B48" s="10">
        <v>7</v>
      </c>
      <c r="C48" s="4" t="s">
        <v>294</v>
      </c>
      <c r="D48" s="4">
        <v>2</v>
      </c>
      <c r="E48" s="4">
        <v>10</v>
      </c>
      <c r="F48" s="4">
        <v>20</v>
      </c>
    </row>
    <row r="49" spans="1:6" x14ac:dyDescent="0.35">
      <c r="A49">
        <v>5</v>
      </c>
      <c r="B49" s="10">
        <v>8</v>
      </c>
      <c r="C49" s="4" t="s">
        <v>295</v>
      </c>
      <c r="D49" s="4">
        <v>6</v>
      </c>
      <c r="E49" s="4">
        <v>12</v>
      </c>
      <c r="F49" s="4">
        <v>20</v>
      </c>
    </row>
    <row r="50" spans="1:6" x14ac:dyDescent="0.35">
      <c r="A50">
        <v>5</v>
      </c>
      <c r="B50" s="10">
        <v>9</v>
      </c>
      <c r="C50" s="4" t="s">
        <v>296</v>
      </c>
      <c r="D50" s="4">
        <v>5</v>
      </c>
      <c r="E50" s="4">
        <v>10</v>
      </c>
      <c r="F50" s="4">
        <v>50</v>
      </c>
    </row>
    <row r="51" spans="1:6" x14ac:dyDescent="0.35">
      <c r="A51">
        <v>5</v>
      </c>
      <c r="B51" s="10">
        <v>10</v>
      </c>
      <c r="C51" s="4" t="s">
        <v>297</v>
      </c>
      <c r="D51" s="4">
        <v>3</v>
      </c>
      <c r="E51" s="4">
        <v>5</v>
      </c>
      <c r="F51" s="4">
        <v>8</v>
      </c>
    </row>
    <row r="52" spans="1:6" x14ac:dyDescent="0.35">
      <c r="A52">
        <v>6</v>
      </c>
      <c r="B52" s="10">
        <v>1</v>
      </c>
      <c r="C52" s="4" t="s">
        <v>288</v>
      </c>
      <c r="D52" s="4">
        <v>12</v>
      </c>
      <c r="E52" s="4">
        <v>22</v>
      </c>
      <c r="F52" s="4">
        <v>36</v>
      </c>
    </row>
    <row r="53" spans="1:6" x14ac:dyDescent="0.35">
      <c r="A53">
        <v>6</v>
      </c>
      <c r="B53" s="10">
        <v>2</v>
      </c>
      <c r="C53" s="4" t="s">
        <v>289</v>
      </c>
      <c r="D53" s="4">
        <v>1</v>
      </c>
      <c r="E53" s="4">
        <v>3</v>
      </c>
      <c r="F53" s="4">
        <v>7</v>
      </c>
    </row>
    <row r="54" spans="1:6" x14ac:dyDescent="0.35">
      <c r="A54">
        <v>6</v>
      </c>
      <c r="B54" s="10">
        <v>3</v>
      </c>
      <c r="C54" s="4" t="s">
        <v>290</v>
      </c>
      <c r="D54" s="4">
        <v>1</v>
      </c>
      <c r="E54" s="4">
        <v>6</v>
      </c>
      <c r="F54" s="4">
        <v>15</v>
      </c>
    </row>
    <row r="55" spans="1:6" x14ac:dyDescent="0.35">
      <c r="A55">
        <v>6</v>
      </c>
      <c r="B55" s="10">
        <v>4</v>
      </c>
      <c r="C55" s="4" t="s">
        <v>291</v>
      </c>
      <c r="D55" s="4">
        <v>-12</v>
      </c>
      <c r="E55" s="4">
        <v>0</v>
      </c>
      <c r="F55" s="4">
        <v>12</v>
      </c>
    </row>
    <row r="56" spans="1:6" x14ac:dyDescent="0.35">
      <c r="A56">
        <v>6</v>
      </c>
      <c r="B56" s="10">
        <v>5</v>
      </c>
      <c r="C56" s="4" t="s">
        <v>292</v>
      </c>
      <c r="D56" s="4">
        <v>2</v>
      </c>
      <c r="E56" s="4">
        <v>5</v>
      </c>
      <c r="F56" s="4">
        <v>20</v>
      </c>
    </row>
    <row r="57" spans="1:6" x14ac:dyDescent="0.35">
      <c r="A57">
        <v>6</v>
      </c>
      <c r="B57" s="10">
        <v>6</v>
      </c>
      <c r="C57" s="4" t="s">
        <v>293</v>
      </c>
      <c r="D57" s="4">
        <v>1.2</v>
      </c>
      <c r="E57" s="4">
        <v>2</v>
      </c>
      <c r="F57" s="4">
        <v>10</v>
      </c>
    </row>
    <row r="58" spans="1:6" x14ac:dyDescent="0.35">
      <c r="A58">
        <v>6</v>
      </c>
      <c r="B58" s="10">
        <v>7</v>
      </c>
      <c r="C58" s="4" t="s">
        <v>294</v>
      </c>
      <c r="D58" s="4">
        <v>10</v>
      </c>
      <c r="E58" s="4">
        <v>300</v>
      </c>
      <c r="F58" s="4">
        <v>10000</v>
      </c>
    </row>
    <row r="59" spans="1:6" x14ac:dyDescent="0.35">
      <c r="A59">
        <v>6</v>
      </c>
      <c r="B59" s="10">
        <v>8</v>
      </c>
      <c r="C59" s="4" t="s">
        <v>295</v>
      </c>
      <c r="D59" s="4">
        <v>3</v>
      </c>
      <c r="E59" s="4">
        <v>5</v>
      </c>
      <c r="F59" s="4">
        <v>18</v>
      </c>
    </row>
    <row r="60" spans="1:6" x14ac:dyDescent="0.35">
      <c r="A60">
        <v>6</v>
      </c>
      <c r="B60" s="10">
        <v>9</v>
      </c>
      <c r="C60" s="4" t="s">
        <v>296</v>
      </c>
      <c r="D60" s="4">
        <v>5</v>
      </c>
      <c r="E60" s="4">
        <v>12</v>
      </c>
      <c r="F60" s="4">
        <v>50</v>
      </c>
    </row>
    <row r="61" spans="1:6" x14ac:dyDescent="0.35">
      <c r="A61">
        <v>6</v>
      </c>
      <c r="B61" s="10">
        <v>10</v>
      </c>
      <c r="C61" s="4" t="s">
        <v>297</v>
      </c>
      <c r="D61" s="4">
        <v>10</v>
      </c>
      <c r="E61" s="4">
        <v>80</v>
      </c>
      <c r="F61" s="4">
        <v>1000</v>
      </c>
    </row>
    <row r="62" spans="1:6" x14ac:dyDescent="0.35">
      <c r="A62">
        <v>7</v>
      </c>
      <c r="B62" s="10">
        <v>1</v>
      </c>
      <c r="C62" s="4" t="s">
        <v>288</v>
      </c>
      <c r="D62" s="4">
        <v>2</v>
      </c>
      <c r="E62" s="4">
        <v>5</v>
      </c>
      <c r="F62" s="4">
        <v>10</v>
      </c>
    </row>
    <row r="63" spans="1:6" x14ac:dyDescent="0.35">
      <c r="A63">
        <v>7</v>
      </c>
      <c r="B63" s="10">
        <v>2</v>
      </c>
      <c r="C63" s="4" t="s">
        <v>289</v>
      </c>
      <c r="D63" s="4">
        <v>1</v>
      </c>
      <c r="E63" s="4">
        <v>3</v>
      </c>
      <c r="F63" s="4">
        <v>6</v>
      </c>
    </row>
    <row r="64" spans="1:6" x14ac:dyDescent="0.35">
      <c r="A64">
        <v>7</v>
      </c>
      <c r="B64" s="10">
        <v>3</v>
      </c>
      <c r="C64" s="4" t="s">
        <v>290</v>
      </c>
      <c r="D64" s="4">
        <v>5</v>
      </c>
      <c r="E64" s="4">
        <v>10</v>
      </c>
      <c r="F64" s="4">
        <v>18</v>
      </c>
    </row>
    <row r="65" spans="1:6" x14ac:dyDescent="0.35">
      <c r="A65">
        <v>7</v>
      </c>
      <c r="B65" s="10">
        <v>4</v>
      </c>
      <c r="C65" s="4" t="s">
        <v>291</v>
      </c>
      <c r="D65" s="4">
        <v>1</v>
      </c>
      <c r="E65" s="4">
        <v>3</v>
      </c>
      <c r="F65" s="4">
        <v>8</v>
      </c>
    </row>
    <row r="66" spans="1:6" x14ac:dyDescent="0.35">
      <c r="A66">
        <v>7</v>
      </c>
      <c r="B66" s="10">
        <v>5</v>
      </c>
      <c r="C66" s="4" t="s">
        <v>292</v>
      </c>
      <c r="D66" s="4">
        <v>2</v>
      </c>
      <c r="E66" s="4">
        <v>5</v>
      </c>
      <c r="F66" s="4">
        <v>10</v>
      </c>
    </row>
    <row r="67" spans="1:6" x14ac:dyDescent="0.35">
      <c r="A67">
        <v>7</v>
      </c>
      <c r="B67" s="10">
        <v>6</v>
      </c>
      <c r="C67" s="4" t="s">
        <v>293</v>
      </c>
      <c r="D67" s="4">
        <v>2</v>
      </c>
      <c r="E67" s="4">
        <v>3</v>
      </c>
      <c r="F67" s="4">
        <v>8</v>
      </c>
    </row>
    <row r="68" spans="1:6" x14ac:dyDescent="0.35">
      <c r="A68">
        <v>7</v>
      </c>
      <c r="B68" s="10">
        <v>7</v>
      </c>
      <c r="C68" s="4" t="s">
        <v>294</v>
      </c>
      <c r="D68" s="4">
        <v>1</v>
      </c>
      <c r="E68" s="4">
        <v>2</v>
      </c>
      <c r="F68" s="4">
        <v>8</v>
      </c>
    </row>
    <row r="69" spans="1:6" x14ac:dyDescent="0.35">
      <c r="A69">
        <v>7</v>
      </c>
      <c r="B69" s="10">
        <v>8</v>
      </c>
      <c r="C69" s="4" t="s">
        <v>295</v>
      </c>
      <c r="D69" s="4">
        <v>10</v>
      </c>
      <c r="E69" s="4">
        <v>24</v>
      </c>
      <c r="F69" s="4">
        <v>30</v>
      </c>
    </row>
    <row r="70" spans="1:6" x14ac:dyDescent="0.35">
      <c r="A70">
        <v>7</v>
      </c>
      <c r="B70" s="10">
        <v>9</v>
      </c>
      <c r="C70" s="4" t="s">
        <v>296</v>
      </c>
      <c r="D70" s="4">
        <v>10</v>
      </c>
      <c r="E70" s="4">
        <v>30</v>
      </c>
      <c r="F70" s="4">
        <v>38</v>
      </c>
    </row>
    <row r="71" spans="1:6" x14ac:dyDescent="0.35">
      <c r="A71">
        <v>7</v>
      </c>
      <c r="B71" s="10">
        <v>10</v>
      </c>
      <c r="C71" s="4" t="s">
        <v>297</v>
      </c>
      <c r="D71" s="4">
        <v>10</v>
      </c>
      <c r="E71" s="4">
        <v>30</v>
      </c>
      <c r="F71" s="4">
        <v>40</v>
      </c>
    </row>
    <row r="72" spans="1:6" x14ac:dyDescent="0.35">
      <c r="A72">
        <v>8</v>
      </c>
      <c r="B72" s="10">
        <v>1</v>
      </c>
      <c r="C72" s="4" t="s">
        <v>288</v>
      </c>
      <c r="D72" s="4">
        <v>10</v>
      </c>
      <c r="E72" s="4">
        <v>20</v>
      </c>
      <c r="F72" s="4">
        <v>24</v>
      </c>
    </row>
    <row r="73" spans="1:6" x14ac:dyDescent="0.35">
      <c r="A73">
        <v>8</v>
      </c>
      <c r="B73" s="10">
        <v>2</v>
      </c>
      <c r="C73" s="4" t="s">
        <v>289</v>
      </c>
      <c r="D73" s="4">
        <v>1</v>
      </c>
      <c r="E73" s="4">
        <v>3</v>
      </c>
      <c r="F73" s="4">
        <v>5</v>
      </c>
    </row>
    <row r="74" spans="1:6" x14ac:dyDescent="0.35">
      <c r="A74">
        <v>8</v>
      </c>
      <c r="B74" s="10">
        <v>3</v>
      </c>
      <c r="C74" s="4" t="s">
        <v>290</v>
      </c>
      <c r="D74" s="4">
        <v>20</v>
      </c>
      <c r="E74" s="4">
        <v>24</v>
      </c>
      <c r="F74" s="4">
        <v>26</v>
      </c>
    </row>
    <row r="75" spans="1:6" x14ac:dyDescent="0.35">
      <c r="A75">
        <v>8</v>
      </c>
      <c r="B75" s="10">
        <v>4</v>
      </c>
      <c r="C75" s="4" t="s">
        <v>291</v>
      </c>
      <c r="D75" s="4">
        <v>-48</v>
      </c>
      <c r="E75" s="4">
        <v>-36</v>
      </c>
      <c r="F75" s="4">
        <v>-32</v>
      </c>
    </row>
    <row r="76" spans="1:6" x14ac:dyDescent="0.35">
      <c r="A76">
        <v>8</v>
      </c>
      <c r="B76" s="10">
        <v>5</v>
      </c>
      <c r="C76" s="4" t="s">
        <v>292</v>
      </c>
      <c r="D76" s="4">
        <v>2</v>
      </c>
      <c r="E76" s="4">
        <v>25</v>
      </c>
      <c r="F76" s="4">
        <v>40</v>
      </c>
    </row>
    <row r="77" spans="1:6" x14ac:dyDescent="0.35">
      <c r="A77">
        <v>8</v>
      </c>
      <c r="B77" s="10">
        <v>6</v>
      </c>
      <c r="C77" s="4" t="s">
        <v>293</v>
      </c>
      <c r="D77" s="4">
        <v>4</v>
      </c>
      <c r="E77" s="4">
        <v>8</v>
      </c>
      <c r="F77" s="4">
        <v>20</v>
      </c>
    </row>
    <row r="78" spans="1:6" x14ac:dyDescent="0.35">
      <c r="A78">
        <v>8</v>
      </c>
      <c r="B78" s="10">
        <v>7</v>
      </c>
      <c r="C78" s="4" t="s">
        <v>294</v>
      </c>
      <c r="D78" s="4">
        <v>2</v>
      </c>
      <c r="E78" s="4">
        <v>10</v>
      </c>
      <c r="F78" s="4">
        <v>30</v>
      </c>
    </row>
    <row r="79" spans="1:6" x14ac:dyDescent="0.35">
      <c r="A79">
        <v>8</v>
      </c>
      <c r="B79" s="10">
        <v>8</v>
      </c>
      <c r="C79" s="4" t="s">
        <v>295</v>
      </c>
      <c r="D79" s="4">
        <v>10</v>
      </c>
      <c r="E79" s="4">
        <v>16</v>
      </c>
      <c r="F79" s="4">
        <v>20</v>
      </c>
    </row>
    <row r="80" spans="1:6" x14ac:dyDescent="0.35">
      <c r="A80">
        <v>8</v>
      </c>
      <c r="B80" s="10">
        <v>9</v>
      </c>
      <c r="C80" s="4" t="s">
        <v>296</v>
      </c>
      <c r="D80" s="4">
        <v>4</v>
      </c>
      <c r="E80" s="4">
        <v>10</v>
      </c>
      <c r="F80" s="4">
        <v>25</v>
      </c>
    </row>
    <row r="81" spans="1:6" x14ac:dyDescent="0.35">
      <c r="A81">
        <v>8</v>
      </c>
      <c r="B81" s="10">
        <v>10</v>
      </c>
      <c r="C81" s="4" t="s">
        <v>297</v>
      </c>
      <c r="D81" s="4">
        <v>2</v>
      </c>
      <c r="E81" s="4">
        <v>100</v>
      </c>
      <c r="F81" s="4">
        <v>1000</v>
      </c>
    </row>
    <row r="82" spans="1:6" x14ac:dyDescent="0.35">
      <c r="A82">
        <v>9</v>
      </c>
      <c r="B82" s="10">
        <v>1</v>
      </c>
      <c r="C82" s="4" t="s">
        <v>288</v>
      </c>
      <c r="D82" s="4">
        <v>18</v>
      </c>
      <c r="E82" s="4">
        <v>24</v>
      </c>
      <c r="F82" s="4">
        <v>42</v>
      </c>
    </row>
    <row r="83" spans="1:6" x14ac:dyDescent="0.35">
      <c r="A83">
        <v>9</v>
      </c>
      <c r="B83" s="10">
        <v>2</v>
      </c>
      <c r="C83" s="4" t="s">
        <v>289</v>
      </c>
      <c r="D83" s="4">
        <v>0.5</v>
      </c>
      <c r="E83" s="4">
        <v>1</v>
      </c>
      <c r="F83" s="4">
        <v>4</v>
      </c>
    </row>
    <row r="84" spans="1:6" x14ac:dyDescent="0.35">
      <c r="A84">
        <v>9</v>
      </c>
      <c r="B84" s="10">
        <v>3</v>
      </c>
      <c r="C84" s="4" t="s">
        <v>290</v>
      </c>
      <c r="D84" s="4">
        <v>8</v>
      </c>
      <c r="E84" s="4">
        <v>14</v>
      </c>
      <c r="F84" s="4">
        <v>24</v>
      </c>
    </row>
    <row r="85" spans="1:6" x14ac:dyDescent="0.35">
      <c r="A85">
        <v>9</v>
      </c>
      <c r="B85" s="10">
        <v>4</v>
      </c>
      <c r="C85" s="4" t="s">
        <v>291</v>
      </c>
      <c r="D85" s="4">
        <v>-12</v>
      </c>
      <c r="E85" s="4">
        <v>-6</v>
      </c>
      <c r="F85" s="4">
        <v>12</v>
      </c>
    </row>
    <row r="86" spans="1:6" x14ac:dyDescent="0.35">
      <c r="A86">
        <v>9</v>
      </c>
      <c r="B86" s="10">
        <v>5</v>
      </c>
      <c r="C86" s="4" t="s">
        <v>292</v>
      </c>
      <c r="D86" s="4">
        <v>1</v>
      </c>
      <c r="E86" s="4">
        <v>3</v>
      </c>
      <c r="F86" s="4">
        <v>10</v>
      </c>
    </row>
    <row r="87" spans="1:6" x14ac:dyDescent="0.35">
      <c r="A87">
        <v>9</v>
      </c>
      <c r="B87" s="10">
        <v>6</v>
      </c>
      <c r="C87" s="4" t="s">
        <v>293</v>
      </c>
      <c r="D87" s="4">
        <v>1.2</v>
      </c>
      <c r="E87" s="4">
        <v>2</v>
      </c>
      <c r="F87" s="4">
        <v>4</v>
      </c>
    </row>
    <row r="88" spans="1:6" x14ac:dyDescent="0.35">
      <c r="A88">
        <v>9</v>
      </c>
      <c r="B88" s="10">
        <v>7</v>
      </c>
      <c r="C88" s="4" t="s">
        <v>294</v>
      </c>
      <c r="D88" s="4">
        <v>15</v>
      </c>
      <c r="E88" s="4">
        <v>150</v>
      </c>
      <c r="F88" s="4">
        <v>400</v>
      </c>
    </row>
    <row r="89" spans="1:6" x14ac:dyDescent="0.35">
      <c r="A89">
        <v>9</v>
      </c>
      <c r="B89" s="10">
        <v>8</v>
      </c>
      <c r="C89" s="4" t="s">
        <v>295</v>
      </c>
      <c r="D89" s="4">
        <v>20</v>
      </c>
      <c r="E89" s="4">
        <v>30</v>
      </c>
      <c r="F89" s="4">
        <v>50</v>
      </c>
    </row>
    <row r="90" spans="1:6" x14ac:dyDescent="0.35">
      <c r="A90">
        <v>9</v>
      </c>
      <c r="B90" s="10">
        <v>9</v>
      </c>
      <c r="C90" s="4" t="s">
        <v>296</v>
      </c>
      <c r="D90" s="4">
        <v>10</v>
      </c>
      <c r="E90" s="4">
        <v>30</v>
      </c>
      <c r="F90" s="4">
        <v>80</v>
      </c>
    </row>
    <row r="91" spans="1:6" x14ac:dyDescent="0.35">
      <c r="A91">
        <v>9</v>
      </c>
      <c r="B91" s="10">
        <v>10</v>
      </c>
      <c r="C91" s="4" t="s">
        <v>297</v>
      </c>
      <c r="D91" s="4">
        <v>0</v>
      </c>
      <c r="E91" s="4">
        <v>100</v>
      </c>
      <c r="F91" s="4">
        <v>200</v>
      </c>
    </row>
    <row r="92" spans="1:6" x14ac:dyDescent="0.35">
      <c r="A92">
        <v>10</v>
      </c>
      <c r="B92" s="10">
        <v>1</v>
      </c>
      <c r="C92" s="4" t="s">
        <v>288</v>
      </c>
      <c r="D92" s="4">
        <v>12</v>
      </c>
      <c r="E92" s="4">
        <v>48</v>
      </c>
      <c r="F92" s="4">
        <v>110</v>
      </c>
    </row>
    <row r="93" spans="1:6" x14ac:dyDescent="0.35">
      <c r="A93">
        <v>10</v>
      </c>
      <c r="B93" s="10">
        <v>2</v>
      </c>
      <c r="C93" s="4" t="s">
        <v>289</v>
      </c>
      <c r="D93" s="4">
        <v>1</v>
      </c>
      <c r="E93" s="4">
        <v>8</v>
      </c>
      <c r="F93" s="4">
        <v>18</v>
      </c>
    </row>
    <row r="94" spans="1:6" x14ac:dyDescent="0.35">
      <c r="A94">
        <v>10</v>
      </c>
      <c r="B94" s="10">
        <v>3</v>
      </c>
      <c r="C94" s="4" t="s">
        <v>290</v>
      </c>
      <c r="D94" s="4">
        <v>12</v>
      </c>
      <c r="E94" s="4">
        <v>36</v>
      </c>
      <c r="F94" s="4">
        <v>90</v>
      </c>
    </row>
    <row r="95" spans="1:6" x14ac:dyDescent="0.35">
      <c r="A95">
        <v>10</v>
      </c>
      <c r="B95" s="10">
        <v>4</v>
      </c>
      <c r="C95" s="4" t="s">
        <v>291</v>
      </c>
      <c r="D95" s="4">
        <v>-120</v>
      </c>
      <c r="E95" s="4">
        <v>-50</v>
      </c>
      <c r="F95" s="4">
        <v>-12</v>
      </c>
    </row>
    <row r="96" spans="1:6" x14ac:dyDescent="0.35">
      <c r="A96">
        <v>10</v>
      </c>
      <c r="B96" s="10">
        <v>5</v>
      </c>
      <c r="C96" s="4" t="s">
        <v>292</v>
      </c>
      <c r="D96" s="4">
        <v>1.5</v>
      </c>
      <c r="E96" s="4">
        <v>10</v>
      </c>
      <c r="F96" s="4">
        <v>50</v>
      </c>
    </row>
    <row r="97" spans="1:6" x14ac:dyDescent="0.35">
      <c r="A97">
        <v>10</v>
      </c>
      <c r="B97" s="10">
        <v>6</v>
      </c>
      <c r="C97" s="4" t="s">
        <v>293</v>
      </c>
      <c r="D97" s="4">
        <v>0.5</v>
      </c>
      <c r="E97" s="4">
        <v>5</v>
      </c>
      <c r="F97" s="4">
        <v>50</v>
      </c>
    </row>
    <row r="98" spans="1:6" x14ac:dyDescent="0.35">
      <c r="A98">
        <v>10</v>
      </c>
      <c r="B98" s="10">
        <v>7</v>
      </c>
      <c r="C98" s="4" t="s">
        <v>294</v>
      </c>
      <c r="D98" s="4">
        <v>0</v>
      </c>
      <c r="E98" s="4">
        <v>500</v>
      </c>
      <c r="F98" s="4">
        <v>5000</v>
      </c>
    </row>
    <row r="99" spans="1:6" x14ac:dyDescent="0.35">
      <c r="A99">
        <v>10</v>
      </c>
      <c r="B99" s="10">
        <v>8</v>
      </c>
      <c r="C99" s="4" t="s">
        <v>295</v>
      </c>
      <c r="D99" s="4">
        <v>5</v>
      </c>
      <c r="E99" s="4">
        <v>20</v>
      </c>
      <c r="F99" s="4">
        <v>60</v>
      </c>
    </row>
    <row r="100" spans="1:6" x14ac:dyDescent="0.35">
      <c r="A100">
        <v>10</v>
      </c>
      <c r="B100" s="10">
        <v>9</v>
      </c>
      <c r="C100" s="4" t="s">
        <v>296</v>
      </c>
      <c r="D100" s="4">
        <v>2</v>
      </c>
      <c r="E100" s="4">
        <v>10</v>
      </c>
      <c r="F100" s="4">
        <v>80</v>
      </c>
    </row>
    <row r="101" spans="1:6" x14ac:dyDescent="0.35">
      <c r="A101">
        <v>10</v>
      </c>
      <c r="B101" s="10">
        <v>10</v>
      </c>
      <c r="C101" s="4" t="s">
        <v>297</v>
      </c>
      <c r="D101" s="4">
        <v>5</v>
      </c>
      <c r="E101" s="4">
        <v>50</v>
      </c>
      <c r="F101" s="4">
        <v>200</v>
      </c>
    </row>
    <row r="102" spans="1:6" x14ac:dyDescent="0.35">
      <c r="A102">
        <v>11</v>
      </c>
      <c r="B102" s="10">
        <v>1</v>
      </c>
      <c r="C102" s="4" t="s">
        <v>288</v>
      </c>
      <c r="D102" s="4">
        <v>20</v>
      </c>
      <c r="E102" s="4">
        <v>30</v>
      </c>
      <c r="F102" s="4">
        <v>48</v>
      </c>
    </row>
    <row r="103" spans="1:6" x14ac:dyDescent="0.35">
      <c r="A103">
        <v>11</v>
      </c>
      <c r="B103" s="10">
        <v>2</v>
      </c>
      <c r="C103" s="4" t="s">
        <v>289</v>
      </c>
      <c r="D103" s="4">
        <v>5</v>
      </c>
      <c r="E103" s="4">
        <v>9</v>
      </c>
      <c r="F103" s="4">
        <v>15</v>
      </c>
    </row>
    <row r="104" spans="1:6" x14ac:dyDescent="0.35">
      <c r="A104">
        <v>11</v>
      </c>
      <c r="B104" s="10">
        <v>3</v>
      </c>
      <c r="C104" s="4" t="s">
        <v>290</v>
      </c>
      <c r="D104" s="4">
        <v>20</v>
      </c>
      <c r="E104" s="4">
        <v>30</v>
      </c>
      <c r="F104" s="4">
        <v>40</v>
      </c>
    </row>
    <row r="105" spans="1:6" x14ac:dyDescent="0.35">
      <c r="A105">
        <v>11</v>
      </c>
      <c r="B105" s="10">
        <v>4</v>
      </c>
      <c r="C105" s="4" t="s">
        <v>291</v>
      </c>
      <c r="D105" s="4">
        <v>-12</v>
      </c>
      <c r="E105" s="4">
        <v>-6</v>
      </c>
      <c r="F105" s="4">
        <v>-2</v>
      </c>
    </row>
    <row r="106" spans="1:6" x14ac:dyDescent="0.35">
      <c r="A106">
        <v>11</v>
      </c>
      <c r="B106" s="10">
        <v>5</v>
      </c>
      <c r="C106" s="4" t="s">
        <v>292</v>
      </c>
      <c r="D106" s="4">
        <v>2</v>
      </c>
      <c r="E106" s="4">
        <v>10</v>
      </c>
      <c r="F106" s="4">
        <v>30</v>
      </c>
    </row>
    <row r="107" spans="1:6" x14ac:dyDescent="0.35">
      <c r="A107">
        <v>11</v>
      </c>
      <c r="B107" s="10">
        <v>6</v>
      </c>
      <c r="C107" s="4" t="s">
        <v>293</v>
      </c>
      <c r="D107" s="4">
        <v>2</v>
      </c>
      <c r="E107" s="4">
        <v>10</v>
      </c>
      <c r="F107" s="4">
        <v>20</v>
      </c>
    </row>
    <row r="108" spans="1:6" x14ac:dyDescent="0.35">
      <c r="A108">
        <v>11</v>
      </c>
      <c r="B108" s="10">
        <v>7</v>
      </c>
      <c r="C108" s="4" t="s">
        <v>294</v>
      </c>
      <c r="D108" s="4">
        <v>1</v>
      </c>
      <c r="E108" s="4">
        <v>10</v>
      </c>
      <c r="F108" s="4">
        <v>500</v>
      </c>
    </row>
    <row r="109" spans="1:6" x14ac:dyDescent="0.35">
      <c r="A109">
        <v>11</v>
      </c>
      <c r="B109" s="10">
        <v>8</v>
      </c>
      <c r="C109" s="4" t="s">
        <v>295</v>
      </c>
      <c r="D109" s="4">
        <v>12</v>
      </c>
      <c r="E109" s="4">
        <v>30</v>
      </c>
      <c r="F109" s="4">
        <v>40</v>
      </c>
    </row>
    <row r="110" spans="1:6" x14ac:dyDescent="0.35">
      <c r="A110">
        <v>11</v>
      </c>
      <c r="B110" s="10">
        <v>9</v>
      </c>
      <c r="C110" s="4" t="s">
        <v>296</v>
      </c>
      <c r="D110" s="4">
        <v>0</v>
      </c>
      <c r="E110" s="4">
        <v>5</v>
      </c>
      <c r="F110" s="4">
        <v>20</v>
      </c>
    </row>
    <row r="111" spans="1:6" x14ac:dyDescent="0.35">
      <c r="A111">
        <v>11</v>
      </c>
      <c r="B111" s="10">
        <v>10</v>
      </c>
      <c r="C111" s="4" t="s">
        <v>297</v>
      </c>
      <c r="D111" s="4">
        <v>0</v>
      </c>
      <c r="E111" s="4">
        <v>80</v>
      </c>
      <c r="F111" s="4">
        <v>200</v>
      </c>
    </row>
    <row r="112" spans="1:6" x14ac:dyDescent="0.35">
      <c r="A112">
        <v>12</v>
      </c>
      <c r="B112" s="10">
        <v>1</v>
      </c>
      <c r="C112" s="4" t="s">
        <v>288</v>
      </c>
      <c r="D112" s="4">
        <v>3</v>
      </c>
      <c r="E112" s="4">
        <v>5</v>
      </c>
      <c r="F112" s="4">
        <v>10</v>
      </c>
    </row>
    <row r="113" spans="1:6" x14ac:dyDescent="0.35">
      <c r="A113">
        <v>12</v>
      </c>
      <c r="B113" s="10">
        <v>2</v>
      </c>
      <c r="C113" s="4" t="s">
        <v>289</v>
      </c>
      <c r="D113" s="4">
        <v>0.6</v>
      </c>
      <c r="E113" s="4">
        <v>1.6</v>
      </c>
      <c r="F113" s="4">
        <v>2.5</v>
      </c>
    </row>
    <row r="114" spans="1:6" x14ac:dyDescent="0.35">
      <c r="A114">
        <v>12</v>
      </c>
      <c r="B114" s="10">
        <v>3</v>
      </c>
      <c r="C114" s="4" t="s">
        <v>290</v>
      </c>
      <c r="D114" s="4">
        <v>2.5</v>
      </c>
      <c r="E114" s="4">
        <v>4</v>
      </c>
      <c r="F114" s="4">
        <v>8</v>
      </c>
    </row>
    <row r="115" spans="1:6" x14ac:dyDescent="0.35">
      <c r="A115">
        <v>12</v>
      </c>
      <c r="B115" s="10">
        <v>4</v>
      </c>
      <c r="C115" s="4" t="s">
        <v>291</v>
      </c>
      <c r="D115" s="4">
        <v>-1</v>
      </c>
      <c r="E115" s="4">
        <v>0</v>
      </c>
      <c r="F115" s="4">
        <v>1</v>
      </c>
    </row>
    <row r="116" spans="1:6" x14ac:dyDescent="0.35">
      <c r="A116">
        <v>12</v>
      </c>
      <c r="B116" s="10">
        <v>5</v>
      </c>
      <c r="C116" s="4" t="s">
        <v>292</v>
      </c>
      <c r="D116" s="4">
        <v>1</v>
      </c>
      <c r="E116" s="4">
        <v>3</v>
      </c>
      <c r="F116" s="4">
        <v>10</v>
      </c>
    </row>
    <row r="117" spans="1:6" x14ac:dyDescent="0.35">
      <c r="A117">
        <v>12</v>
      </c>
      <c r="B117" s="10">
        <v>6</v>
      </c>
      <c r="C117" s="4" t="s">
        <v>293</v>
      </c>
      <c r="D117" s="4">
        <v>1</v>
      </c>
      <c r="E117" s="4">
        <v>2</v>
      </c>
      <c r="F117" s="4">
        <v>6</v>
      </c>
    </row>
    <row r="118" spans="1:6" x14ac:dyDescent="0.35">
      <c r="A118">
        <v>12</v>
      </c>
      <c r="B118" s="10">
        <v>7</v>
      </c>
      <c r="C118" s="4" t="s">
        <v>294</v>
      </c>
      <c r="D118" s="4">
        <v>10</v>
      </c>
      <c r="E118" s="4">
        <v>100</v>
      </c>
      <c r="F118" s="4">
        <v>500</v>
      </c>
    </row>
    <row r="119" spans="1:6" x14ac:dyDescent="0.35">
      <c r="A119">
        <v>12</v>
      </c>
      <c r="B119" s="10">
        <v>8</v>
      </c>
      <c r="C119" s="4" t="s">
        <v>295</v>
      </c>
      <c r="D119" s="4">
        <v>30</v>
      </c>
      <c r="E119" s="4">
        <v>99</v>
      </c>
      <c r="F119" s="4">
        <v>100</v>
      </c>
    </row>
    <row r="120" spans="1:6" x14ac:dyDescent="0.35">
      <c r="A120">
        <v>12</v>
      </c>
      <c r="B120" s="10">
        <v>9</v>
      </c>
      <c r="C120" s="4" t="s">
        <v>296</v>
      </c>
      <c r="D120" s="4">
        <v>5</v>
      </c>
      <c r="E120" s="4">
        <v>11</v>
      </c>
      <c r="F120" s="4">
        <v>40</v>
      </c>
    </row>
    <row r="121" spans="1:6" x14ac:dyDescent="0.35">
      <c r="A121">
        <v>12</v>
      </c>
      <c r="B121" s="10">
        <v>10</v>
      </c>
      <c r="C121" s="4" t="s">
        <v>297</v>
      </c>
      <c r="D121" s="4">
        <v>10</v>
      </c>
      <c r="E121" s="4">
        <v>100</v>
      </c>
      <c r="F121" s="4">
        <v>200</v>
      </c>
    </row>
    <row r="122" spans="1:6" x14ac:dyDescent="0.35">
      <c r="A122">
        <v>13</v>
      </c>
      <c r="B122" s="10">
        <v>1</v>
      </c>
      <c r="C122" s="4" t="s">
        <v>288</v>
      </c>
      <c r="D122" s="4">
        <v>16</v>
      </c>
      <c r="E122" s="4">
        <v>19</v>
      </c>
      <c r="F122" s="4">
        <v>28</v>
      </c>
    </row>
    <row r="123" spans="1:6" x14ac:dyDescent="0.35">
      <c r="A123">
        <v>13</v>
      </c>
      <c r="B123" s="10">
        <v>2</v>
      </c>
      <c r="C123" s="4" t="s">
        <v>289</v>
      </c>
      <c r="D123" s="4">
        <v>2</v>
      </c>
      <c r="E123" s="4">
        <v>4</v>
      </c>
      <c r="F123" s="4">
        <v>8</v>
      </c>
    </row>
    <row r="124" spans="1:6" x14ac:dyDescent="0.35">
      <c r="A124">
        <v>13</v>
      </c>
      <c r="B124" s="10">
        <v>3</v>
      </c>
      <c r="C124" s="4" t="s">
        <v>290</v>
      </c>
      <c r="D124" s="4">
        <v>18</v>
      </c>
      <c r="E124" s="4">
        <v>22</v>
      </c>
      <c r="F124" s="4">
        <v>30</v>
      </c>
    </row>
    <row r="125" spans="1:6" x14ac:dyDescent="0.35">
      <c r="A125">
        <v>13</v>
      </c>
      <c r="B125" s="10">
        <v>4</v>
      </c>
      <c r="C125" s="4" t="s">
        <v>291</v>
      </c>
      <c r="D125" s="4">
        <v>-10</v>
      </c>
      <c r="E125" s="4">
        <v>-5</v>
      </c>
      <c r="F125" s="4">
        <v>-2</v>
      </c>
    </row>
    <row r="126" spans="1:6" x14ac:dyDescent="0.35">
      <c r="A126">
        <v>13</v>
      </c>
      <c r="B126" s="10">
        <v>5</v>
      </c>
      <c r="C126" s="4" t="s">
        <v>292</v>
      </c>
      <c r="D126" s="4">
        <v>2</v>
      </c>
      <c r="E126" s="4">
        <v>3</v>
      </c>
      <c r="F126" s="4">
        <v>5</v>
      </c>
    </row>
    <row r="127" spans="1:6" x14ac:dyDescent="0.35">
      <c r="A127">
        <v>13</v>
      </c>
      <c r="B127" s="10">
        <v>6</v>
      </c>
      <c r="C127" s="4" t="s">
        <v>293</v>
      </c>
      <c r="D127" s="4">
        <v>1.1000000000000001</v>
      </c>
      <c r="E127" s="4">
        <v>1.5</v>
      </c>
      <c r="F127" s="4">
        <v>3</v>
      </c>
    </row>
    <row r="128" spans="1:6" x14ac:dyDescent="0.35">
      <c r="A128">
        <v>13</v>
      </c>
      <c r="B128" s="10">
        <v>7</v>
      </c>
      <c r="C128" s="4" t="s">
        <v>294</v>
      </c>
      <c r="D128" s="4">
        <v>10</v>
      </c>
      <c r="E128" s="4">
        <v>40</v>
      </c>
      <c r="F128" s="4">
        <v>80</v>
      </c>
    </row>
    <row r="129" spans="1:6" x14ac:dyDescent="0.35">
      <c r="A129">
        <v>13</v>
      </c>
      <c r="B129" s="10">
        <v>8</v>
      </c>
      <c r="C129" s="4" t="s">
        <v>295</v>
      </c>
      <c r="D129" s="4">
        <v>15</v>
      </c>
      <c r="E129" s="4">
        <v>30</v>
      </c>
      <c r="F129" s="4">
        <v>45</v>
      </c>
    </row>
    <row r="130" spans="1:6" x14ac:dyDescent="0.35">
      <c r="A130">
        <v>13</v>
      </c>
      <c r="B130" s="10">
        <v>9</v>
      </c>
      <c r="C130" s="4" t="s">
        <v>296</v>
      </c>
      <c r="D130" s="4">
        <v>10</v>
      </c>
      <c r="E130" s="4">
        <v>40</v>
      </c>
      <c r="F130" s="4">
        <v>100</v>
      </c>
    </row>
    <row r="131" spans="1:6" x14ac:dyDescent="0.35">
      <c r="A131">
        <v>13</v>
      </c>
      <c r="B131" s="10">
        <v>10</v>
      </c>
      <c r="C131" s="4" t="s">
        <v>297</v>
      </c>
      <c r="D131" s="4">
        <v>10</v>
      </c>
      <c r="E131" s="4">
        <v>20</v>
      </c>
      <c r="F131" s="4">
        <v>100</v>
      </c>
    </row>
    <row r="132" spans="1:6" x14ac:dyDescent="0.35">
      <c r="A132">
        <v>14</v>
      </c>
      <c r="B132" s="10">
        <v>1</v>
      </c>
      <c r="C132" s="4" t="s">
        <v>288</v>
      </c>
      <c r="D132" s="4">
        <v>12</v>
      </c>
      <c r="E132" s="4">
        <v>18</v>
      </c>
      <c r="F132" s="4">
        <v>24</v>
      </c>
    </row>
    <row r="133" spans="1:6" x14ac:dyDescent="0.35">
      <c r="A133">
        <v>14</v>
      </c>
      <c r="B133" s="10">
        <v>2</v>
      </c>
      <c r="C133" s="4" t="s">
        <v>289</v>
      </c>
      <c r="D133" s="4">
        <v>3</v>
      </c>
      <c r="E133" s="4">
        <v>5</v>
      </c>
      <c r="F133" s="4">
        <v>9</v>
      </c>
    </row>
    <row r="134" spans="1:6" x14ac:dyDescent="0.35">
      <c r="A134">
        <v>14</v>
      </c>
      <c r="B134" s="10">
        <v>3</v>
      </c>
      <c r="C134" s="4" t="s">
        <v>290</v>
      </c>
      <c r="D134" s="4">
        <v>4</v>
      </c>
      <c r="E134" s="4">
        <v>5</v>
      </c>
      <c r="F134" s="4">
        <v>8</v>
      </c>
    </row>
    <row r="135" spans="1:6" x14ac:dyDescent="0.35">
      <c r="A135">
        <v>14</v>
      </c>
      <c r="B135" s="10">
        <v>4</v>
      </c>
      <c r="C135" s="4" t="s">
        <v>291</v>
      </c>
      <c r="D135" s="4">
        <v>-30</v>
      </c>
      <c r="E135" s="4">
        <v>0</v>
      </c>
      <c r="F135" s="4">
        <v>30</v>
      </c>
    </row>
    <row r="136" spans="1:6" x14ac:dyDescent="0.35">
      <c r="A136">
        <v>14</v>
      </c>
      <c r="B136" s="10">
        <v>5</v>
      </c>
      <c r="C136" s="4" t="s">
        <v>292</v>
      </c>
      <c r="D136" s="4">
        <v>5</v>
      </c>
      <c r="E136" s="4">
        <v>10</v>
      </c>
      <c r="F136" s="4">
        <v>20</v>
      </c>
    </row>
    <row r="137" spans="1:6" x14ac:dyDescent="0.35">
      <c r="A137">
        <v>14</v>
      </c>
      <c r="B137" s="10">
        <v>6</v>
      </c>
      <c r="C137" s="4" t="s">
        <v>293</v>
      </c>
      <c r="D137" s="4">
        <v>1</v>
      </c>
      <c r="E137" s="4">
        <v>10</v>
      </c>
      <c r="F137" s="4">
        <v>50</v>
      </c>
    </row>
    <row r="138" spans="1:6" x14ac:dyDescent="0.35">
      <c r="A138">
        <v>14</v>
      </c>
      <c r="B138" s="10">
        <v>7</v>
      </c>
      <c r="C138" s="4" t="s">
        <v>294</v>
      </c>
      <c r="D138" s="4">
        <v>9</v>
      </c>
      <c r="E138" s="4">
        <v>33</v>
      </c>
      <c r="F138" s="4">
        <v>150</v>
      </c>
    </row>
    <row r="139" spans="1:6" x14ac:dyDescent="0.35">
      <c r="A139">
        <v>14</v>
      </c>
      <c r="B139" s="10">
        <v>8</v>
      </c>
      <c r="C139" s="4" t="s">
        <v>295</v>
      </c>
      <c r="D139" s="4">
        <v>1</v>
      </c>
      <c r="E139" s="4">
        <v>2</v>
      </c>
      <c r="F139" s="4">
        <v>5</v>
      </c>
    </row>
    <row r="140" spans="1:6" x14ac:dyDescent="0.35">
      <c r="A140">
        <v>14</v>
      </c>
      <c r="B140" s="10">
        <v>9</v>
      </c>
      <c r="C140" s="4" t="s">
        <v>296</v>
      </c>
      <c r="D140" s="4">
        <v>5</v>
      </c>
      <c r="E140" s="4">
        <v>20</v>
      </c>
      <c r="F140" s="4">
        <v>50</v>
      </c>
    </row>
    <row r="141" spans="1:6" x14ac:dyDescent="0.35">
      <c r="A141">
        <v>14</v>
      </c>
      <c r="B141" s="10">
        <v>10</v>
      </c>
      <c r="C141" s="4" t="s">
        <v>297</v>
      </c>
      <c r="D141" s="4">
        <v>10</v>
      </c>
      <c r="E141" s="4">
        <v>20</v>
      </c>
      <c r="F141" s="4">
        <v>30</v>
      </c>
    </row>
    <row r="142" spans="1:6" x14ac:dyDescent="0.35">
      <c r="C142" s="4"/>
    </row>
    <row r="143" spans="1:6" x14ac:dyDescent="0.35">
      <c r="C143" s="4"/>
    </row>
    <row r="144" spans="1:6" x14ac:dyDescent="0.35">
      <c r="C144" s="4"/>
    </row>
    <row r="145" spans="3:3" x14ac:dyDescent="0.35">
      <c r="C145" s="4"/>
    </row>
    <row r="146" spans="3:3" x14ac:dyDescent="0.35">
      <c r="C146" s="4"/>
    </row>
    <row r="147" spans="3:3" x14ac:dyDescent="0.35">
      <c r="C147" s="4"/>
    </row>
    <row r="148" spans="3:3" x14ac:dyDescent="0.35">
      <c r="C148" s="4"/>
    </row>
    <row r="149" spans="3:3" x14ac:dyDescent="0.35">
      <c r="C149" s="4"/>
    </row>
    <row r="150" spans="3:3" x14ac:dyDescent="0.35">
      <c r="C150" s="4"/>
    </row>
    <row r="151" spans="3:3" x14ac:dyDescent="0.35">
      <c r="C151" s="4"/>
    </row>
    <row r="152" spans="3:3" x14ac:dyDescent="0.35">
      <c r="C152" s="4"/>
    </row>
    <row r="153" spans="3:3" x14ac:dyDescent="0.35">
      <c r="C153" s="4"/>
    </row>
    <row r="154" spans="3:3" x14ac:dyDescent="0.35">
      <c r="C154" s="4"/>
    </row>
    <row r="155" spans="3:3" x14ac:dyDescent="0.35">
      <c r="C155" s="4"/>
    </row>
    <row r="156" spans="3:3" x14ac:dyDescent="0.35">
      <c r="C156" s="4"/>
    </row>
    <row r="157" spans="3:3" x14ac:dyDescent="0.35">
      <c r="C157" s="4"/>
    </row>
    <row r="158" spans="3:3" x14ac:dyDescent="0.35">
      <c r="C158" s="4"/>
    </row>
    <row r="159" spans="3:3" x14ac:dyDescent="0.35">
      <c r="C159" s="4"/>
    </row>
    <row r="160" spans="3:3" x14ac:dyDescent="0.35">
      <c r="C160" s="4"/>
    </row>
    <row r="161" spans="3:3" x14ac:dyDescent="0.35">
      <c r="C161" s="4"/>
    </row>
    <row r="162" spans="3:3" x14ac:dyDescent="0.35">
      <c r="C162" s="4"/>
    </row>
    <row r="163" spans="3:3" x14ac:dyDescent="0.35">
      <c r="C163" s="4"/>
    </row>
    <row r="164" spans="3:3" x14ac:dyDescent="0.35">
      <c r="C164" s="4"/>
    </row>
    <row r="165" spans="3:3" x14ac:dyDescent="0.35">
      <c r="C165" s="4"/>
    </row>
    <row r="166" spans="3:3" x14ac:dyDescent="0.35">
      <c r="C166" s="4"/>
    </row>
    <row r="167" spans="3:3" x14ac:dyDescent="0.35">
      <c r="C167" s="4"/>
    </row>
    <row r="168" spans="3:3" x14ac:dyDescent="0.35">
      <c r="C168" s="4"/>
    </row>
    <row r="169" spans="3:3" x14ac:dyDescent="0.35">
      <c r="C169" s="4"/>
    </row>
    <row r="170" spans="3:3" x14ac:dyDescent="0.35">
      <c r="C170" s="4"/>
    </row>
    <row r="171" spans="3:3" x14ac:dyDescent="0.35">
      <c r="C171" s="4"/>
    </row>
    <row r="172" spans="3:3" x14ac:dyDescent="0.35">
      <c r="C172" s="4"/>
    </row>
    <row r="173" spans="3:3" x14ac:dyDescent="0.35">
      <c r="C173" s="4"/>
    </row>
    <row r="174" spans="3:3" x14ac:dyDescent="0.35">
      <c r="C174" s="4"/>
    </row>
    <row r="175" spans="3:3" x14ac:dyDescent="0.35">
      <c r="C175" s="4"/>
    </row>
    <row r="176" spans="3:3" x14ac:dyDescent="0.35">
      <c r="C176" s="4"/>
    </row>
    <row r="177" spans="3:3" x14ac:dyDescent="0.35">
      <c r="C177" s="4"/>
    </row>
    <row r="178" spans="3:3" x14ac:dyDescent="0.35">
      <c r="C178" s="4"/>
    </row>
    <row r="179" spans="3:3" x14ac:dyDescent="0.35">
      <c r="C179" s="4"/>
    </row>
    <row r="180" spans="3:3" x14ac:dyDescent="0.35">
      <c r="C180" s="4"/>
    </row>
    <row r="181" spans="3:3" x14ac:dyDescent="0.35">
      <c r="C181" s="4"/>
    </row>
    <row r="182" spans="3:3" x14ac:dyDescent="0.35">
      <c r="C182" s="4"/>
    </row>
    <row r="183" spans="3:3" x14ac:dyDescent="0.35">
      <c r="C183" s="4"/>
    </row>
    <row r="184" spans="3:3" x14ac:dyDescent="0.35">
      <c r="C184" s="4"/>
    </row>
    <row r="185" spans="3:3" x14ac:dyDescent="0.35">
      <c r="C185" s="4"/>
    </row>
    <row r="186" spans="3:3" x14ac:dyDescent="0.35">
      <c r="C186" s="4"/>
    </row>
    <row r="187" spans="3:3" x14ac:dyDescent="0.35">
      <c r="C187" s="4"/>
    </row>
    <row r="188" spans="3:3" x14ac:dyDescent="0.35">
      <c r="C188" s="4"/>
    </row>
    <row r="189" spans="3:3" x14ac:dyDescent="0.35">
      <c r="C189" s="4"/>
    </row>
    <row r="190" spans="3:3" x14ac:dyDescent="0.35">
      <c r="C190" s="4"/>
    </row>
    <row r="191" spans="3:3" x14ac:dyDescent="0.35">
      <c r="C191" s="4"/>
    </row>
    <row r="192" spans="3:3" x14ac:dyDescent="0.35">
      <c r="C192" s="4"/>
    </row>
    <row r="193" spans="3:3" x14ac:dyDescent="0.35">
      <c r="C193" s="4"/>
    </row>
    <row r="194" spans="3:3" x14ac:dyDescent="0.35">
      <c r="C194" s="4"/>
    </row>
    <row r="195" spans="3:3" x14ac:dyDescent="0.35">
      <c r="C195" s="4"/>
    </row>
    <row r="196" spans="3:3" x14ac:dyDescent="0.35">
      <c r="C196" s="4"/>
    </row>
    <row r="197" spans="3:3" x14ac:dyDescent="0.35">
      <c r="C197" s="4"/>
    </row>
    <row r="198" spans="3:3" x14ac:dyDescent="0.35">
      <c r="C198" s="4"/>
    </row>
    <row r="199" spans="3:3" x14ac:dyDescent="0.35">
      <c r="C199" s="4"/>
    </row>
    <row r="200" spans="3:3" x14ac:dyDescent="0.35">
      <c r="C200" s="4"/>
    </row>
    <row r="201" spans="3:3" x14ac:dyDescent="0.35">
      <c r="C201" s="4"/>
    </row>
    <row r="202" spans="3:3" x14ac:dyDescent="0.35">
      <c r="C202" s="4"/>
    </row>
    <row r="203" spans="3:3" x14ac:dyDescent="0.35">
      <c r="C203" s="4"/>
    </row>
    <row r="204" spans="3:3" x14ac:dyDescent="0.35">
      <c r="C204" s="4"/>
    </row>
    <row r="205" spans="3:3" x14ac:dyDescent="0.35">
      <c r="C205" s="4"/>
    </row>
    <row r="206" spans="3:3" x14ac:dyDescent="0.35">
      <c r="C206" s="4"/>
    </row>
    <row r="207" spans="3:3" x14ac:dyDescent="0.35">
      <c r="C207" s="4"/>
    </row>
    <row r="208" spans="3:3" x14ac:dyDescent="0.35">
      <c r="C208" s="4"/>
    </row>
    <row r="209" spans="3:3" x14ac:dyDescent="0.35">
      <c r="C209" s="4"/>
    </row>
    <row r="210" spans="3:3" x14ac:dyDescent="0.35">
      <c r="C210" s="4"/>
    </row>
    <row r="211" spans="3:3" x14ac:dyDescent="0.35">
      <c r="C211" s="4"/>
    </row>
    <row r="212" spans="3:3" x14ac:dyDescent="0.35">
      <c r="C212" s="4"/>
    </row>
    <row r="213" spans="3:3" x14ac:dyDescent="0.35">
      <c r="C213" s="4"/>
    </row>
    <row r="214" spans="3:3" x14ac:dyDescent="0.35">
      <c r="C214" s="4"/>
    </row>
    <row r="215" spans="3:3" x14ac:dyDescent="0.35">
      <c r="C215" s="4"/>
    </row>
    <row r="216" spans="3:3" x14ac:dyDescent="0.35">
      <c r="C216" s="4"/>
    </row>
    <row r="217" spans="3:3" x14ac:dyDescent="0.35">
      <c r="C217" s="4"/>
    </row>
    <row r="218" spans="3:3" x14ac:dyDescent="0.35">
      <c r="C218" s="4"/>
    </row>
    <row r="219" spans="3:3" x14ac:dyDescent="0.35">
      <c r="C219" s="4"/>
    </row>
    <row r="220" spans="3:3" x14ac:dyDescent="0.35">
      <c r="C220" s="4"/>
    </row>
    <row r="221" spans="3:3" x14ac:dyDescent="0.35">
      <c r="C221" s="4"/>
    </row>
    <row r="222" spans="3:3" x14ac:dyDescent="0.35">
      <c r="C222" s="4"/>
    </row>
    <row r="223" spans="3:3" x14ac:dyDescent="0.35">
      <c r="C223" s="4"/>
    </row>
    <row r="224" spans="3:3" x14ac:dyDescent="0.35">
      <c r="C224" s="4"/>
    </row>
    <row r="225" spans="3:3" x14ac:dyDescent="0.35">
      <c r="C225" s="4"/>
    </row>
    <row r="226" spans="3:3" x14ac:dyDescent="0.35">
      <c r="C226" s="4"/>
    </row>
    <row r="227" spans="3:3" x14ac:dyDescent="0.35">
      <c r="C227" s="4"/>
    </row>
    <row r="228" spans="3:3" x14ac:dyDescent="0.35">
      <c r="C228" s="4"/>
    </row>
    <row r="229" spans="3:3" x14ac:dyDescent="0.35">
      <c r="C229" s="4"/>
    </row>
    <row r="230" spans="3:3" x14ac:dyDescent="0.35">
      <c r="C230" s="4"/>
    </row>
    <row r="231" spans="3:3" x14ac:dyDescent="0.35">
      <c r="C231" s="4"/>
    </row>
    <row r="232" spans="3:3" x14ac:dyDescent="0.35">
      <c r="C232" s="4"/>
    </row>
    <row r="233" spans="3:3" x14ac:dyDescent="0.35">
      <c r="C233" s="4"/>
    </row>
    <row r="234" spans="3:3" x14ac:dyDescent="0.35">
      <c r="C234" s="4"/>
    </row>
    <row r="235" spans="3:3" x14ac:dyDescent="0.35">
      <c r="C235" s="4"/>
    </row>
    <row r="236" spans="3:3" x14ac:dyDescent="0.35">
      <c r="C236" s="4"/>
    </row>
    <row r="237" spans="3:3" x14ac:dyDescent="0.35">
      <c r="C237" s="4"/>
    </row>
    <row r="238" spans="3:3" x14ac:dyDescent="0.35">
      <c r="C238" s="4"/>
    </row>
    <row r="239" spans="3:3" x14ac:dyDescent="0.35">
      <c r="C239" s="4"/>
    </row>
    <row r="240" spans="3:3" x14ac:dyDescent="0.35">
      <c r="C240" s="4"/>
    </row>
    <row r="241" spans="3:3" x14ac:dyDescent="0.35">
      <c r="C241" s="4"/>
    </row>
    <row r="242" spans="3:3" x14ac:dyDescent="0.35">
      <c r="C242" s="4"/>
    </row>
    <row r="243" spans="3:3" x14ac:dyDescent="0.35">
      <c r="C243" s="4"/>
    </row>
    <row r="244" spans="3:3" x14ac:dyDescent="0.35">
      <c r="C244" s="4"/>
    </row>
    <row r="245" spans="3:3" x14ac:dyDescent="0.35">
      <c r="C245" s="4"/>
    </row>
    <row r="246" spans="3:3" x14ac:dyDescent="0.35">
      <c r="C246" s="4"/>
    </row>
    <row r="247" spans="3:3" x14ac:dyDescent="0.35">
      <c r="C247" s="4"/>
    </row>
    <row r="248" spans="3:3" x14ac:dyDescent="0.35">
      <c r="C248" s="4"/>
    </row>
    <row r="249" spans="3:3" x14ac:dyDescent="0.35">
      <c r="C249" s="4"/>
    </row>
    <row r="250" spans="3:3" x14ac:dyDescent="0.35">
      <c r="C250" s="4"/>
    </row>
    <row r="251" spans="3:3" x14ac:dyDescent="0.35">
      <c r="C251" s="4"/>
    </row>
    <row r="252" spans="3:3" x14ac:dyDescent="0.35">
      <c r="C252" s="4"/>
    </row>
    <row r="253" spans="3:3" x14ac:dyDescent="0.35">
      <c r="C253" s="4"/>
    </row>
    <row r="254" spans="3:3" x14ac:dyDescent="0.35">
      <c r="C254" s="4"/>
    </row>
    <row r="255" spans="3:3" x14ac:dyDescent="0.35">
      <c r="C255" s="4"/>
    </row>
    <row r="256" spans="3:3" x14ac:dyDescent="0.35">
      <c r="C256" s="4"/>
    </row>
    <row r="257" spans="3:3" x14ac:dyDescent="0.35">
      <c r="C257" s="4"/>
    </row>
    <row r="258" spans="3:3" x14ac:dyDescent="0.35">
      <c r="C258" s="4"/>
    </row>
    <row r="259" spans="3:3" x14ac:dyDescent="0.35">
      <c r="C259" s="4"/>
    </row>
    <row r="260" spans="3:3" x14ac:dyDescent="0.35">
      <c r="C260" s="4"/>
    </row>
    <row r="261" spans="3:3" x14ac:dyDescent="0.35">
      <c r="C261" s="4"/>
    </row>
    <row r="262" spans="3:3" x14ac:dyDescent="0.35">
      <c r="C262" s="4"/>
    </row>
    <row r="263" spans="3:3" x14ac:dyDescent="0.35">
      <c r="C263" s="4"/>
    </row>
    <row r="264" spans="3:3" x14ac:dyDescent="0.35">
      <c r="C264" s="4"/>
    </row>
    <row r="265" spans="3:3" x14ac:dyDescent="0.35">
      <c r="C265" s="4"/>
    </row>
    <row r="266" spans="3:3" x14ac:dyDescent="0.35">
      <c r="C266" s="4"/>
    </row>
    <row r="267" spans="3:3" x14ac:dyDescent="0.35">
      <c r="C267" s="4"/>
    </row>
    <row r="268" spans="3:3" x14ac:dyDescent="0.35">
      <c r="C268" s="4"/>
    </row>
    <row r="269" spans="3:3" x14ac:dyDescent="0.35">
      <c r="C269" s="4"/>
    </row>
    <row r="270" spans="3:3" x14ac:dyDescent="0.35">
      <c r="C270" s="4"/>
    </row>
    <row r="271" spans="3:3" x14ac:dyDescent="0.35">
      <c r="C271" s="4"/>
    </row>
    <row r="272" spans="3:3" x14ac:dyDescent="0.35">
      <c r="C272" s="4"/>
    </row>
    <row r="273" spans="3:3" x14ac:dyDescent="0.35">
      <c r="C273" s="4"/>
    </row>
    <row r="274" spans="3:3" x14ac:dyDescent="0.35">
      <c r="C274" s="4"/>
    </row>
    <row r="275" spans="3:3" x14ac:dyDescent="0.35">
      <c r="C275" s="4"/>
    </row>
    <row r="276" spans="3:3" x14ac:dyDescent="0.35">
      <c r="C276" s="4"/>
    </row>
    <row r="277" spans="3:3" x14ac:dyDescent="0.35">
      <c r="C277" s="4"/>
    </row>
    <row r="278" spans="3:3" x14ac:dyDescent="0.35">
      <c r="C278" s="4"/>
    </row>
    <row r="279" spans="3:3" x14ac:dyDescent="0.35">
      <c r="C279" s="4"/>
    </row>
    <row r="280" spans="3:3" x14ac:dyDescent="0.35">
      <c r="C280" s="4"/>
    </row>
    <row r="281" spans="3:3" x14ac:dyDescent="0.35">
      <c r="C281" s="4"/>
    </row>
    <row r="282" spans="3:3" x14ac:dyDescent="0.35">
      <c r="C282" s="4"/>
    </row>
    <row r="283" spans="3:3" x14ac:dyDescent="0.35">
      <c r="C283" s="4"/>
    </row>
    <row r="284" spans="3:3" x14ac:dyDescent="0.35">
      <c r="C284" s="4"/>
    </row>
    <row r="285" spans="3:3" x14ac:dyDescent="0.35">
      <c r="C285" s="4"/>
    </row>
    <row r="286" spans="3:3" x14ac:dyDescent="0.35">
      <c r="C286" s="4"/>
    </row>
    <row r="287" spans="3:3" x14ac:dyDescent="0.35">
      <c r="C287" s="4"/>
    </row>
    <row r="288" spans="3:3" x14ac:dyDescent="0.35">
      <c r="C288" s="4"/>
    </row>
    <row r="289" spans="3:3" x14ac:dyDescent="0.35">
      <c r="C289" s="4"/>
    </row>
    <row r="290" spans="3:3" x14ac:dyDescent="0.35">
      <c r="C290" s="4"/>
    </row>
    <row r="291" spans="3:3" x14ac:dyDescent="0.35">
      <c r="C291" s="4"/>
    </row>
    <row r="292" spans="3:3" x14ac:dyDescent="0.35">
      <c r="C292" s="4"/>
    </row>
    <row r="293" spans="3:3" x14ac:dyDescent="0.35">
      <c r="C293" s="4"/>
    </row>
    <row r="294" spans="3:3" x14ac:dyDescent="0.35">
      <c r="C294" s="4"/>
    </row>
    <row r="295" spans="3:3" x14ac:dyDescent="0.35">
      <c r="C295" s="4"/>
    </row>
    <row r="296" spans="3:3" x14ac:dyDescent="0.35">
      <c r="C296" s="4"/>
    </row>
    <row r="297" spans="3:3" x14ac:dyDescent="0.35">
      <c r="C297" s="4"/>
    </row>
    <row r="298" spans="3:3" x14ac:dyDescent="0.35">
      <c r="C298" s="4"/>
    </row>
    <row r="299" spans="3:3" x14ac:dyDescent="0.35">
      <c r="C299" s="4"/>
    </row>
    <row r="300" spans="3:3" x14ac:dyDescent="0.35">
      <c r="C300" s="4"/>
    </row>
    <row r="301" spans="3:3" x14ac:dyDescent="0.35">
      <c r="C301" s="4"/>
    </row>
    <row r="302" spans="3:3" x14ac:dyDescent="0.35">
      <c r="C302" s="4"/>
    </row>
    <row r="303" spans="3:3" x14ac:dyDescent="0.35">
      <c r="C303" s="4"/>
    </row>
    <row r="304" spans="3:3" x14ac:dyDescent="0.35">
      <c r="C304" s="4"/>
    </row>
    <row r="305" spans="3:3" x14ac:dyDescent="0.35">
      <c r="C305" s="4"/>
    </row>
    <row r="306" spans="3:3" x14ac:dyDescent="0.35">
      <c r="C306" s="4"/>
    </row>
    <row r="307" spans="3:3" x14ac:dyDescent="0.35">
      <c r="C307" s="4"/>
    </row>
    <row r="308" spans="3:3" x14ac:dyDescent="0.35">
      <c r="C308" s="4"/>
    </row>
    <row r="309" spans="3:3" x14ac:dyDescent="0.35">
      <c r="C309" s="4"/>
    </row>
    <row r="310" spans="3:3" x14ac:dyDescent="0.35">
      <c r="C310" s="4"/>
    </row>
    <row r="311" spans="3:3" x14ac:dyDescent="0.35">
      <c r="C311" s="4"/>
    </row>
    <row r="312" spans="3:3" x14ac:dyDescent="0.35">
      <c r="C312" s="4"/>
    </row>
    <row r="313" spans="3:3" x14ac:dyDescent="0.35">
      <c r="C313" s="4"/>
    </row>
    <row r="314" spans="3:3" x14ac:dyDescent="0.35">
      <c r="C314" s="4"/>
    </row>
    <row r="315" spans="3:3" x14ac:dyDescent="0.35">
      <c r="C315" s="4"/>
    </row>
    <row r="316" spans="3:3" x14ac:dyDescent="0.35">
      <c r="C316" s="4"/>
    </row>
    <row r="317" spans="3:3" x14ac:dyDescent="0.35">
      <c r="C317" s="4"/>
    </row>
    <row r="318" spans="3:3" x14ac:dyDescent="0.35">
      <c r="C318" s="4"/>
    </row>
    <row r="319" spans="3:3" x14ac:dyDescent="0.35">
      <c r="C319" s="4"/>
    </row>
    <row r="320" spans="3:3" x14ac:dyDescent="0.35">
      <c r="C320" s="4"/>
    </row>
    <row r="321" spans="3:3" x14ac:dyDescent="0.35">
      <c r="C321" s="4"/>
    </row>
    <row r="322" spans="3:3" x14ac:dyDescent="0.35">
      <c r="C322" s="4"/>
    </row>
    <row r="323" spans="3:3" x14ac:dyDescent="0.35">
      <c r="C323"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6"/>
  <dimension ref="A1:H29"/>
  <sheetViews>
    <sheetView workbookViewId="0"/>
  </sheetViews>
  <sheetFormatPr defaultRowHeight="14.5" x14ac:dyDescent="0.35"/>
  <sheetData>
    <row r="1" spans="1:8" x14ac:dyDescent="0.35">
      <c r="A1" s="9" t="s">
        <v>84</v>
      </c>
      <c r="H1" s="9" t="s">
        <v>58</v>
      </c>
    </row>
    <row r="2" spans="1:8" x14ac:dyDescent="0.35">
      <c r="A2" s="9">
        <v>1</v>
      </c>
      <c r="B2" s="9">
        <v>1</v>
      </c>
      <c r="C2" s="9" t="s">
        <v>77</v>
      </c>
      <c r="D2" s="15">
        <v>100</v>
      </c>
      <c r="E2" s="15">
        <v>50000</v>
      </c>
      <c r="F2" s="15">
        <v>90000</v>
      </c>
      <c r="H2" s="15">
        <v>37700</v>
      </c>
    </row>
    <row r="3" spans="1:8" x14ac:dyDescent="0.35">
      <c r="A3" s="9">
        <v>1</v>
      </c>
      <c r="B3" s="9">
        <v>2</v>
      </c>
      <c r="C3" s="9" t="s">
        <v>78</v>
      </c>
      <c r="D3" s="15">
        <v>2000</v>
      </c>
      <c r="E3" s="15">
        <v>80000</v>
      </c>
      <c r="F3" s="15">
        <v>95000</v>
      </c>
      <c r="H3" s="15">
        <v>51310</v>
      </c>
    </row>
    <row r="4" spans="1:8" x14ac:dyDescent="0.35">
      <c r="A4" s="9">
        <v>1</v>
      </c>
      <c r="B4" s="9">
        <v>3</v>
      </c>
      <c r="C4" s="9" t="s">
        <v>79</v>
      </c>
      <c r="D4" s="15">
        <v>20000</v>
      </c>
      <c r="E4" s="15">
        <v>40000</v>
      </c>
      <c r="F4" s="15">
        <v>90000</v>
      </c>
      <c r="H4" s="15">
        <v>85100</v>
      </c>
    </row>
    <row r="5" spans="1:8" x14ac:dyDescent="0.35">
      <c r="A5" s="9">
        <v>1</v>
      </c>
      <c r="B5" s="9">
        <v>4</v>
      </c>
      <c r="C5" s="9" t="s">
        <v>80</v>
      </c>
      <c r="D5" s="15">
        <v>80000</v>
      </c>
      <c r="E5" s="15">
        <v>85000</v>
      </c>
      <c r="F5" s="15">
        <v>90000</v>
      </c>
      <c r="H5" s="15">
        <v>4000</v>
      </c>
    </row>
    <row r="6" spans="1:8" x14ac:dyDescent="0.35">
      <c r="A6" s="9">
        <v>1</v>
      </c>
      <c r="B6" s="9">
        <v>5</v>
      </c>
      <c r="C6" s="9" t="s">
        <v>81</v>
      </c>
      <c r="D6" s="15">
        <v>10000</v>
      </c>
      <c r="E6" s="15">
        <v>80000</v>
      </c>
      <c r="F6" s="15">
        <v>90000</v>
      </c>
      <c r="H6" s="15">
        <v>32400</v>
      </c>
    </row>
    <row r="7" spans="1:8" x14ac:dyDescent="0.35">
      <c r="A7" s="9">
        <v>1</v>
      </c>
      <c r="B7" s="9">
        <v>6</v>
      </c>
      <c r="C7" s="9" t="s">
        <v>82</v>
      </c>
      <c r="D7" s="15">
        <v>5000</v>
      </c>
      <c r="E7" s="15">
        <v>25000</v>
      </c>
      <c r="F7" s="15">
        <v>50000</v>
      </c>
      <c r="H7" s="15">
        <v>45360</v>
      </c>
    </row>
    <row r="8" spans="1:8" x14ac:dyDescent="0.35">
      <c r="A8" s="9">
        <v>1</v>
      </c>
      <c r="B8" s="9">
        <v>7</v>
      </c>
      <c r="C8" s="9" t="s">
        <v>83</v>
      </c>
      <c r="D8" s="15">
        <v>1000</v>
      </c>
      <c r="E8" s="15">
        <v>10000</v>
      </c>
      <c r="F8" s="15">
        <v>24000</v>
      </c>
      <c r="H8" s="15">
        <v>27480</v>
      </c>
    </row>
    <row r="9" spans="1:8" x14ac:dyDescent="0.35">
      <c r="A9" s="9">
        <v>2</v>
      </c>
      <c r="B9" s="9">
        <v>1</v>
      </c>
      <c r="C9" s="9" t="s">
        <v>77</v>
      </c>
      <c r="D9" s="15">
        <v>30000</v>
      </c>
      <c r="E9" s="15">
        <v>45000</v>
      </c>
      <c r="F9" s="15">
        <v>60000</v>
      </c>
    </row>
    <row r="10" spans="1:8" x14ac:dyDescent="0.35">
      <c r="A10" s="9">
        <v>2</v>
      </c>
      <c r="B10" s="9">
        <v>2</v>
      </c>
      <c r="C10" s="9" t="s">
        <v>78</v>
      </c>
      <c r="D10" s="15">
        <v>30000</v>
      </c>
      <c r="E10" s="15">
        <v>50000</v>
      </c>
      <c r="F10" s="15">
        <v>70000</v>
      </c>
    </row>
    <row r="11" spans="1:8" x14ac:dyDescent="0.35">
      <c r="A11" s="9">
        <v>2</v>
      </c>
      <c r="B11" s="9">
        <v>3</v>
      </c>
      <c r="C11" s="9" t="s">
        <v>79</v>
      </c>
      <c r="D11" s="15">
        <v>5000</v>
      </c>
      <c r="E11" s="15">
        <v>70000</v>
      </c>
      <c r="F11" s="15">
        <v>95000</v>
      </c>
    </row>
    <row r="12" spans="1:8" x14ac:dyDescent="0.35">
      <c r="A12" s="9">
        <v>2</v>
      </c>
      <c r="B12" s="9">
        <v>4</v>
      </c>
      <c r="C12" s="9" t="s">
        <v>80</v>
      </c>
      <c r="D12" s="15">
        <v>8000</v>
      </c>
      <c r="E12" s="15">
        <v>50000</v>
      </c>
      <c r="F12" s="15">
        <v>95000</v>
      </c>
    </row>
    <row r="13" spans="1:8" x14ac:dyDescent="0.35">
      <c r="A13" s="9">
        <v>2</v>
      </c>
      <c r="B13" s="9">
        <v>5</v>
      </c>
      <c r="C13" s="9" t="s">
        <v>81</v>
      </c>
      <c r="D13" s="15">
        <v>5000</v>
      </c>
      <c r="E13" s="15">
        <v>70000</v>
      </c>
      <c r="F13" s="15">
        <v>95000</v>
      </c>
    </row>
    <row r="14" spans="1:8" x14ac:dyDescent="0.35">
      <c r="A14" s="9">
        <v>2</v>
      </c>
      <c r="B14" s="9">
        <v>6</v>
      </c>
      <c r="C14" s="9" t="s">
        <v>82</v>
      </c>
      <c r="D14" s="15">
        <v>5000</v>
      </c>
      <c r="E14" s="15">
        <v>6000</v>
      </c>
      <c r="F14" s="15">
        <v>85000</v>
      </c>
    </row>
    <row r="15" spans="1:8" x14ac:dyDescent="0.35">
      <c r="A15" s="9">
        <v>2</v>
      </c>
      <c r="B15" s="9">
        <v>7</v>
      </c>
      <c r="C15" s="9" t="s">
        <v>83</v>
      </c>
      <c r="D15" s="15">
        <v>30000</v>
      </c>
      <c r="E15" s="15">
        <v>50000</v>
      </c>
      <c r="F15" s="15">
        <v>70000</v>
      </c>
    </row>
    <row r="16" spans="1:8" x14ac:dyDescent="0.35">
      <c r="A16" s="9">
        <v>3</v>
      </c>
      <c r="B16" s="9">
        <v>1</v>
      </c>
      <c r="C16" s="9" t="s">
        <v>77</v>
      </c>
      <c r="D16" s="15">
        <v>91000</v>
      </c>
      <c r="E16" s="15">
        <v>95000</v>
      </c>
      <c r="F16" s="15">
        <v>99000</v>
      </c>
    </row>
    <row r="17" spans="1:6" x14ac:dyDescent="0.35">
      <c r="A17" s="9">
        <v>3</v>
      </c>
      <c r="B17" s="9">
        <v>2</v>
      </c>
      <c r="C17" s="9" t="s">
        <v>78</v>
      </c>
      <c r="D17" s="15">
        <v>25000</v>
      </c>
      <c r="E17" s="15">
        <v>37500</v>
      </c>
      <c r="F17" s="15">
        <v>50000</v>
      </c>
    </row>
    <row r="18" spans="1:6" x14ac:dyDescent="0.35">
      <c r="A18" s="9">
        <v>3</v>
      </c>
      <c r="B18" s="9">
        <v>3</v>
      </c>
      <c r="C18" s="9" t="s">
        <v>79</v>
      </c>
      <c r="D18" s="15">
        <v>90000</v>
      </c>
      <c r="E18" s="15">
        <v>95000</v>
      </c>
      <c r="F18" s="15">
        <v>99000</v>
      </c>
    </row>
    <row r="19" spans="1:6" x14ac:dyDescent="0.35">
      <c r="A19" s="9">
        <v>3</v>
      </c>
      <c r="B19" s="9">
        <v>4</v>
      </c>
      <c r="C19" s="9" t="s">
        <v>80</v>
      </c>
      <c r="D19" s="15">
        <v>5000</v>
      </c>
      <c r="E19" s="15">
        <v>80000</v>
      </c>
      <c r="F19" s="15">
        <v>85000</v>
      </c>
    </row>
    <row r="20" spans="1:6" x14ac:dyDescent="0.35">
      <c r="A20" s="9">
        <v>3</v>
      </c>
      <c r="B20" s="9">
        <v>5</v>
      </c>
      <c r="C20" s="9" t="s">
        <v>81</v>
      </c>
      <c r="D20" s="15">
        <v>5000</v>
      </c>
      <c r="E20" s="15">
        <v>10000</v>
      </c>
      <c r="F20" s="15">
        <v>15000</v>
      </c>
    </row>
    <row r="21" spans="1:6" x14ac:dyDescent="0.35">
      <c r="A21" s="9">
        <v>3</v>
      </c>
      <c r="B21" s="9">
        <v>6</v>
      </c>
      <c r="C21" s="9" t="s">
        <v>82</v>
      </c>
      <c r="D21" s="15">
        <v>5000</v>
      </c>
      <c r="E21" s="15">
        <v>20000</v>
      </c>
      <c r="F21" s="15">
        <v>45000</v>
      </c>
    </row>
    <row r="22" spans="1:6" x14ac:dyDescent="0.35">
      <c r="A22" s="9">
        <v>3</v>
      </c>
      <c r="B22" s="9">
        <v>7</v>
      </c>
      <c r="C22" s="9" t="s">
        <v>83</v>
      </c>
      <c r="D22" s="15">
        <v>12500</v>
      </c>
      <c r="E22" s="15">
        <v>17500</v>
      </c>
      <c r="F22" s="15">
        <v>22500</v>
      </c>
    </row>
    <row r="23" spans="1:6" x14ac:dyDescent="0.35">
      <c r="A23" s="9">
        <v>4</v>
      </c>
      <c r="B23" s="9">
        <v>1</v>
      </c>
      <c r="C23" s="9" t="s">
        <v>77</v>
      </c>
      <c r="D23" s="15">
        <v>66000</v>
      </c>
      <c r="E23" s="15">
        <v>80000</v>
      </c>
      <c r="F23" s="15">
        <v>90000</v>
      </c>
    </row>
    <row r="24" spans="1:6" x14ac:dyDescent="0.35">
      <c r="A24" s="9">
        <v>4</v>
      </c>
      <c r="B24" s="9">
        <v>2</v>
      </c>
      <c r="C24" s="9" t="s">
        <v>78</v>
      </c>
      <c r="D24" s="15">
        <v>25000</v>
      </c>
      <c r="E24" s="15">
        <v>50000</v>
      </c>
      <c r="F24" s="15">
        <v>80000</v>
      </c>
    </row>
    <row r="25" spans="1:6" x14ac:dyDescent="0.35">
      <c r="A25" s="9">
        <v>4</v>
      </c>
      <c r="B25" s="9">
        <v>3</v>
      </c>
      <c r="C25" s="9" t="s">
        <v>79</v>
      </c>
      <c r="D25" s="15">
        <v>40000</v>
      </c>
      <c r="E25" s="15">
        <v>75000</v>
      </c>
      <c r="F25" s="15">
        <v>90000</v>
      </c>
    </row>
    <row r="26" spans="1:6" x14ac:dyDescent="0.35">
      <c r="A26" s="9">
        <v>4</v>
      </c>
      <c r="B26" s="9">
        <v>4</v>
      </c>
      <c r="C26" s="9" t="s">
        <v>80</v>
      </c>
      <c r="D26" s="15">
        <v>25000</v>
      </c>
      <c r="E26" s="15">
        <v>50000</v>
      </c>
      <c r="F26" s="15">
        <v>75000</v>
      </c>
    </row>
    <row r="27" spans="1:6" x14ac:dyDescent="0.35">
      <c r="A27" s="9">
        <v>4</v>
      </c>
      <c r="B27" s="9">
        <v>5</v>
      </c>
      <c r="C27" s="9" t="s">
        <v>81</v>
      </c>
      <c r="D27" s="15">
        <v>50000</v>
      </c>
      <c r="E27" s="15">
        <v>75000</v>
      </c>
      <c r="F27" s="15">
        <v>90000</v>
      </c>
    </row>
    <row r="28" spans="1:6" x14ac:dyDescent="0.35">
      <c r="A28" s="9">
        <v>4</v>
      </c>
      <c r="B28" s="9">
        <v>6</v>
      </c>
      <c r="C28" s="9" t="s">
        <v>82</v>
      </c>
      <c r="D28" s="15">
        <v>5000</v>
      </c>
      <c r="E28" s="15">
        <v>15000</v>
      </c>
      <c r="F28" s="15">
        <v>50000</v>
      </c>
    </row>
    <row r="29" spans="1:6" x14ac:dyDescent="0.35">
      <c r="A29" s="9">
        <v>4</v>
      </c>
      <c r="B29" s="9">
        <v>7</v>
      </c>
      <c r="C29" s="9" t="s">
        <v>83</v>
      </c>
      <c r="D29" s="15">
        <v>25000</v>
      </c>
      <c r="E29" s="15">
        <v>50000</v>
      </c>
      <c r="F29" s="15">
        <v>75000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7"/>
  <dimension ref="A1:H81"/>
  <sheetViews>
    <sheetView workbookViewId="0"/>
  </sheetViews>
  <sheetFormatPr defaultRowHeight="14.5" x14ac:dyDescent="0.35"/>
  <sheetData>
    <row r="1" spans="1:8" x14ac:dyDescent="0.35">
      <c r="A1" t="s">
        <v>256</v>
      </c>
      <c r="H1" t="s">
        <v>58</v>
      </c>
    </row>
    <row r="2" spans="1:8" x14ac:dyDescent="0.35">
      <c r="A2">
        <v>1</v>
      </c>
      <c r="B2">
        <v>1</v>
      </c>
      <c r="D2" s="4">
        <v>8</v>
      </c>
      <c r="E2" s="4">
        <v>30</v>
      </c>
      <c r="F2" s="4">
        <v>50</v>
      </c>
      <c r="H2" s="4">
        <v>1.48</v>
      </c>
    </row>
    <row r="3" spans="1:8" x14ac:dyDescent="0.35">
      <c r="A3">
        <v>1</v>
      </c>
      <c r="B3">
        <v>2</v>
      </c>
      <c r="D3" s="4">
        <v>0.5</v>
      </c>
      <c r="E3" s="4">
        <v>2.5</v>
      </c>
      <c r="F3" s="4">
        <v>5</v>
      </c>
      <c r="H3" s="4">
        <v>1.8</v>
      </c>
    </row>
    <row r="4" spans="1:8" x14ac:dyDescent="0.35">
      <c r="A4">
        <v>1</v>
      </c>
      <c r="B4">
        <v>3</v>
      </c>
      <c r="D4" s="4">
        <v>10</v>
      </c>
      <c r="E4" s="4">
        <v>30</v>
      </c>
      <c r="F4" s="4">
        <v>40</v>
      </c>
      <c r="H4" s="4">
        <v>2.1</v>
      </c>
    </row>
    <row r="5" spans="1:8" x14ac:dyDescent="0.35">
      <c r="A5">
        <v>1</v>
      </c>
      <c r="B5">
        <v>4</v>
      </c>
      <c r="D5" s="4">
        <v>1.8</v>
      </c>
      <c r="E5" s="4">
        <v>2.33</v>
      </c>
      <c r="F5" s="4">
        <v>9</v>
      </c>
      <c r="H5" s="4">
        <v>2</v>
      </c>
    </row>
    <row r="6" spans="1:8" x14ac:dyDescent="0.35">
      <c r="A6">
        <v>1</v>
      </c>
      <c r="B6">
        <v>5</v>
      </c>
      <c r="D6" s="4">
        <v>50</v>
      </c>
      <c r="E6" s="4">
        <v>70</v>
      </c>
      <c r="F6" s="4">
        <v>80</v>
      </c>
      <c r="H6" s="4">
        <v>38</v>
      </c>
    </row>
    <row r="7" spans="1:8" x14ac:dyDescent="0.35">
      <c r="A7">
        <v>1</v>
      </c>
      <c r="B7">
        <v>6</v>
      </c>
      <c r="D7" s="4">
        <v>-10</v>
      </c>
      <c r="E7" s="4">
        <v>-5</v>
      </c>
      <c r="F7" s="4">
        <v>20</v>
      </c>
      <c r="H7" s="4">
        <v>-41</v>
      </c>
    </row>
    <row r="8" spans="1:8" x14ac:dyDescent="0.35">
      <c r="A8">
        <v>1</v>
      </c>
      <c r="B8">
        <v>7</v>
      </c>
      <c r="D8" s="4">
        <v>-15</v>
      </c>
      <c r="E8" s="4">
        <v>-5</v>
      </c>
      <c r="F8" s="4">
        <v>10</v>
      </c>
      <c r="H8" s="4">
        <v>-64</v>
      </c>
    </row>
    <row r="9" spans="1:8" x14ac:dyDescent="0.35">
      <c r="A9">
        <v>1</v>
      </c>
      <c r="B9">
        <v>8</v>
      </c>
      <c r="D9" s="4">
        <v>5</v>
      </c>
      <c r="E9" s="4">
        <v>15</v>
      </c>
      <c r="F9" s="4">
        <v>30</v>
      </c>
      <c r="H9" s="4">
        <v>10.3</v>
      </c>
    </row>
    <row r="10" spans="1:8" x14ac:dyDescent="0.35">
      <c r="A10">
        <v>1</v>
      </c>
      <c r="B10">
        <v>9</v>
      </c>
      <c r="D10" s="4">
        <v>20</v>
      </c>
      <c r="E10" s="4">
        <v>55</v>
      </c>
      <c r="F10" s="4">
        <v>70</v>
      </c>
      <c r="H10" s="4">
        <v>52.7</v>
      </c>
    </row>
    <row r="11" spans="1:8" x14ac:dyDescent="0.35">
      <c r="A11">
        <v>1</v>
      </c>
      <c r="B11">
        <v>10</v>
      </c>
      <c r="D11" s="4">
        <v>10</v>
      </c>
      <c r="E11" s="4">
        <v>30</v>
      </c>
      <c r="F11" s="4">
        <v>50</v>
      </c>
      <c r="H11" s="4">
        <v>17</v>
      </c>
    </row>
    <row r="12" spans="1:8" x14ac:dyDescent="0.35">
      <c r="A12">
        <v>2</v>
      </c>
      <c r="B12">
        <v>1</v>
      </c>
      <c r="D12" s="4">
        <v>0.01</v>
      </c>
      <c r="E12" s="4">
        <v>0.02</v>
      </c>
      <c r="F12" s="4">
        <v>0.03</v>
      </c>
    </row>
    <row r="13" spans="1:8" x14ac:dyDescent="0.35">
      <c r="A13">
        <v>2</v>
      </c>
      <c r="B13">
        <v>2</v>
      </c>
      <c r="D13" s="4">
        <v>0.02</v>
      </c>
      <c r="E13" s="4">
        <v>0.09</v>
      </c>
      <c r="F13" s="4">
        <v>0.1</v>
      </c>
    </row>
    <row r="14" spans="1:8" x14ac:dyDescent="0.35">
      <c r="A14">
        <v>2</v>
      </c>
      <c r="B14">
        <v>3</v>
      </c>
      <c r="D14" s="4">
        <v>2.5000000000000001E-2</v>
      </c>
      <c r="E14" s="4">
        <v>0.1</v>
      </c>
      <c r="F14" s="4">
        <v>0.15</v>
      </c>
    </row>
    <row r="15" spans="1:8" x14ac:dyDescent="0.35">
      <c r="A15">
        <v>2</v>
      </c>
      <c r="B15">
        <v>4</v>
      </c>
      <c r="D15" s="4">
        <v>20</v>
      </c>
      <c r="E15" s="4">
        <v>30</v>
      </c>
      <c r="F15" s="4">
        <v>50</v>
      </c>
    </row>
    <row r="16" spans="1:8" x14ac:dyDescent="0.35">
      <c r="A16">
        <v>2</v>
      </c>
      <c r="B16">
        <v>5</v>
      </c>
      <c r="D16" s="4">
        <v>5</v>
      </c>
      <c r="E16" s="4">
        <v>25</v>
      </c>
      <c r="F16" s="4">
        <v>40</v>
      </c>
    </row>
    <row r="17" spans="1:6" x14ac:dyDescent="0.35">
      <c r="A17">
        <v>2</v>
      </c>
      <c r="B17">
        <v>6</v>
      </c>
      <c r="D17" s="4">
        <v>-60</v>
      </c>
      <c r="E17" s="4">
        <v>-40</v>
      </c>
      <c r="F17" s="4">
        <v>-20</v>
      </c>
    </row>
    <row r="18" spans="1:6" x14ac:dyDescent="0.35">
      <c r="A18">
        <v>2</v>
      </c>
      <c r="B18">
        <v>7</v>
      </c>
      <c r="D18" s="4">
        <v>-75</v>
      </c>
      <c r="E18" s="4">
        <v>-60</v>
      </c>
      <c r="F18" s="4">
        <v>-30</v>
      </c>
    </row>
    <row r="19" spans="1:6" x14ac:dyDescent="0.35">
      <c r="A19">
        <v>2</v>
      </c>
      <c r="B19">
        <v>8</v>
      </c>
      <c r="D19" s="4">
        <v>200</v>
      </c>
      <c r="E19" s="4">
        <v>400</v>
      </c>
      <c r="F19" s="4">
        <v>600</v>
      </c>
    </row>
    <row r="20" spans="1:6" x14ac:dyDescent="0.35">
      <c r="A20">
        <v>2</v>
      </c>
      <c r="B20">
        <v>9</v>
      </c>
      <c r="D20" s="4">
        <v>55</v>
      </c>
      <c r="E20" s="4">
        <v>75</v>
      </c>
      <c r="F20" s="4">
        <v>90</v>
      </c>
    </row>
    <row r="21" spans="1:6" x14ac:dyDescent="0.35">
      <c r="A21">
        <v>2</v>
      </c>
      <c r="B21">
        <v>10</v>
      </c>
      <c r="D21" s="4">
        <v>50</v>
      </c>
      <c r="E21" s="4">
        <v>70</v>
      </c>
      <c r="F21" s="4">
        <v>90</v>
      </c>
    </row>
    <row r="22" spans="1:6" x14ac:dyDescent="0.35">
      <c r="A22">
        <v>3</v>
      </c>
      <c r="B22">
        <v>1</v>
      </c>
      <c r="D22" s="4">
        <v>2</v>
      </c>
      <c r="E22" s="4">
        <v>3</v>
      </c>
      <c r="F22" s="4">
        <v>4</v>
      </c>
    </row>
    <row r="23" spans="1:6" x14ac:dyDescent="0.35">
      <c r="A23">
        <v>3</v>
      </c>
      <c r="B23">
        <v>2</v>
      </c>
      <c r="D23" s="4">
        <v>1.5</v>
      </c>
      <c r="E23" s="4">
        <v>2</v>
      </c>
      <c r="F23" s="4">
        <v>3</v>
      </c>
    </row>
    <row r="24" spans="1:6" x14ac:dyDescent="0.35">
      <c r="A24">
        <v>3</v>
      </c>
      <c r="B24">
        <v>3</v>
      </c>
      <c r="D24" s="4">
        <v>1</v>
      </c>
      <c r="E24" s="4">
        <v>2</v>
      </c>
      <c r="F24" s="4">
        <v>3</v>
      </c>
    </row>
    <row r="25" spans="1:6" x14ac:dyDescent="0.35">
      <c r="A25">
        <v>3</v>
      </c>
      <c r="B25">
        <v>4</v>
      </c>
      <c r="D25" s="4">
        <v>15</v>
      </c>
      <c r="E25" s="4">
        <v>20</v>
      </c>
      <c r="F25" s="4">
        <v>30</v>
      </c>
    </row>
    <row r="26" spans="1:6" x14ac:dyDescent="0.35">
      <c r="A26">
        <v>3</v>
      </c>
      <c r="B26">
        <v>5</v>
      </c>
      <c r="D26" s="4">
        <v>40</v>
      </c>
      <c r="E26" s="4">
        <v>50</v>
      </c>
      <c r="F26" s="4">
        <v>60</v>
      </c>
    </row>
    <row r="27" spans="1:6" x14ac:dyDescent="0.35">
      <c r="A27">
        <v>3</v>
      </c>
      <c r="B27">
        <v>6</v>
      </c>
      <c r="D27" s="4">
        <v>-7</v>
      </c>
      <c r="E27" s="4">
        <v>-6</v>
      </c>
      <c r="F27" s="4">
        <v>-2</v>
      </c>
    </row>
    <row r="28" spans="1:6" x14ac:dyDescent="0.35">
      <c r="A28">
        <v>3</v>
      </c>
      <c r="B28">
        <v>7</v>
      </c>
      <c r="D28" s="4">
        <v>-15</v>
      </c>
      <c r="E28" s="4">
        <v>-8</v>
      </c>
      <c r="F28" s="4">
        <v>-2</v>
      </c>
    </row>
    <row r="29" spans="1:6" x14ac:dyDescent="0.35">
      <c r="A29">
        <v>3</v>
      </c>
      <c r="B29">
        <v>8</v>
      </c>
      <c r="D29" s="4">
        <v>150</v>
      </c>
      <c r="E29" s="4">
        <v>500</v>
      </c>
      <c r="F29" s="4">
        <v>750</v>
      </c>
    </row>
    <row r="30" spans="1:6" x14ac:dyDescent="0.35">
      <c r="A30">
        <v>3</v>
      </c>
      <c r="B30">
        <v>9</v>
      </c>
      <c r="D30" s="4">
        <v>38</v>
      </c>
      <c r="E30" s="4">
        <v>55</v>
      </c>
      <c r="F30" s="4">
        <v>63</v>
      </c>
    </row>
    <row r="31" spans="1:6" x14ac:dyDescent="0.35">
      <c r="A31">
        <v>3</v>
      </c>
      <c r="B31">
        <v>10</v>
      </c>
      <c r="D31" s="4">
        <v>35</v>
      </c>
      <c r="E31" s="4">
        <v>55</v>
      </c>
      <c r="F31" s="4">
        <v>70</v>
      </c>
    </row>
    <row r="32" spans="1:6" x14ac:dyDescent="0.35">
      <c r="A32">
        <v>4</v>
      </c>
      <c r="B32">
        <v>1</v>
      </c>
      <c r="D32" s="4">
        <v>1</v>
      </c>
      <c r="E32" s="4">
        <v>3</v>
      </c>
      <c r="F32" s="4">
        <v>10</v>
      </c>
    </row>
    <row r="33" spans="1:6" x14ac:dyDescent="0.35">
      <c r="A33">
        <v>4</v>
      </c>
      <c r="B33">
        <v>2</v>
      </c>
      <c r="D33" s="4">
        <v>1</v>
      </c>
      <c r="E33" s="4">
        <v>3</v>
      </c>
      <c r="F33" s="4">
        <v>15</v>
      </c>
    </row>
    <row r="34" spans="1:6" x14ac:dyDescent="0.35">
      <c r="A34">
        <v>4</v>
      </c>
      <c r="B34">
        <v>3</v>
      </c>
      <c r="D34" s="4">
        <v>1</v>
      </c>
      <c r="E34" s="4">
        <v>3</v>
      </c>
      <c r="F34" s="4">
        <v>15</v>
      </c>
    </row>
    <row r="35" spans="1:6" x14ac:dyDescent="0.35">
      <c r="A35">
        <v>4</v>
      </c>
      <c r="B35">
        <v>4</v>
      </c>
      <c r="D35" s="4">
        <v>2</v>
      </c>
      <c r="E35" s="4">
        <v>4</v>
      </c>
      <c r="F35" s="4">
        <v>10</v>
      </c>
    </row>
    <row r="36" spans="1:6" x14ac:dyDescent="0.35">
      <c r="A36">
        <v>4</v>
      </c>
      <c r="B36">
        <v>5</v>
      </c>
      <c r="D36" s="4">
        <v>10</v>
      </c>
      <c r="E36" s="4">
        <v>40</v>
      </c>
      <c r="F36" s="4">
        <v>75</v>
      </c>
    </row>
    <row r="37" spans="1:6" x14ac:dyDescent="0.35">
      <c r="A37">
        <v>4</v>
      </c>
      <c r="B37">
        <v>6</v>
      </c>
      <c r="D37" s="4">
        <v>-25</v>
      </c>
      <c r="E37" s="4">
        <v>-7</v>
      </c>
      <c r="F37" s="4">
        <v>-2</v>
      </c>
    </row>
    <row r="38" spans="1:6" x14ac:dyDescent="0.35">
      <c r="A38">
        <v>4</v>
      </c>
      <c r="B38">
        <v>7</v>
      </c>
      <c r="D38" s="4">
        <v>-50</v>
      </c>
      <c r="E38" s="4">
        <v>-10</v>
      </c>
      <c r="F38" s="4">
        <v>-2</v>
      </c>
    </row>
    <row r="39" spans="1:6" x14ac:dyDescent="0.35">
      <c r="A39">
        <v>4</v>
      </c>
      <c r="B39">
        <v>8</v>
      </c>
      <c r="D39" s="4">
        <v>5</v>
      </c>
      <c r="E39" s="4">
        <v>10</v>
      </c>
      <c r="F39" s="4">
        <v>20</v>
      </c>
    </row>
    <row r="40" spans="1:6" x14ac:dyDescent="0.35">
      <c r="A40">
        <v>4</v>
      </c>
      <c r="B40">
        <v>9</v>
      </c>
      <c r="D40" s="4">
        <v>6</v>
      </c>
      <c r="E40" s="4">
        <v>60</v>
      </c>
      <c r="F40" s="4">
        <v>94</v>
      </c>
    </row>
    <row r="41" spans="1:6" x14ac:dyDescent="0.35">
      <c r="A41">
        <v>4</v>
      </c>
      <c r="B41">
        <v>10</v>
      </c>
      <c r="D41" s="4">
        <v>20</v>
      </c>
      <c r="E41" s="4">
        <v>40</v>
      </c>
      <c r="F41" s="4">
        <v>70</v>
      </c>
    </row>
    <row r="42" spans="1:6" x14ac:dyDescent="0.35">
      <c r="A42">
        <v>5</v>
      </c>
      <c r="B42">
        <v>1</v>
      </c>
      <c r="D42" s="4">
        <v>0.1</v>
      </c>
      <c r="E42" s="4">
        <v>0.3</v>
      </c>
      <c r="F42" s="4">
        <v>0.5</v>
      </c>
    </row>
    <row r="43" spans="1:6" x14ac:dyDescent="0.35">
      <c r="A43">
        <v>5</v>
      </c>
      <c r="B43">
        <v>2</v>
      </c>
      <c r="D43" s="4">
        <v>0.5</v>
      </c>
      <c r="E43" s="4">
        <v>2</v>
      </c>
      <c r="F43" s="4">
        <v>5</v>
      </c>
    </row>
    <row r="44" spans="1:6" x14ac:dyDescent="0.35">
      <c r="A44">
        <v>5</v>
      </c>
      <c r="B44">
        <v>3</v>
      </c>
      <c r="D44" s="4">
        <v>0.5</v>
      </c>
      <c r="E44" s="4">
        <v>3</v>
      </c>
      <c r="F44" s="4">
        <v>10</v>
      </c>
    </row>
    <row r="45" spans="1:6" x14ac:dyDescent="0.35">
      <c r="A45">
        <v>5</v>
      </c>
      <c r="B45">
        <v>4</v>
      </c>
      <c r="D45" s="4">
        <v>2</v>
      </c>
      <c r="E45" s="4">
        <v>4</v>
      </c>
      <c r="F45" s="4">
        <v>10</v>
      </c>
    </row>
    <row r="46" spans="1:6" x14ac:dyDescent="0.35">
      <c r="A46">
        <v>5</v>
      </c>
      <c r="B46">
        <v>5</v>
      </c>
      <c r="D46" s="4">
        <v>50</v>
      </c>
      <c r="E46" s="4">
        <v>80</v>
      </c>
      <c r="F46" s="4">
        <v>90</v>
      </c>
    </row>
    <row r="47" spans="1:6" x14ac:dyDescent="0.35">
      <c r="A47">
        <v>5</v>
      </c>
      <c r="B47">
        <v>6</v>
      </c>
      <c r="D47" s="4">
        <v>-50</v>
      </c>
      <c r="E47" s="4">
        <v>-30</v>
      </c>
      <c r="F47" s="4">
        <v>-20</v>
      </c>
    </row>
    <row r="48" spans="1:6" x14ac:dyDescent="0.35">
      <c r="A48">
        <v>5</v>
      </c>
      <c r="B48">
        <v>7</v>
      </c>
      <c r="D48" s="4">
        <v>-50</v>
      </c>
      <c r="E48" s="4">
        <v>-35</v>
      </c>
      <c r="F48" s="4">
        <v>-25</v>
      </c>
    </row>
    <row r="49" spans="1:6" x14ac:dyDescent="0.35">
      <c r="A49">
        <v>5</v>
      </c>
      <c r="B49">
        <v>8</v>
      </c>
      <c r="D49" s="4">
        <v>5</v>
      </c>
      <c r="E49" s="4">
        <v>7</v>
      </c>
      <c r="F49" s="4">
        <v>15</v>
      </c>
    </row>
    <row r="50" spans="1:6" x14ac:dyDescent="0.35">
      <c r="A50">
        <v>5</v>
      </c>
      <c r="B50">
        <v>9</v>
      </c>
      <c r="D50" s="4">
        <v>50</v>
      </c>
      <c r="E50" s="4">
        <v>70</v>
      </c>
      <c r="F50" s="4">
        <v>80</v>
      </c>
    </row>
    <row r="51" spans="1:6" x14ac:dyDescent="0.35">
      <c r="A51">
        <v>5</v>
      </c>
      <c r="B51">
        <v>10</v>
      </c>
      <c r="D51" s="4">
        <v>30</v>
      </c>
      <c r="E51" s="4">
        <v>40</v>
      </c>
      <c r="F51" s="4">
        <v>60</v>
      </c>
    </row>
    <row r="52" spans="1:6" x14ac:dyDescent="0.35">
      <c r="A52">
        <v>6</v>
      </c>
      <c r="B52">
        <v>1</v>
      </c>
      <c r="D52" s="4">
        <v>5</v>
      </c>
      <c r="E52" s="4">
        <v>10</v>
      </c>
      <c r="F52" s="4">
        <v>25</v>
      </c>
    </row>
    <row r="53" spans="1:6" x14ac:dyDescent="0.35">
      <c r="A53">
        <v>6</v>
      </c>
      <c r="B53">
        <v>2</v>
      </c>
      <c r="D53" s="4">
        <v>5</v>
      </c>
      <c r="E53" s="4">
        <v>10</v>
      </c>
      <c r="F53" s="4">
        <v>25</v>
      </c>
    </row>
    <row r="54" spans="1:6" x14ac:dyDescent="0.35">
      <c r="A54">
        <v>6</v>
      </c>
      <c r="B54">
        <v>3</v>
      </c>
      <c r="D54" s="4">
        <v>5</v>
      </c>
      <c r="E54" s="4">
        <v>10</v>
      </c>
      <c r="F54" s="4">
        <v>25</v>
      </c>
    </row>
    <row r="55" spans="1:6" x14ac:dyDescent="0.35">
      <c r="A55">
        <v>6</v>
      </c>
      <c r="B55">
        <v>4</v>
      </c>
      <c r="D55" s="4">
        <v>1</v>
      </c>
      <c r="E55" s="4">
        <v>2</v>
      </c>
      <c r="F55" s="4">
        <v>2.5</v>
      </c>
    </row>
    <row r="56" spans="1:6" x14ac:dyDescent="0.35">
      <c r="A56">
        <v>6</v>
      </c>
      <c r="B56">
        <v>5</v>
      </c>
      <c r="D56" s="4">
        <v>5</v>
      </c>
      <c r="E56" s="4">
        <v>10</v>
      </c>
      <c r="F56" s="4">
        <v>25</v>
      </c>
    </row>
    <row r="57" spans="1:6" x14ac:dyDescent="0.35">
      <c r="A57">
        <v>6</v>
      </c>
      <c r="B57">
        <v>6</v>
      </c>
      <c r="D57" s="4">
        <v>-5</v>
      </c>
      <c r="E57" s="4">
        <v>-3</v>
      </c>
      <c r="F57" s="4">
        <v>-1</v>
      </c>
    </row>
    <row r="58" spans="1:6" x14ac:dyDescent="0.35">
      <c r="A58">
        <v>6</v>
      </c>
      <c r="B58">
        <v>7</v>
      </c>
      <c r="D58" s="4">
        <v>-5</v>
      </c>
      <c r="E58" s="4">
        <v>-3</v>
      </c>
      <c r="F58" s="4">
        <v>-1</v>
      </c>
    </row>
    <row r="59" spans="1:6" x14ac:dyDescent="0.35">
      <c r="A59">
        <v>6</v>
      </c>
      <c r="B59">
        <v>8</v>
      </c>
      <c r="D59" s="4">
        <v>10</v>
      </c>
      <c r="E59" s="4">
        <v>15</v>
      </c>
      <c r="F59" s="4">
        <v>25</v>
      </c>
    </row>
    <row r="60" spans="1:6" x14ac:dyDescent="0.35">
      <c r="A60">
        <v>6</v>
      </c>
      <c r="B60">
        <v>9</v>
      </c>
      <c r="D60" s="4">
        <v>80</v>
      </c>
      <c r="E60" s="4">
        <v>85</v>
      </c>
      <c r="F60" s="4">
        <v>90</v>
      </c>
    </row>
    <row r="61" spans="1:6" x14ac:dyDescent="0.35">
      <c r="A61">
        <v>6</v>
      </c>
      <c r="B61">
        <v>10</v>
      </c>
      <c r="D61" s="4">
        <v>5</v>
      </c>
      <c r="E61" s="4">
        <v>25</v>
      </c>
      <c r="F61" s="4">
        <v>50</v>
      </c>
    </row>
    <row r="62" spans="1:6" x14ac:dyDescent="0.35">
      <c r="A62">
        <v>7</v>
      </c>
      <c r="B62">
        <v>1</v>
      </c>
      <c r="D62" s="4">
        <v>0.5</v>
      </c>
      <c r="E62" s="4">
        <v>2</v>
      </c>
      <c r="F62" s="4">
        <v>5</v>
      </c>
    </row>
    <row r="63" spans="1:6" x14ac:dyDescent="0.35">
      <c r="A63">
        <v>7</v>
      </c>
      <c r="B63">
        <v>2</v>
      </c>
      <c r="D63" s="4">
        <v>1</v>
      </c>
      <c r="E63" s="4">
        <v>5</v>
      </c>
      <c r="F63" s="4">
        <v>8</v>
      </c>
    </row>
    <row r="64" spans="1:6" x14ac:dyDescent="0.35">
      <c r="A64">
        <v>7</v>
      </c>
      <c r="B64">
        <v>3</v>
      </c>
      <c r="D64" s="4">
        <v>5</v>
      </c>
      <c r="E64" s="4">
        <v>10</v>
      </c>
      <c r="F64" s="4">
        <v>15</v>
      </c>
    </row>
    <row r="65" spans="1:6" x14ac:dyDescent="0.35">
      <c r="A65">
        <v>7</v>
      </c>
      <c r="B65">
        <v>4</v>
      </c>
      <c r="D65" s="4">
        <v>1</v>
      </c>
      <c r="E65" s="4">
        <v>9</v>
      </c>
      <c r="F65" s="4">
        <v>9.5</v>
      </c>
    </row>
    <row r="66" spans="1:6" x14ac:dyDescent="0.35">
      <c r="A66">
        <v>7</v>
      </c>
      <c r="B66">
        <v>5</v>
      </c>
      <c r="D66" s="4">
        <v>0.1</v>
      </c>
      <c r="E66" s="4">
        <v>10</v>
      </c>
      <c r="F66" s="4">
        <v>15</v>
      </c>
    </row>
    <row r="67" spans="1:6" x14ac:dyDescent="0.35">
      <c r="A67">
        <v>7</v>
      </c>
      <c r="B67">
        <v>6</v>
      </c>
      <c r="D67" s="4">
        <v>3</v>
      </c>
      <c r="E67" s="4">
        <v>7</v>
      </c>
      <c r="F67" s="4">
        <v>10</v>
      </c>
    </row>
    <row r="68" spans="1:6" x14ac:dyDescent="0.35">
      <c r="A68">
        <v>7</v>
      </c>
      <c r="B68">
        <v>7</v>
      </c>
      <c r="D68" s="4">
        <v>2</v>
      </c>
      <c r="E68" s="4">
        <v>6</v>
      </c>
      <c r="F68" s="4">
        <v>8</v>
      </c>
    </row>
    <row r="69" spans="1:6" x14ac:dyDescent="0.35">
      <c r="A69">
        <v>7</v>
      </c>
      <c r="B69">
        <v>8</v>
      </c>
      <c r="D69" s="4">
        <v>5</v>
      </c>
      <c r="E69" s="4">
        <v>9</v>
      </c>
      <c r="F69" s="4">
        <v>9.5</v>
      </c>
    </row>
    <row r="70" spans="1:6" x14ac:dyDescent="0.35">
      <c r="A70">
        <v>7</v>
      </c>
      <c r="B70">
        <v>9</v>
      </c>
      <c r="D70" s="4">
        <v>50</v>
      </c>
      <c r="E70" s="4">
        <v>85</v>
      </c>
      <c r="F70" s="4">
        <v>90</v>
      </c>
    </row>
    <row r="71" spans="1:6" x14ac:dyDescent="0.35">
      <c r="A71">
        <v>7</v>
      </c>
      <c r="B71">
        <v>10</v>
      </c>
      <c r="D71" s="4">
        <v>4</v>
      </c>
      <c r="E71" s="4">
        <v>7</v>
      </c>
      <c r="F71" s="4">
        <v>10</v>
      </c>
    </row>
    <row r="72" spans="1:6" x14ac:dyDescent="0.35">
      <c r="A72">
        <v>8</v>
      </c>
      <c r="B72">
        <v>1</v>
      </c>
      <c r="D72" s="4">
        <v>5</v>
      </c>
      <c r="E72" s="4">
        <v>25</v>
      </c>
      <c r="F72" s="4">
        <v>30</v>
      </c>
    </row>
    <row r="73" spans="1:6" x14ac:dyDescent="0.35">
      <c r="A73">
        <v>8</v>
      </c>
      <c r="B73">
        <v>2</v>
      </c>
      <c r="D73" s="4">
        <v>50</v>
      </c>
      <c r="E73" s="4">
        <v>60</v>
      </c>
      <c r="F73" s="4">
        <v>75</v>
      </c>
    </row>
    <row r="74" spans="1:6" x14ac:dyDescent="0.35">
      <c r="A74">
        <v>8</v>
      </c>
      <c r="B74">
        <v>3</v>
      </c>
      <c r="D74" s="4">
        <v>10</v>
      </c>
      <c r="E74" s="4">
        <v>18</v>
      </c>
      <c r="F74" s="4">
        <v>30</v>
      </c>
    </row>
    <row r="75" spans="1:6" x14ac:dyDescent="0.35">
      <c r="A75">
        <v>8</v>
      </c>
      <c r="B75">
        <v>4</v>
      </c>
      <c r="D75" s="4">
        <v>3</v>
      </c>
      <c r="E75" s="4">
        <v>4</v>
      </c>
      <c r="F75" s="4">
        <v>5</v>
      </c>
    </row>
    <row r="76" spans="1:6" x14ac:dyDescent="0.35">
      <c r="A76">
        <v>8</v>
      </c>
      <c r="B76">
        <v>5</v>
      </c>
      <c r="D76" s="4">
        <v>5</v>
      </c>
      <c r="E76" s="4">
        <v>7</v>
      </c>
      <c r="F76" s="4">
        <v>9</v>
      </c>
    </row>
    <row r="77" spans="1:6" x14ac:dyDescent="0.35">
      <c r="A77">
        <v>8</v>
      </c>
      <c r="B77">
        <v>6</v>
      </c>
      <c r="D77" s="4">
        <v>-98</v>
      </c>
      <c r="E77" s="4">
        <v>-56</v>
      </c>
      <c r="F77" s="4">
        <v>0</v>
      </c>
    </row>
    <row r="78" spans="1:6" x14ac:dyDescent="0.35">
      <c r="A78">
        <v>8</v>
      </c>
      <c r="B78">
        <v>7</v>
      </c>
      <c r="D78" s="4">
        <v>-83.33</v>
      </c>
      <c r="E78" s="4">
        <v>-41.67</v>
      </c>
      <c r="F78" s="4">
        <v>0</v>
      </c>
    </row>
    <row r="79" spans="1:6" x14ac:dyDescent="0.35">
      <c r="A79">
        <v>8</v>
      </c>
      <c r="B79">
        <v>8</v>
      </c>
      <c r="D79" s="4">
        <v>2</v>
      </c>
      <c r="E79" s="4">
        <v>2.5</v>
      </c>
      <c r="F79" s="4">
        <v>7.5</v>
      </c>
    </row>
    <row r="80" spans="1:6" x14ac:dyDescent="0.35">
      <c r="A80">
        <v>8</v>
      </c>
      <c r="B80">
        <v>9</v>
      </c>
      <c r="D80" s="4">
        <v>17</v>
      </c>
      <c r="E80" s="4">
        <v>33</v>
      </c>
      <c r="F80" s="4">
        <v>75</v>
      </c>
    </row>
    <row r="81" spans="1:6" x14ac:dyDescent="0.35">
      <c r="A81">
        <v>8</v>
      </c>
      <c r="B81">
        <v>10</v>
      </c>
      <c r="D81" s="4">
        <v>25</v>
      </c>
      <c r="E81" s="4">
        <v>35</v>
      </c>
      <c r="F81" s="4">
        <v>45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7"/>
  <dimension ref="A1:H211"/>
  <sheetViews>
    <sheetView workbookViewId="0"/>
  </sheetViews>
  <sheetFormatPr defaultRowHeight="14.5" x14ac:dyDescent="0.35"/>
  <sheetData>
    <row r="1" spans="1:8" x14ac:dyDescent="0.35">
      <c r="A1" s="9" t="s">
        <v>85</v>
      </c>
      <c r="H1" s="9" t="s">
        <v>58</v>
      </c>
    </row>
    <row r="2" spans="1:8" x14ac:dyDescent="0.35">
      <c r="A2" s="9">
        <v>1</v>
      </c>
      <c r="B2" s="9">
        <v>1</v>
      </c>
      <c r="D2" s="15">
        <v>5</v>
      </c>
      <c r="E2" s="15">
        <v>20</v>
      </c>
      <c r="F2" s="15">
        <v>35</v>
      </c>
      <c r="H2" s="15">
        <v>8</v>
      </c>
    </row>
    <row r="3" spans="1:8" x14ac:dyDescent="0.35">
      <c r="A3" s="9">
        <v>1</v>
      </c>
      <c r="B3" s="9">
        <v>2</v>
      </c>
      <c r="D3" s="15">
        <v>30</v>
      </c>
      <c r="E3" s="15">
        <v>40</v>
      </c>
      <c r="F3" s="15">
        <v>45</v>
      </c>
      <c r="H3" s="15">
        <v>9.9</v>
      </c>
    </row>
    <row r="4" spans="1:8" x14ac:dyDescent="0.35">
      <c r="A4" s="9">
        <v>1</v>
      </c>
      <c r="B4" s="9">
        <v>3</v>
      </c>
      <c r="D4" s="15">
        <v>1</v>
      </c>
      <c r="E4" s="15">
        <v>1.5</v>
      </c>
      <c r="F4" s="15">
        <v>2</v>
      </c>
      <c r="H4" s="15">
        <v>47.2</v>
      </c>
    </row>
    <row r="5" spans="1:8" x14ac:dyDescent="0.35">
      <c r="A5" s="9">
        <v>1</v>
      </c>
      <c r="B5" s="9">
        <v>4</v>
      </c>
      <c r="D5" s="15">
        <v>3</v>
      </c>
      <c r="E5" s="15">
        <v>3.6</v>
      </c>
      <c r="F5" s="15">
        <v>4</v>
      </c>
      <c r="H5" s="15">
        <v>3.7</v>
      </c>
    </row>
    <row r="6" spans="1:8" x14ac:dyDescent="0.35">
      <c r="A6" s="9">
        <v>1</v>
      </c>
      <c r="B6" s="9">
        <v>5</v>
      </c>
      <c r="D6" s="15">
        <v>10</v>
      </c>
      <c r="E6" s="15">
        <v>60</v>
      </c>
      <c r="F6" s="15">
        <v>90</v>
      </c>
      <c r="H6" s="15">
        <v>95</v>
      </c>
    </row>
    <row r="7" spans="1:8" x14ac:dyDescent="0.35">
      <c r="A7" s="9">
        <v>1</v>
      </c>
      <c r="B7" s="9">
        <v>6</v>
      </c>
      <c r="D7" s="15">
        <v>1994</v>
      </c>
      <c r="E7" s="15">
        <v>1995</v>
      </c>
      <c r="F7" s="15">
        <v>1996</v>
      </c>
      <c r="H7" s="15">
        <v>1998</v>
      </c>
    </row>
    <row r="8" spans="1:8" x14ac:dyDescent="0.35">
      <c r="A8" s="9">
        <v>1</v>
      </c>
      <c r="B8" s="9">
        <v>7</v>
      </c>
      <c r="D8" s="15">
        <v>5</v>
      </c>
      <c r="E8" s="15">
        <v>15</v>
      </c>
      <c r="F8" s="15">
        <v>25</v>
      </c>
      <c r="H8" s="15">
        <v>20.6</v>
      </c>
    </row>
    <row r="9" spans="1:8" x14ac:dyDescent="0.35">
      <c r="A9" s="9">
        <v>1</v>
      </c>
      <c r="B9" s="9">
        <v>8</v>
      </c>
      <c r="D9" s="15">
        <v>5</v>
      </c>
      <c r="E9" s="15">
        <v>15</v>
      </c>
      <c r="F9" s="15">
        <v>20</v>
      </c>
      <c r="H9" s="15">
        <v>20</v>
      </c>
    </row>
    <row r="10" spans="1:8" x14ac:dyDescent="0.35">
      <c r="A10" s="9">
        <v>1</v>
      </c>
      <c r="B10" s="9">
        <v>9</v>
      </c>
      <c r="D10" s="15">
        <v>2</v>
      </c>
      <c r="E10" s="15">
        <v>10</v>
      </c>
      <c r="F10" s="15">
        <v>15</v>
      </c>
      <c r="H10" s="15">
        <v>5.3</v>
      </c>
    </row>
    <row r="11" spans="1:8" x14ac:dyDescent="0.35">
      <c r="A11" s="9">
        <v>1</v>
      </c>
      <c r="B11" s="9">
        <v>10</v>
      </c>
      <c r="D11" s="15">
        <v>10</v>
      </c>
      <c r="E11" s="15">
        <v>40</v>
      </c>
      <c r="F11" s="15">
        <v>80</v>
      </c>
      <c r="H11" s="15">
        <v>3.2</v>
      </c>
    </row>
    <row r="12" spans="1:8" x14ac:dyDescent="0.35">
      <c r="A12" s="9">
        <v>1</v>
      </c>
      <c r="B12" s="9">
        <v>11</v>
      </c>
      <c r="D12" s="15">
        <v>3</v>
      </c>
      <c r="E12" s="15">
        <v>5</v>
      </c>
      <c r="F12" s="15">
        <v>10</v>
      </c>
      <c r="H12" s="15">
        <v>3.2</v>
      </c>
    </row>
    <row r="13" spans="1:8" x14ac:dyDescent="0.35">
      <c r="A13" s="9">
        <v>1</v>
      </c>
      <c r="B13" s="9">
        <v>12</v>
      </c>
      <c r="D13" s="15">
        <v>5</v>
      </c>
      <c r="E13" s="15">
        <v>10</v>
      </c>
      <c r="F13" s="15">
        <v>20</v>
      </c>
      <c r="H13" s="15">
        <v>9.9</v>
      </c>
    </row>
    <row r="14" spans="1:8" x14ac:dyDescent="0.35">
      <c r="A14" s="9">
        <v>1</v>
      </c>
      <c r="B14" s="9">
        <v>13</v>
      </c>
      <c r="D14" s="15">
        <v>1</v>
      </c>
      <c r="E14" s="15">
        <v>3</v>
      </c>
      <c r="F14" s="15">
        <v>5</v>
      </c>
      <c r="H14" s="15">
        <v>2.8</v>
      </c>
    </row>
    <row r="15" spans="1:8" x14ac:dyDescent="0.35">
      <c r="A15" s="9">
        <v>1</v>
      </c>
      <c r="B15" s="9">
        <v>14</v>
      </c>
      <c r="D15" s="15">
        <v>10</v>
      </c>
      <c r="E15" s="15">
        <v>50</v>
      </c>
      <c r="F15" s="15">
        <v>90</v>
      </c>
      <c r="H15" s="15">
        <v>86.5</v>
      </c>
    </row>
    <row r="16" spans="1:8" x14ac:dyDescent="0.35">
      <c r="A16" s="9">
        <v>1</v>
      </c>
      <c r="B16" s="9">
        <v>15</v>
      </c>
      <c r="D16" s="15">
        <v>10</v>
      </c>
      <c r="E16" s="15">
        <v>50</v>
      </c>
      <c r="F16" s="15">
        <v>90</v>
      </c>
      <c r="H16" s="15">
        <v>87.5</v>
      </c>
    </row>
    <row r="17" spans="1:6" x14ac:dyDescent="0.35">
      <c r="A17" s="9">
        <v>2</v>
      </c>
      <c r="B17" s="9">
        <v>1</v>
      </c>
      <c r="D17" s="15">
        <v>10</v>
      </c>
      <c r="E17" s="15">
        <v>15</v>
      </c>
      <c r="F17" s="15">
        <v>18</v>
      </c>
    </row>
    <row r="18" spans="1:6" x14ac:dyDescent="0.35">
      <c r="A18" s="9">
        <v>2</v>
      </c>
      <c r="B18" s="9">
        <v>2</v>
      </c>
      <c r="D18" s="15">
        <v>5</v>
      </c>
      <c r="E18" s="15">
        <v>10</v>
      </c>
      <c r="F18" s="15">
        <v>30</v>
      </c>
    </row>
    <row r="19" spans="1:6" x14ac:dyDescent="0.35">
      <c r="A19" s="9">
        <v>2</v>
      </c>
      <c r="B19" s="9">
        <v>3</v>
      </c>
      <c r="D19" s="15">
        <v>10</v>
      </c>
      <c r="E19" s="15">
        <v>50</v>
      </c>
      <c r="F19" s="15">
        <v>90</v>
      </c>
    </row>
    <row r="20" spans="1:6" x14ac:dyDescent="0.35">
      <c r="A20" s="9">
        <v>2</v>
      </c>
      <c r="B20" s="9">
        <v>4</v>
      </c>
      <c r="D20" s="15">
        <v>2</v>
      </c>
      <c r="E20" s="15">
        <v>4</v>
      </c>
      <c r="F20" s="15">
        <v>6</v>
      </c>
    </row>
    <row r="21" spans="1:6" x14ac:dyDescent="0.35">
      <c r="A21" s="9">
        <v>2</v>
      </c>
      <c r="B21" s="9">
        <v>5</v>
      </c>
      <c r="D21" s="15">
        <v>20</v>
      </c>
      <c r="E21" s="15">
        <v>50</v>
      </c>
      <c r="F21" s="15">
        <v>80</v>
      </c>
    </row>
    <row r="22" spans="1:6" x14ac:dyDescent="0.35">
      <c r="A22" s="9">
        <v>2</v>
      </c>
      <c r="B22" s="9">
        <v>6</v>
      </c>
      <c r="D22" s="15">
        <v>1990</v>
      </c>
      <c r="E22" s="15">
        <v>1997</v>
      </c>
      <c r="F22" s="15">
        <v>2007</v>
      </c>
    </row>
    <row r="23" spans="1:6" x14ac:dyDescent="0.35">
      <c r="A23" s="9">
        <v>2</v>
      </c>
      <c r="B23" s="9">
        <v>7</v>
      </c>
      <c r="D23" s="15">
        <v>10</v>
      </c>
      <c r="E23" s="15">
        <v>20</v>
      </c>
      <c r="F23" s="15">
        <v>60</v>
      </c>
    </row>
    <row r="24" spans="1:6" x14ac:dyDescent="0.35">
      <c r="A24" s="9">
        <v>2</v>
      </c>
      <c r="B24" s="9">
        <v>8</v>
      </c>
      <c r="D24" s="15">
        <v>5</v>
      </c>
      <c r="E24" s="15">
        <v>10</v>
      </c>
      <c r="F24" s="15">
        <v>35</v>
      </c>
    </row>
    <row r="25" spans="1:6" x14ac:dyDescent="0.35">
      <c r="A25" s="9">
        <v>2</v>
      </c>
      <c r="B25" s="9">
        <v>9</v>
      </c>
      <c r="D25" s="15">
        <v>0</v>
      </c>
      <c r="E25" s="15">
        <v>5</v>
      </c>
      <c r="F25" s="15">
        <v>10</v>
      </c>
    </row>
    <row r="26" spans="1:6" x14ac:dyDescent="0.35">
      <c r="A26" s="9">
        <v>2</v>
      </c>
      <c r="B26" s="9">
        <v>10</v>
      </c>
      <c r="D26" s="15">
        <v>0</v>
      </c>
      <c r="E26" s="15">
        <v>5</v>
      </c>
      <c r="F26" s="15">
        <v>12</v>
      </c>
    </row>
    <row r="27" spans="1:6" x14ac:dyDescent="0.35">
      <c r="A27" s="9">
        <v>2</v>
      </c>
      <c r="B27" s="9">
        <v>11</v>
      </c>
      <c r="D27" s="15">
        <v>0</v>
      </c>
      <c r="E27" s="15">
        <v>3</v>
      </c>
      <c r="F27" s="15">
        <v>6</v>
      </c>
    </row>
    <row r="28" spans="1:6" x14ac:dyDescent="0.35">
      <c r="A28" s="9">
        <v>2</v>
      </c>
      <c r="B28" s="9">
        <v>12</v>
      </c>
      <c r="D28" s="15">
        <v>4</v>
      </c>
      <c r="E28" s="15">
        <v>8</v>
      </c>
      <c r="F28" s="15">
        <v>18</v>
      </c>
    </row>
    <row r="29" spans="1:6" x14ac:dyDescent="0.35">
      <c r="A29" s="9">
        <v>2</v>
      </c>
      <c r="B29" s="9">
        <v>13</v>
      </c>
      <c r="D29" s="15">
        <v>0.1</v>
      </c>
      <c r="E29" s="15">
        <v>0.8</v>
      </c>
      <c r="F29" s="15">
        <v>1.3</v>
      </c>
    </row>
    <row r="30" spans="1:6" x14ac:dyDescent="0.35">
      <c r="A30" s="9">
        <v>2</v>
      </c>
      <c r="B30" s="9">
        <v>14</v>
      </c>
      <c r="D30" s="15">
        <v>60</v>
      </c>
      <c r="E30" s="15">
        <v>65</v>
      </c>
      <c r="F30" s="15">
        <v>80</v>
      </c>
    </row>
    <row r="31" spans="1:6" x14ac:dyDescent="0.35">
      <c r="A31" s="9">
        <v>2</v>
      </c>
      <c r="B31" s="9">
        <v>15</v>
      </c>
      <c r="D31" s="15">
        <v>60</v>
      </c>
      <c r="E31" s="15">
        <v>80</v>
      </c>
      <c r="F31" s="15">
        <v>90</v>
      </c>
    </row>
    <row r="32" spans="1:6" x14ac:dyDescent="0.35">
      <c r="A32" s="9">
        <v>3</v>
      </c>
      <c r="B32" s="9">
        <v>1</v>
      </c>
      <c r="D32" s="15">
        <v>12</v>
      </c>
      <c r="E32" s="15">
        <v>15</v>
      </c>
      <c r="F32" s="15">
        <v>18</v>
      </c>
    </row>
    <row r="33" spans="1:6" x14ac:dyDescent="0.35">
      <c r="A33" s="9">
        <v>3</v>
      </c>
      <c r="B33" s="9">
        <v>2</v>
      </c>
      <c r="D33" s="15">
        <v>10</v>
      </c>
      <c r="E33" s="15">
        <v>12</v>
      </c>
      <c r="F33" s="15">
        <v>20</v>
      </c>
    </row>
    <row r="34" spans="1:6" x14ac:dyDescent="0.35">
      <c r="A34" s="9">
        <v>3</v>
      </c>
      <c r="B34" s="9">
        <v>3</v>
      </c>
      <c r="D34" s="15">
        <v>25</v>
      </c>
      <c r="E34" s="15">
        <v>30</v>
      </c>
      <c r="F34" s="15">
        <v>40</v>
      </c>
    </row>
    <row r="35" spans="1:6" x14ac:dyDescent="0.35">
      <c r="A35" s="9">
        <v>3</v>
      </c>
      <c r="B35" s="9">
        <v>4</v>
      </c>
      <c r="D35" s="15">
        <v>2</v>
      </c>
      <c r="E35" s="15">
        <v>4</v>
      </c>
      <c r="F35" s="15">
        <v>6</v>
      </c>
    </row>
    <row r="36" spans="1:6" x14ac:dyDescent="0.35">
      <c r="A36" s="9">
        <v>3</v>
      </c>
      <c r="B36" s="9">
        <v>5</v>
      </c>
      <c r="D36" s="15">
        <v>70</v>
      </c>
      <c r="E36" s="15">
        <v>80</v>
      </c>
      <c r="F36" s="15">
        <v>90</v>
      </c>
    </row>
    <row r="37" spans="1:6" x14ac:dyDescent="0.35">
      <c r="A37" s="9">
        <v>3</v>
      </c>
      <c r="B37" s="9">
        <v>6</v>
      </c>
      <c r="D37" s="15">
        <v>1980</v>
      </c>
      <c r="E37" s="15">
        <v>1990</v>
      </c>
      <c r="F37" s="15">
        <v>2000</v>
      </c>
    </row>
    <row r="38" spans="1:6" x14ac:dyDescent="0.35">
      <c r="A38" s="9">
        <v>3</v>
      </c>
      <c r="B38" s="9">
        <v>7</v>
      </c>
      <c r="D38" s="15">
        <v>70</v>
      </c>
      <c r="E38" s="15">
        <v>80</v>
      </c>
      <c r="F38" s="15">
        <v>90</v>
      </c>
    </row>
    <row r="39" spans="1:6" x14ac:dyDescent="0.35">
      <c r="A39" s="9">
        <v>3</v>
      </c>
      <c r="B39" s="9">
        <v>8</v>
      </c>
      <c r="D39" s="15">
        <v>5</v>
      </c>
      <c r="E39" s="15">
        <v>8</v>
      </c>
      <c r="F39" s="15">
        <v>10</v>
      </c>
    </row>
    <row r="40" spans="1:6" x14ac:dyDescent="0.35">
      <c r="A40" s="9">
        <v>3</v>
      </c>
      <c r="B40" s="9">
        <v>9</v>
      </c>
      <c r="D40" s="15">
        <v>5</v>
      </c>
      <c r="E40" s="15">
        <v>8</v>
      </c>
      <c r="F40" s="15">
        <v>10</v>
      </c>
    </row>
    <row r="41" spans="1:6" x14ac:dyDescent="0.35">
      <c r="A41" s="9">
        <v>3</v>
      </c>
      <c r="B41" s="9">
        <v>10</v>
      </c>
      <c r="D41" s="15">
        <v>3</v>
      </c>
      <c r="E41" s="15">
        <v>5</v>
      </c>
      <c r="F41" s="15">
        <v>7</v>
      </c>
    </row>
    <row r="42" spans="1:6" x14ac:dyDescent="0.35">
      <c r="A42" s="9">
        <v>3</v>
      </c>
      <c r="B42" s="9">
        <v>11</v>
      </c>
      <c r="D42" s="15">
        <v>3</v>
      </c>
      <c r="E42" s="15">
        <v>4</v>
      </c>
      <c r="F42" s="15">
        <v>6</v>
      </c>
    </row>
    <row r="43" spans="1:6" x14ac:dyDescent="0.35">
      <c r="A43" s="9">
        <v>3</v>
      </c>
      <c r="B43" s="9">
        <v>12</v>
      </c>
      <c r="D43" s="15">
        <v>5</v>
      </c>
      <c r="E43" s="15">
        <v>8</v>
      </c>
      <c r="F43" s="15">
        <v>12</v>
      </c>
    </row>
    <row r="44" spans="1:6" x14ac:dyDescent="0.35">
      <c r="A44" s="9">
        <v>3</v>
      </c>
      <c r="B44" s="9">
        <v>13</v>
      </c>
      <c r="D44" s="15">
        <v>0.1</v>
      </c>
      <c r="E44" s="15">
        <v>0.3</v>
      </c>
      <c r="F44" s="15">
        <v>0.6</v>
      </c>
    </row>
    <row r="45" spans="1:6" x14ac:dyDescent="0.35">
      <c r="A45" s="9">
        <v>3</v>
      </c>
      <c r="B45" s="9">
        <v>14</v>
      </c>
      <c r="D45" s="15">
        <v>20</v>
      </c>
      <c r="E45" s="15">
        <v>40</v>
      </c>
      <c r="F45" s="15">
        <v>60</v>
      </c>
    </row>
    <row r="46" spans="1:6" x14ac:dyDescent="0.35">
      <c r="A46" s="9">
        <v>3</v>
      </c>
      <c r="B46" s="9">
        <v>15</v>
      </c>
      <c r="D46" s="15">
        <v>40</v>
      </c>
      <c r="E46" s="15">
        <v>50</v>
      </c>
      <c r="F46" s="15">
        <v>70</v>
      </c>
    </row>
    <row r="47" spans="1:6" x14ac:dyDescent="0.35">
      <c r="A47" s="9">
        <v>4</v>
      </c>
      <c r="B47" s="9">
        <v>1</v>
      </c>
      <c r="D47" s="15">
        <v>7</v>
      </c>
      <c r="E47" s="15">
        <v>8</v>
      </c>
      <c r="F47" s="15">
        <v>10</v>
      </c>
    </row>
    <row r="48" spans="1:6" x14ac:dyDescent="0.35">
      <c r="A48" s="9">
        <v>4</v>
      </c>
      <c r="B48" s="9">
        <v>2</v>
      </c>
      <c r="D48" s="15">
        <v>10</v>
      </c>
      <c r="E48" s="15">
        <v>20</v>
      </c>
      <c r="F48" s="15">
        <v>30</v>
      </c>
    </row>
    <row r="49" spans="1:6" x14ac:dyDescent="0.35">
      <c r="A49" s="9">
        <v>4</v>
      </c>
      <c r="B49" s="9">
        <v>3</v>
      </c>
      <c r="D49" s="15">
        <v>30</v>
      </c>
      <c r="E49" s="15">
        <v>47</v>
      </c>
      <c r="F49" s="15">
        <v>60</v>
      </c>
    </row>
    <row r="50" spans="1:6" x14ac:dyDescent="0.35">
      <c r="A50" s="9">
        <v>4</v>
      </c>
      <c r="B50" s="9">
        <v>4</v>
      </c>
      <c r="D50" s="15">
        <v>1</v>
      </c>
      <c r="E50" s="15">
        <v>3</v>
      </c>
      <c r="F50" s="15">
        <v>5</v>
      </c>
    </row>
    <row r="51" spans="1:6" x14ac:dyDescent="0.35">
      <c r="A51" s="9">
        <v>4</v>
      </c>
      <c r="B51" s="9">
        <v>5</v>
      </c>
      <c r="D51" s="15">
        <v>30</v>
      </c>
      <c r="E51" s="15">
        <v>70</v>
      </c>
      <c r="F51" s="15">
        <v>100</v>
      </c>
    </row>
    <row r="52" spans="1:6" x14ac:dyDescent="0.35">
      <c r="A52" s="9">
        <v>4</v>
      </c>
      <c r="B52" s="9">
        <v>6</v>
      </c>
      <c r="D52" s="15">
        <v>1990</v>
      </c>
      <c r="E52" s="15">
        <v>2006</v>
      </c>
      <c r="F52" s="15">
        <v>2010</v>
      </c>
    </row>
    <row r="53" spans="1:6" x14ac:dyDescent="0.35">
      <c r="A53" s="9">
        <v>4</v>
      </c>
      <c r="B53" s="9">
        <v>7</v>
      </c>
      <c r="D53" s="15">
        <v>80</v>
      </c>
      <c r="E53" s="15">
        <v>99.9</v>
      </c>
      <c r="F53" s="15">
        <v>100</v>
      </c>
    </row>
    <row r="54" spans="1:6" x14ac:dyDescent="0.35">
      <c r="A54" s="9">
        <v>4</v>
      </c>
      <c r="B54" s="9">
        <v>8</v>
      </c>
      <c r="D54" s="15">
        <v>0</v>
      </c>
      <c r="E54" s="15">
        <v>20</v>
      </c>
      <c r="F54" s="15">
        <v>50</v>
      </c>
    </row>
    <row r="55" spans="1:6" x14ac:dyDescent="0.35">
      <c r="A55" s="9">
        <v>4</v>
      </c>
      <c r="B55" s="9">
        <v>9</v>
      </c>
      <c r="D55" s="15">
        <v>0</v>
      </c>
      <c r="E55" s="15">
        <v>30</v>
      </c>
      <c r="F55" s="15">
        <v>50</v>
      </c>
    </row>
    <row r="56" spans="1:6" x14ac:dyDescent="0.35">
      <c r="A56" s="9">
        <v>4</v>
      </c>
      <c r="B56" s="9">
        <v>10</v>
      </c>
      <c r="D56" s="15">
        <v>0</v>
      </c>
      <c r="E56" s="15">
        <v>1</v>
      </c>
      <c r="F56" s="15">
        <v>10</v>
      </c>
    </row>
    <row r="57" spans="1:6" x14ac:dyDescent="0.35">
      <c r="A57" s="9">
        <v>4</v>
      </c>
      <c r="B57" s="9">
        <v>11</v>
      </c>
      <c r="D57" s="15">
        <v>0</v>
      </c>
      <c r="E57" s="15">
        <v>1E-3</v>
      </c>
      <c r="F57" s="15">
        <v>5</v>
      </c>
    </row>
    <row r="58" spans="1:6" x14ac:dyDescent="0.35">
      <c r="A58" s="9">
        <v>4</v>
      </c>
      <c r="B58" s="9">
        <v>12</v>
      </c>
      <c r="D58" s="15">
        <v>5</v>
      </c>
      <c r="E58" s="15">
        <v>10</v>
      </c>
      <c r="F58" s="15">
        <v>20</v>
      </c>
    </row>
    <row r="59" spans="1:6" x14ac:dyDescent="0.35">
      <c r="A59" s="9">
        <v>4</v>
      </c>
      <c r="B59" s="9">
        <v>13</v>
      </c>
      <c r="D59" s="15">
        <v>1</v>
      </c>
      <c r="E59" s="15">
        <v>2</v>
      </c>
      <c r="F59" s="15">
        <v>5</v>
      </c>
    </row>
    <row r="60" spans="1:6" x14ac:dyDescent="0.35">
      <c r="A60" s="9">
        <v>4</v>
      </c>
      <c r="B60" s="9">
        <v>14</v>
      </c>
      <c r="D60" s="15">
        <v>65</v>
      </c>
      <c r="E60" s="15">
        <v>67</v>
      </c>
      <c r="F60" s="15">
        <v>70</v>
      </c>
    </row>
    <row r="61" spans="1:6" x14ac:dyDescent="0.35">
      <c r="A61" s="9">
        <v>4</v>
      </c>
      <c r="B61" s="9">
        <v>15</v>
      </c>
      <c r="D61" s="15">
        <v>12.5</v>
      </c>
      <c r="E61" s="15">
        <v>25</v>
      </c>
      <c r="F61" s="15">
        <v>65</v>
      </c>
    </row>
    <row r="62" spans="1:6" x14ac:dyDescent="0.35">
      <c r="A62" s="9">
        <v>5</v>
      </c>
      <c r="B62" s="9">
        <v>1</v>
      </c>
      <c r="D62" s="15">
        <v>4</v>
      </c>
      <c r="E62" s="15">
        <v>8</v>
      </c>
      <c r="F62" s="15">
        <v>12</v>
      </c>
    </row>
    <row r="63" spans="1:6" x14ac:dyDescent="0.35">
      <c r="A63" s="9">
        <v>5</v>
      </c>
      <c r="B63" s="9">
        <v>2</v>
      </c>
      <c r="D63" s="15">
        <v>5</v>
      </c>
      <c r="E63" s="15">
        <v>10</v>
      </c>
      <c r="F63" s="15">
        <v>15</v>
      </c>
    </row>
    <row r="64" spans="1:6" x14ac:dyDescent="0.35">
      <c r="A64" s="9">
        <v>5</v>
      </c>
      <c r="B64" s="9">
        <v>3</v>
      </c>
      <c r="D64" s="15">
        <v>5</v>
      </c>
      <c r="E64" s="15">
        <v>8</v>
      </c>
      <c r="F64" s="15">
        <v>15</v>
      </c>
    </row>
    <row r="65" spans="1:6" x14ac:dyDescent="0.35">
      <c r="A65" s="9">
        <v>5</v>
      </c>
      <c r="B65" s="9">
        <v>4</v>
      </c>
      <c r="D65" s="15">
        <v>3.5</v>
      </c>
      <c r="E65" s="15">
        <v>3.6</v>
      </c>
      <c r="F65" s="15">
        <v>3.8</v>
      </c>
    </row>
    <row r="66" spans="1:6" x14ac:dyDescent="0.35">
      <c r="A66" s="9">
        <v>5</v>
      </c>
      <c r="B66" s="9">
        <v>5</v>
      </c>
      <c r="D66" s="15">
        <v>20</v>
      </c>
      <c r="E66" s="15">
        <v>60</v>
      </c>
      <c r="F66" s="15">
        <v>80</v>
      </c>
    </row>
    <row r="67" spans="1:6" x14ac:dyDescent="0.35">
      <c r="A67" s="9">
        <v>5</v>
      </c>
      <c r="B67" s="9">
        <v>6</v>
      </c>
      <c r="D67" s="15">
        <v>1990</v>
      </c>
      <c r="E67" s="15">
        <v>1997</v>
      </c>
      <c r="F67" s="15">
        <v>2010</v>
      </c>
    </row>
    <row r="68" spans="1:6" x14ac:dyDescent="0.35">
      <c r="A68" s="9">
        <v>5</v>
      </c>
      <c r="B68" s="9">
        <v>7</v>
      </c>
      <c r="D68" s="15">
        <v>20</v>
      </c>
      <c r="E68" s="15">
        <v>40</v>
      </c>
      <c r="F68" s="15">
        <v>80</v>
      </c>
    </row>
    <row r="69" spans="1:6" x14ac:dyDescent="0.35">
      <c r="A69" s="9">
        <v>5</v>
      </c>
      <c r="B69" s="9">
        <v>8</v>
      </c>
      <c r="D69" s="15">
        <v>5</v>
      </c>
      <c r="E69" s="15">
        <v>10</v>
      </c>
      <c r="F69" s="15">
        <v>25</v>
      </c>
    </row>
    <row r="70" spans="1:6" x14ac:dyDescent="0.35">
      <c r="A70" s="9">
        <v>5</v>
      </c>
      <c r="B70" s="9">
        <v>9</v>
      </c>
      <c r="D70" s="15">
        <v>1</v>
      </c>
      <c r="E70" s="15">
        <v>2</v>
      </c>
      <c r="F70" s="15">
        <v>6</v>
      </c>
    </row>
    <row r="71" spans="1:6" x14ac:dyDescent="0.35">
      <c r="A71" s="9">
        <v>5</v>
      </c>
      <c r="B71" s="9">
        <v>10</v>
      </c>
      <c r="D71" s="15">
        <v>1</v>
      </c>
      <c r="E71" s="15">
        <v>2</v>
      </c>
      <c r="F71" s="15">
        <v>4</v>
      </c>
    </row>
    <row r="72" spans="1:6" x14ac:dyDescent="0.35">
      <c r="A72" s="9">
        <v>5</v>
      </c>
      <c r="B72" s="9">
        <v>11</v>
      </c>
      <c r="D72" s="15">
        <v>0</v>
      </c>
      <c r="E72" s="15">
        <v>1</v>
      </c>
      <c r="F72" s="15">
        <v>2</v>
      </c>
    </row>
    <row r="73" spans="1:6" x14ac:dyDescent="0.35">
      <c r="A73" s="9">
        <v>5</v>
      </c>
      <c r="B73" s="9">
        <v>12</v>
      </c>
      <c r="D73" s="15">
        <v>5</v>
      </c>
      <c r="E73" s="15">
        <v>10</v>
      </c>
      <c r="F73" s="15">
        <v>20</v>
      </c>
    </row>
    <row r="74" spans="1:6" x14ac:dyDescent="0.35">
      <c r="A74" s="9">
        <v>5</v>
      </c>
      <c r="B74" s="9">
        <v>13</v>
      </c>
      <c r="D74" s="15">
        <v>0.5</v>
      </c>
      <c r="E74" s="15">
        <v>1</v>
      </c>
      <c r="F74" s="15">
        <v>2</v>
      </c>
    </row>
    <row r="75" spans="1:6" x14ac:dyDescent="0.35">
      <c r="A75" s="9">
        <v>5</v>
      </c>
      <c r="B75" s="9">
        <v>14</v>
      </c>
      <c r="D75" s="15">
        <v>20</v>
      </c>
      <c r="E75" s="15">
        <v>30</v>
      </c>
      <c r="F75" s="15">
        <v>60</v>
      </c>
    </row>
    <row r="76" spans="1:6" x14ac:dyDescent="0.35">
      <c r="A76" s="9">
        <v>5</v>
      </c>
      <c r="B76" s="9">
        <v>15</v>
      </c>
      <c r="D76" s="15">
        <v>15</v>
      </c>
      <c r="E76" s="15">
        <v>20</v>
      </c>
      <c r="F76" s="15">
        <v>50</v>
      </c>
    </row>
    <row r="77" spans="1:6" x14ac:dyDescent="0.35">
      <c r="A77" s="9">
        <v>6</v>
      </c>
      <c r="B77" s="9">
        <v>1</v>
      </c>
      <c r="D77" s="15">
        <v>7.9</v>
      </c>
      <c r="E77" s="15">
        <v>8</v>
      </c>
      <c r="F77" s="15">
        <v>8.1</v>
      </c>
    </row>
    <row r="78" spans="1:6" x14ac:dyDescent="0.35">
      <c r="A78" s="9">
        <v>6</v>
      </c>
      <c r="B78" s="9">
        <v>2</v>
      </c>
      <c r="D78" s="15">
        <v>2</v>
      </c>
      <c r="E78" s="15">
        <v>5</v>
      </c>
      <c r="F78" s="15">
        <v>15</v>
      </c>
    </row>
    <row r="79" spans="1:6" x14ac:dyDescent="0.35">
      <c r="A79" s="9">
        <v>6</v>
      </c>
      <c r="B79" s="9">
        <v>3</v>
      </c>
      <c r="D79" s="15">
        <v>25</v>
      </c>
      <c r="E79" s="15">
        <v>34</v>
      </c>
      <c r="F79" s="15">
        <v>45</v>
      </c>
    </row>
    <row r="80" spans="1:6" x14ac:dyDescent="0.35">
      <c r="A80" s="9">
        <v>6</v>
      </c>
      <c r="B80" s="9">
        <v>4</v>
      </c>
      <c r="D80" s="15">
        <v>3</v>
      </c>
      <c r="E80" s="15">
        <v>3.7</v>
      </c>
      <c r="F80" s="15">
        <v>5</v>
      </c>
    </row>
    <row r="81" spans="1:6" x14ac:dyDescent="0.35">
      <c r="A81" s="9">
        <v>6</v>
      </c>
      <c r="B81" s="9">
        <v>5</v>
      </c>
      <c r="D81" s="15">
        <v>60</v>
      </c>
      <c r="E81" s="15">
        <v>90</v>
      </c>
      <c r="F81" s="15">
        <v>100</v>
      </c>
    </row>
    <row r="82" spans="1:6" x14ac:dyDescent="0.35">
      <c r="A82" s="9">
        <v>6</v>
      </c>
      <c r="B82" s="9">
        <v>6</v>
      </c>
      <c r="D82" s="15">
        <v>1990</v>
      </c>
      <c r="E82" s="15">
        <v>1993</v>
      </c>
      <c r="F82" s="15">
        <v>2008</v>
      </c>
    </row>
    <row r="83" spans="1:6" x14ac:dyDescent="0.35">
      <c r="A83" s="9">
        <v>6</v>
      </c>
      <c r="B83" s="9">
        <v>7</v>
      </c>
      <c r="D83" s="15">
        <v>25</v>
      </c>
      <c r="E83" s="15">
        <v>35</v>
      </c>
      <c r="F83" s="15">
        <v>70</v>
      </c>
    </row>
    <row r="84" spans="1:6" x14ac:dyDescent="0.35">
      <c r="A84" s="9">
        <v>6</v>
      </c>
      <c r="B84" s="9">
        <v>8</v>
      </c>
      <c r="D84" s="15">
        <v>1</v>
      </c>
      <c r="E84" s="15">
        <v>15</v>
      </c>
      <c r="F84" s="15">
        <v>50</v>
      </c>
    </row>
    <row r="85" spans="1:6" x14ac:dyDescent="0.35">
      <c r="A85" s="9">
        <v>6</v>
      </c>
      <c r="B85" s="9">
        <v>9</v>
      </c>
      <c r="D85" s="15">
        <v>1E-4</v>
      </c>
      <c r="E85" s="15">
        <v>5</v>
      </c>
      <c r="F85" s="15">
        <v>20</v>
      </c>
    </row>
    <row r="86" spans="1:6" x14ac:dyDescent="0.35">
      <c r="A86" s="9">
        <v>6</v>
      </c>
      <c r="B86" s="9">
        <v>10</v>
      </c>
      <c r="D86" s="15">
        <v>0.1</v>
      </c>
      <c r="E86" s="15">
        <v>3</v>
      </c>
      <c r="F86" s="15">
        <v>6</v>
      </c>
    </row>
    <row r="87" spans="1:6" x14ac:dyDescent="0.35">
      <c r="A87" s="9">
        <v>6</v>
      </c>
      <c r="B87" s="9">
        <v>11</v>
      </c>
      <c r="D87" s="15">
        <v>0.1</v>
      </c>
      <c r="E87" s="15">
        <v>3</v>
      </c>
      <c r="F87" s="15">
        <v>6</v>
      </c>
    </row>
    <row r="88" spans="1:6" x14ac:dyDescent="0.35">
      <c r="A88" s="9">
        <v>6</v>
      </c>
      <c r="B88" s="9">
        <v>12</v>
      </c>
      <c r="D88" s="15">
        <v>8</v>
      </c>
      <c r="E88" s="15">
        <v>10</v>
      </c>
      <c r="F88" s="15">
        <v>14</v>
      </c>
    </row>
    <row r="89" spans="1:6" x14ac:dyDescent="0.35">
      <c r="A89" s="9">
        <v>6</v>
      </c>
      <c r="B89" s="9">
        <v>13</v>
      </c>
      <c r="D89" s="15">
        <v>1</v>
      </c>
      <c r="E89" s="15">
        <v>2.5</v>
      </c>
      <c r="F89" s="15">
        <v>6</v>
      </c>
    </row>
    <row r="90" spans="1:6" x14ac:dyDescent="0.35">
      <c r="A90" s="9">
        <v>6</v>
      </c>
      <c r="B90" s="9">
        <v>14</v>
      </c>
      <c r="D90" s="15">
        <v>75</v>
      </c>
      <c r="E90" s="15">
        <v>88</v>
      </c>
      <c r="F90" s="15">
        <v>90</v>
      </c>
    </row>
    <row r="91" spans="1:6" x14ac:dyDescent="0.35">
      <c r="A91" s="9">
        <v>6</v>
      </c>
      <c r="B91" s="9">
        <v>15</v>
      </c>
      <c r="D91" s="15">
        <v>75</v>
      </c>
      <c r="E91" s="15">
        <v>87.5</v>
      </c>
      <c r="F91" s="15">
        <v>100</v>
      </c>
    </row>
    <row r="92" spans="1:6" x14ac:dyDescent="0.35">
      <c r="A92" s="9">
        <v>7</v>
      </c>
      <c r="B92" s="9">
        <v>1</v>
      </c>
      <c r="D92" s="15">
        <v>8</v>
      </c>
      <c r="E92" s="15">
        <v>13</v>
      </c>
      <c r="F92" s="15">
        <v>18</v>
      </c>
    </row>
    <row r="93" spans="1:6" x14ac:dyDescent="0.35">
      <c r="A93" s="9">
        <v>7</v>
      </c>
      <c r="B93" s="9">
        <v>2</v>
      </c>
      <c r="D93" s="15">
        <v>12</v>
      </c>
      <c r="E93" s="15">
        <v>20</v>
      </c>
      <c r="F93" s="15">
        <v>28</v>
      </c>
    </row>
    <row r="94" spans="1:6" x14ac:dyDescent="0.35">
      <c r="A94" s="9">
        <v>7</v>
      </c>
      <c r="B94" s="9">
        <v>3</v>
      </c>
      <c r="D94" s="15">
        <v>35</v>
      </c>
      <c r="E94" s="15">
        <v>45</v>
      </c>
      <c r="F94" s="15">
        <v>55</v>
      </c>
    </row>
    <row r="95" spans="1:6" x14ac:dyDescent="0.35">
      <c r="A95" s="9">
        <v>7</v>
      </c>
      <c r="B95" s="9">
        <v>4</v>
      </c>
      <c r="D95" s="15">
        <v>6</v>
      </c>
      <c r="E95" s="15">
        <v>7</v>
      </c>
      <c r="F95" s="15">
        <v>8</v>
      </c>
    </row>
    <row r="96" spans="1:6" x14ac:dyDescent="0.35">
      <c r="A96" s="9">
        <v>7</v>
      </c>
      <c r="B96" s="9">
        <v>5</v>
      </c>
      <c r="D96" s="15">
        <v>60</v>
      </c>
      <c r="E96" s="15">
        <v>80</v>
      </c>
      <c r="F96" s="15">
        <v>100</v>
      </c>
    </row>
    <row r="97" spans="1:6" x14ac:dyDescent="0.35">
      <c r="A97" s="9">
        <v>7</v>
      </c>
      <c r="B97" s="9">
        <v>6</v>
      </c>
      <c r="D97" s="15">
        <v>1995</v>
      </c>
      <c r="E97" s="15">
        <v>1997</v>
      </c>
      <c r="F97" s="15">
        <v>2008</v>
      </c>
    </row>
    <row r="98" spans="1:6" x14ac:dyDescent="0.35">
      <c r="A98" s="9">
        <v>7</v>
      </c>
      <c r="B98" s="9">
        <v>7</v>
      </c>
      <c r="D98" s="15">
        <v>85</v>
      </c>
      <c r="E98" s="15">
        <v>90</v>
      </c>
      <c r="F98" s="15">
        <v>100</v>
      </c>
    </row>
    <row r="99" spans="1:6" x14ac:dyDescent="0.35">
      <c r="A99" s="9">
        <v>7</v>
      </c>
      <c r="B99" s="9">
        <v>8</v>
      </c>
      <c r="D99" s="15">
        <v>5</v>
      </c>
      <c r="E99" s="15">
        <v>15</v>
      </c>
      <c r="F99" s="15">
        <v>30</v>
      </c>
    </row>
    <row r="100" spans="1:6" x14ac:dyDescent="0.35">
      <c r="A100" s="9">
        <v>7</v>
      </c>
      <c r="B100" s="9">
        <v>9</v>
      </c>
      <c r="D100" s="15">
        <v>5</v>
      </c>
      <c r="E100" s="15">
        <v>15</v>
      </c>
      <c r="F100" s="15">
        <v>30</v>
      </c>
    </row>
    <row r="101" spans="1:6" x14ac:dyDescent="0.35">
      <c r="A101" s="9">
        <v>7</v>
      </c>
      <c r="B101" s="9">
        <v>10</v>
      </c>
      <c r="D101" s="15">
        <v>1E-4</v>
      </c>
      <c r="E101" s="15">
        <v>20</v>
      </c>
      <c r="F101" s="15">
        <v>40</v>
      </c>
    </row>
    <row r="102" spans="1:6" x14ac:dyDescent="0.35">
      <c r="A102" s="9">
        <v>7</v>
      </c>
      <c r="B102" s="9">
        <v>11</v>
      </c>
      <c r="D102" s="15">
        <v>1E-4</v>
      </c>
      <c r="E102" s="15">
        <v>20</v>
      </c>
      <c r="F102" s="15">
        <v>40</v>
      </c>
    </row>
    <row r="103" spans="1:6" x14ac:dyDescent="0.35">
      <c r="A103" s="9">
        <v>7</v>
      </c>
      <c r="B103" s="9">
        <v>12</v>
      </c>
      <c r="D103" s="15">
        <v>1E-4</v>
      </c>
      <c r="E103" s="15">
        <v>20</v>
      </c>
      <c r="F103" s="15">
        <v>40</v>
      </c>
    </row>
    <row r="104" spans="1:6" x14ac:dyDescent="0.35">
      <c r="A104" s="9">
        <v>7</v>
      </c>
      <c r="B104" s="9">
        <v>13</v>
      </c>
      <c r="D104" s="15">
        <v>0.01</v>
      </c>
      <c r="E104" s="15">
        <v>0.5</v>
      </c>
      <c r="F104" s="15">
        <v>2</v>
      </c>
    </row>
    <row r="105" spans="1:6" x14ac:dyDescent="0.35">
      <c r="A105" s="9">
        <v>7</v>
      </c>
      <c r="B105" s="9">
        <v>14</v>
      </c>
      <c r="D105" s="15">
        <v>20</v>
      </c>
      <c r="E105" s="15">
        <v>38</v>
      </c>
      <c r="F105" s="15">
        <v>60</v>
      </c>
    </row>
    <row r="106" spans="1:6" x14ac:dyDescent="0.35">
      <c r="A106" s="9">
        <v>7</v>
      </c>
      <c r="B106" s="9">
        <v>15</v>
      </c>
      <c r="D106" s="15">
        <v>60</v>
      </c>
      <c r="E106" s="15">
        <v>80</v>
      </c>
      <c r="F106" s="15">
        <v>100</v>
      </c>
    </row>
    <row r="107" spans="1:6" x14ac:dyDescent="0.35">
      <c r="A107" s="9">
        <v>8</v>
      </c>
      <c r="B107" s="9">
        <v>1</v>
      </c>
      <c r="D107" s="15">
        <v>2</v>
      </c>
      <c r="E107" s="15">
        <v>10</v>
      </c>
      <c r="F107" s="15">
        <v>20</v>
      </c>
    </row>
    <row r="108" spans="1:6" x14ac:dyDescent="0.35">
      <c r="A108" s="9">
        <v>8</v>
      </c>
      <c r="B108" s="9">
        <v>2</v>
      </c>
      <c r="D108" s="15">
        <v>1.0000000000000001E-5</v>
      </c>
      <c r="E108" s="15">
        <v>1E-4</v>
      </c>
      <c r="F108" s="15">
        <v>1E-3</v>
      </c>
    </row>
    <row r="109" spans="1:6" x14ac:dyDescent="0.35">
      <c r="A109" s="9">
        <v>8</v>
      </c>
      <c r="B109" s="9">
        <v>3</v>
      </c>
      <c r="D109" s="15">
        <v>99.9</v>
      </c>
      <c r="E109" s="15">
        <v>99.99</v>
      </c>
      <c r="F109" s="15">
        <v>100</v>
      </c>
    </row>
    <row r="110" spans="1:6" x14ac:dyDescent="0.35">
      <c r="A110" s="9">
        <v>8</v>
      </c>
      <c r="B110" s="9">
        <v>4</v>
      </c>
      <c r="D110" s="15">
        <v>2.9</v>
      </c>
      <c r="E110" s="15">
        <v>3</v>
      </c>
      <c r="F110" s="15">
        <v>6</v>
      </c>
    </row>
    <row r="111" spans="1:6" x14ac:dyDescent="0.35">
      <c r="A111" s="9">
        <v>8</v>
      </c>
      <c r="B111" s="9">
        <v>5</v>
      </c>
      <c r="D111" s="15">
        <v>1</v>
      </c>
      <c r="E111" s="15">
        <v>6</v>
      </c>
      <c r="F111" s="15">
        <v>20</v>
      </c>
    </row>
    <row r="112" spans="1:6" x14ac:dyDescent="0.35">
      <c r="A112" s="9">
        <v>8</v>
      </c>
      <c r="B112" s="9">
        <v>6</v>
      </c>
      <c r="D112" s="15">
        <v>1980</v>
      </c>
      <c r="E112" s="15">
        <v>1990</v>
      </c>
      <c r="F112" s="15">
        <v>2007</v>
      </c>
    </row>
    <row r="113" spans="1:6" x14ac:dyDescent="0.35">
      <c r="A113" s="9">
        <v>8</v>
      </c>
      <c r="B113" s="9">
        <v>7</v>
      </c>
      <c r="D113" s="15">
        <v>5</v>
      </c>
      <c r="E113" s="15">
        <v>80</v>
      </c>
      <c r="F113" s="15">
        <v>100</v>
      </c>
    </row>
    <row r="114" spans="1:6" x14ac:dyDescent="0.35">
      <c r="A114" s="9">
        <v>8</v>
      </c>
      <c r="B114" s="9">
        <v>8</v>
      </c>
      <c r="D114" s="15">
        <v>5</v>
      </c>
      <c r="E114" s="15">
        <v>50</v>
      </c>
      <c r="F114" s="15">
        <v>80</v>
      </c>
    </row>
    <row r="115" spans="1:6" x14ac:dyDescent="0.35">
      <c r="A115" s="9">
        <v>8</v>
      </c>
      <c r="B115" s="9">
        <v>9</v>
      </c>
      <c r="D115" s="15">
        <v>1E-4</v>
      </c>
      <c r="E115" s="15">
        <v>10</v>
      </c>
      <c r="F115" s="15">
        <v>50</v>
      </c>
    </row>
    <row r="116" spans="1:6" x14ac:dyDescent="0.35">
      <c r="A116" s="9">
        <v>8</v>
      </c>
      <c r="B116" s="9">
        <v>10</v>
      </c>
      <c r="D116" s="15">
        <v>5</v>
      </c>
      <c r="E116" s="15">
        <v>10</v>
      </c>
      <c r="F116" s="15">
        <v>20</v>
      </c>
    </row>
    <row r="117" spans="1:6" x14ac:dyDescent="0.35">
      <c r="A117" s="9">
        <v>8</v>
      </c>
      <c r="B117" s="9">
        <v>11</v>
      </c>
      <c r="D117" s="15">
        <v>2.9</v>
      </c>
      <c r="E117" s="15">
        <v>3</v>
      </c>
      <c r="F117" s="15">
        <v>5</v>
      </c>
    </row>
    <row r="118" spans="1:6" x14ac:dyDescent="0.35">
      <c r="A118" s="9">
        <v>8</v>
      </c>
      <c r="B118" s="9">
        <v>12</v>
      </c>
      <c r="D118" s="15">
        <v>8</v>
      </c>
      <c r="E118" s="15">
        <v>20</v>
      </c>
      <c r="F118" s="15">
        <v>21</v>
      </c>
    </row>
    <row r="119" spans="1:6" x14ac:dyDescent="0.35">
      <c r="A119" s="9">
        <v>8</v>
      </c>
      <c r="B119" s="9">
        <v>13</v>
      </c>
      <c r="D119" s="15">
        <v>1.3</v>
      </c>
      <c r="E119" s="15">
        <v>2</v>
      </c>
      <c r="F119" s="15">
        <v>3</v>
      </c>
    </row>
    <row r="120" spans="1:6" x14ac:dyDescent="0.35">
      <c r="A120" s="9">
        <v>8</v>
      </c>
      <c r="B120" s="9">
        <v>14</v>
      </c>
      <c r="D120" s="15">
        <v>50</v>
      </c>
      <c r="E120" s="15">
        <v>80</v>
      </c>
      <c r="F120" s="15">
        <v>100</v>
      </c>
    </row>
    <row r="121" spans="1:6" x14ac:dyDescent="0.35">
      <c r="A121" s="9">
        <v>8</v>
      </c>
      <c r="B121" s="9">
        <v>15</v>
      </c>
      <c r="D121" s="15">
        <v>50</v>
      </c>
      <c r="E121" s="15">
        <v>80</v>
      </c>
      <c r="F121" s="15">
        <v>100</v>
      </c>
    </row>
    <row r="122" spans="1:6" x14ac:dyDescent="0.35">
      <c r="A122" s="9">
        <v>9</v>
      </c>
      <c r="B122" s="9">
        <v>1</v>
      </c>
      <c r="D122" s="15">
        <v>3</v>
      </c>
      <c r="E122" s="15">
        <v>7</v>
      </c>
      <c r="F122" s="15">
        <v>10</v>
      </c>
    </row>
    <row r="123" spans="1:6" x14ac:dyDescent="0.35">
      <c r="A123" s="9">
        <v>9</v>
      </c>
      <c r="B123" s="9">
        <v>2</v>
      </c>
      <c r="D123" s="15">
        <v>5</v>
      </c>
      <c r="E123" s="15">
        <v>15</v>
      </c>
      <c r="F123" s="15">
        <v>25</v>
      </c>
    </row>
    <row r="124" spans="1:6" x14ac:dyDescent="0.35">
      <c r="A124" s="9">
        <v>9</v>
      </c>
      <c r="B124" s="9">
        <v>3</v>
      </c>
      <c r="D124" s="15">
        <v>30</v>
      </c>
      <c r="E124" s="15">
        <v>50</v>
      </c>
      <c r="F124" s="15">
        <v>70</v>
      </c>
    </row>
    <row r="125" spans="1:6" x14ac:dyDescent="0.35">
      <c r="A125" s="9">
        <v>9</v>
      </c>
      <c r="B125" s="9">
        <v>4</v>
      </c>
      <c r="D125" s="15">
        <v>2</v>
      </c>
      <c r="E125" s="15">
        <v>4</v>
      </c>
      <c r="F125" s="15">
        <v>6</v>
      </c>
    </row>
    <row r="126" spans="1:6" x14ac:dyDescent="0.35">
      <c r="A126" s="9">
        <v>9</v>
      </c>
      <c r="B126" s="9">
        <v>5</v>
      </c>
      <c r="D126" s="15">
        <v>80</v>
      </c>
      <c r="E126" s="15">
        <v>90</v>
      </c>
      <c r="F126" s="15">
        <v>100</v>
      </c>
    </row>
    <row r="127" spans="1:6" x14ac:dyDescent="0.35">
      <c r="A127" s="9">
        <v>9</v>
      </c>
      <c r="B127" s="9">
        <v>6</v>
      </c>
      <c r="D127" s="15">
        <v>1995</v>
      </c>
      <c r="E127" s="15">
        <v>2000</v>
      </c>
      <c r="F127" s="15">
        <v>2005</v>
      </c>
    </row>
    <row r="128" spans="1:6" x14ac:dyDescent="0.35">
      <c r="A128" s="9">
        <v>9</v>
      </c>
      <c r="B128" s="9">
        <v>7</v>
      </c>
      <c r="D128" s="15">
        <v>75</v>
      </c>
      <c r="E128" s="15">
        <v>90</v>
      </c>
      <c r="F128" s="15">
        <v>100</v>
      </c>
    </row>
    <row r="129" spans="1:6" x14ac:dyDescent="0.35">
      <c r="A129" s="9">
        <v>9</v>
      </c>
      <c r="B129" s="9">
        <v>8</v>
      </c>
      <c r="D129" s="15">
        <v>5</v>
      </c>
      <c r="E129" s="15">
        <v>25</v>
      </c>
      <c r="F129" s="15">
        <v>50</v>
      </c>
    </row>
    <row r="130" spans="1:6" x14ac:dyDescent="0.35">
      <c r="A130" s="9">
        <v>9</v>
      </c>
      <c r="B130" s="9">
        <v>9</v>
      </c>
      <c r="D130" s="15">
        <v>1</v>
      </c>
      <c r="E130" s="15">
        <v>15</v>
      </c>
      <c r="F130" s="15">
        <v>30</v>
      </c>
    </row>
    <row r="131" spans="1:6" x14ac:dyDescent="0.35">
      <c r="A131" s="9">
        <v>9</v>
      </c>
      <c r="B131" s="9">
        <v>10</v>
      </c>
      <c r="D131" s="15">
        <v>2</v>
      </c>
      <c r="E131" s="15">
        <v>10</v>
      </c>
      <c r="F131" s="15">
        <v>25</v>
      </c>
    </row>
    <row r="132" spans="1:6" x14ac:dyDescent="0.35">
      <c r="A132" s="9">
        <v>9</v>
      </c>
      <c r="B132" s="9">
        <v>11</v>
      </c>
      <c r="D132" s="15">
        <v>1E-4</v>
      </c>
      <c r="E132" s="15">
        <v>2</v>
      </c>
      <c r="F132" s="15">
        <v>5</v>
      </c>
    </row>
    <row r="133" spans="1:6" x14ac:dyDescent="0.35">
      <c r="A133" s="9">
        <v>9</v>
      </c>
      <c r="B133" s="9">
        <v>12</v>
      </c>
      <c r="D133" s="15">
        <v>2</v>
      </c>
      <c r="E133" s="15">
        <v>20</v>
      </c>
      <c r="F133" s="15">
        <v>45</v>
      </c>
    </row>
    <row r="134" spans="1:6" x14ac:dyDescent="0.35">
      <c r="A134" s="9">
        <v>9</v>
      </c>
      <c r="B134" s="9">
        <v>13</v>
      </c>
      <c r="D134" s="15">
        <v>0.5</v>
      </c>
      <c r="E134" s="15">
        <v>1</v>
      </c>
      <c r="F134" s="15">
        <v>3</v>
      </c>
    </row>
    <row r="135" spans="1:6" x14ac:dyDescent="0.35">
      <c r="A135" s="9">
        <v>9</v>
      </c>
      <c r="B135" s="9">
        <v>14</v>
      </c>
      <c r="D135" s="15">
        <v>70</v>
      </c>
      <c r="E135" s="15">
        <v>80</v>
      </c>
      <c r="F135" s="15">
        <v>90</v>
      </c>
    </row>
    <row r="136" spans="1:6" x14ac:dyDescent="0.35">
      <c r="A136" s="9">
        <v>9</v>
      </c>
      <c r="B136" s="9">
        <v>15</v>
      </c>
      <c r="D136" s="15">
        <v>62.5</v>
      </c>
      <c r="E136" s="15">
        <v>87.5</v>
      </c>
      <c r="F136" s="15">
        <v>100</v>
      </c>
    </row>
    <row r="137" spans="1:6" x14ac:dyDescent="0.35">
      <c r="A137" s="9">
        <v>10</v>
      </c>
      <c r="B137" s="9">
        <v>1</v>
      </c>
      <c r="D137" s="15">
        <v>3</v>
      </c>
      <c r="E137" s="15">
        <v>8</v>
      </c>
      <c r="F137" s="15">
        <v>15</v>
      </c>
    </row>
    <row r="138" spans="1:6" x14ac:dyDescent="0.35">
      <c r="A138" s="9">
        <v>10</v>
      </c>
      <c r="B138" s="9">
        <v>2</v>
      </c>
      <c r="D138" s="15">
        <v>1</v>
      </c>
      <c r="E138" s="15">
        <v>5</v>
      </c>
      <c r="F138" s="15">
        <v>18</v>
      </c>
    </row>
    <row r="139" spans="1:6" x14ac:dyDescent="0.35">
      <c r="A139" s="9">
        <v>10</v>
      </c>
      <c r="B139" s="9">
        <v>3</v>
      </c>
      <c r="D139" s="15">
        <v>5</v>
      </c>
      <c r="E139" s="15">
        <v>8</v>
      </c>
      <c r="F139" s="15">
        <v>25</v>
      </c>
    </row>
    <row r="140" spans="1:6" x14ac:dyDescent="0.35">
      <c r="A140" s="9">
        <v>10</v>
      </c>
      <c r="B140" s="9">
        <v>4</v>
      </c>
      <c r="D140" s="15">
        <v>3</v>
      </c>
      <c r="E140" s="15">
        <v>6</v>
      </c>
      <c r="F140" s="15">
        <v>7</v>
      </c>
    </row>
    <row r="141" spans="1:6" x14ac:dyDescent="0.35">
      <c r="A141" s="9">
        <v>10</v>
      </c>
      <c r="B141" s="9">
        <v>5</v>
      </c>
      <c r="D141" s="15">
        <v>5</v>
      </c>
      <c r="E141" s="15">
        <v>20</v>
      </c>
      <c r="F141" s="15">
        <v>70</v>
      </c>
    </row>
    <row r="142" spans="1:6" x14ac:dyDescent="0.35">
      <c r="A142" s="9">
        <v>10</v>
      </c>
      <c r="B142" s="9">
        <v>6</v>
      </c>
      <c r="D142" s="15">
        <v>1993</v>
      </c>
      <c r="E142" s="15">
        <v>2002</v>
      </c>
      <c r="F142" s="15">
        <v>2008</v>
      </c>
    </row>
    <row r="143" spans="1:6" x14ac:dyDescent="0.35">
      <c r="A143" s="9">
        <v>10</v>
      </c>
      <c r="B143" s="9">
        <v>7</v>
      </c>
      <c r="D143" s="15">
        <v>1</v>
      </c>
      <c r="E143" s="15">
        <v>2</v>
      </c>
      <c r="F143" s="15">
        <v>5</v>
      </c>
    </row>
    <row r="144" spans="1:6" x14ac:dyDescent="0.35">
      <c r="A144" s="9">
        <v>10</v>
      </c>
      <c r="B144" s="9">
        <v>8</v>
      </c>
      <c r="D144" s="15">
        <v>1</v>
      </c>
      <c r="E144" s="15">
        <v>2</v>
      </c>
      <c r="F144" s="15">
        <v>15</v>
      </c>
    </row>
    <row r="145" spans="1:6" x14ac:dyDescent="0.35">
      <c r="A145" s="9">
        <v>10</v>
      </c>
      <c r="B145" s="9">
        <v>9</v>
      </c>
      <c r="D145" s="15">
        <v>1E-4</v>
      </c>
      <c r="E145" s="15">
        <v>1</v>
      </c>
      <c r="F145" s="15">
        <v>10</v>
      </c>
    </row>
    <row r="146" spans="1:6" x14ac:dyDescent="0.35">
      <c r="A146" s="9">
        <v>10</v>
      </c>
      <c r="B146" s="9">
        <v>10</v>
      </c>
      <c r="D146" s="15">
        <v>3</v>
      </c>
      <c r="E146" s="15">
        <v>18</v>
      </c>
      <c r="F146" s="15">
        <v>40</v>
      </c>
    </row>
    <row r="147" spans="1:6" x14ac:dyDescent="0.35">
      <c r="A147" s="9">
        <v>10</v>
      </c>
      <c r="B147" s="9">
        <v>11</v>
      </c>
      <c r="D147" s="15">
        <v>1E-4</v>
      </c>
      <c r="E147" s="15">
        <v>1</v>
      </c>
      <c r="F147" s="15">
        <v>5</v>
      </c>
    </row>
    <row r="148" spans="1:6" x14ac:dyDescent="0.35">
      <c r="A148" s="9">
        <v>10</v>
      </c>
      <c r="B148" s="9">
        <v>12</v>
      </c>
      <c r="D148" s="15">
        <v>3</v>
      </c>
      <c r="E148" s="15">
        <v>25</v>
      </c>
      <c r="F148" s="15">
        <v>60</v>
      </c>
    </row>
    <row r="149" spans="1:6" x14ac:dyDescent="0.35">
      <c r="A149" s="9">
        <v>10</v>
      </c>
      <c r="B149" s="9">
        <v>13</v>
      </c>
      <c r="D149" s="15">
        <v>0.1</v>
      </c>
      <c r="E149" s="15">
        <v>1</v>
      </c>
      <c r="F149" s="15">
        <v>5</v>
      </c>
    </row>
    <row r="150" spans="1:6" x14ac:dyDescent="0.35">
      <c r="A150" s="9">
        <v>10</v>
      </c>
      <c r="B150" s="9">
        <v>14</v>
      </c>
      <c r="D150" s="15">
        <v>80</v>
      </c>
      <c r="E150" s="15">
        <v>86</v>
      </c>
      <c r="F150" s="15">
        <v>90</v>
      </c>
    </row>
    <row r="151" spans="1:6" x14ac:dyDescent="0.35">
      <c r="A151" s="9">
        <v>10</v>
      </c>
      <c r="B151" s="9">
        <v>15</v>
      </c>
      <c r="D151" s="15">
        <v>85</v>
      </c>
      <c r="E151" s="15">
        <v>88</v>
      </c>
      <c r="F151" s="15">
        <v>95</v>
      </c>
    </row>
    <row r="152" spans="1:6" x14ac:dyDescent="0.35">
      <c r="A152" s="9">
        <v>11</v>
      </c>
      <c r="B152" s="9">
        <v>1</v>
      </c>
      <c r="D152" s="15">
        <v>20</v>
      </c>
      <c r="E152" s="15">
        <v>45</v>
      </c>
      <c r="F152" s="15">
        <v>60</v>
      </c>
    </row>
    <row r="153" spans="1:6" x14ac:dyDescent="0.35">
      <c r="A153" s="9">
        <v>11</v>
      </c>
      <c r="B153" s="9">
        <v>2</v>
      </c>
      <c r="D153" s="15">
        <v>10</v>
      </c>
      <c r="E153" s="15">
        <v>15</v>
      </c>
      <c r="F153" s="15">
        <v>25</v>
      </c>
    </row>
    <row r="154" spans="1:6" x14ac:dyDescent="0.35">
      <c r="A154" s="9">
        <v>11</v>
      </c>
      <c r="B154" s="9">
        <v>3</v>
      </c>
      <c r="D154" s="15">
        <v>5</v>
      </c>
      <c r="E154" s="15">
        <v>10</v>
      </c>
      <c r="F154" s="15">
        <v>15</v>
      </c>
    </row>
    <row r="155" spans="1:6" x14ac:dyDescent="0.35">
      <c r="A155" s="9">
        <v>11</v>
      </c>
      <c r="B155" s="9">
        <v>4</v>
      </c>
      <c r="D155" s="15">
        <v>3</v>
      </c>
      <c r="E155" s="15">
        <v>3.5</v>
      </c>
      <c r="F155" s="15">
        <v>4.5</v>
      </c>
    </row>
    <row r="156" spans="1:6" x14ac:dyDescent="0.35">
      <c r="A156" s="9">
        <v>11</v>
      </c>
      <c r="B156" s="9">
        <v>5</v>
      </c>
      <c r="D156" s="15">
        <v>20</v>
      </c>
      <c r="E156" s="15">
        <v>40</v>
      </c>
      <c r="F156" s="15">
        <v>60</v>
      </c>
    </row>
    <row r="157" spans="1:6" x14ac:dyDescent="0.35">
      <c r="A157" s="9">
        <v>11</v>
      </c>
      <c r="B157" s="9">
        <v>6</v>
      </c>
      <c r="D157" s="15">
        <v>2000</v>
      </c>
      <c r="E157" s="15">
        <v>2004</v>
      </c>
      <c r="F157" s="15">
        <v>2008</v>
      </c>
    </row>
    <row r="158" spans="1:6" x14ac:dyDescent="0.35">
      <c r="A158" s="9">
        <v>11</v>
      </c>
      <c r="B158" s="9">
        <v>7</v>
      </c>
      <c r="D158" s="15">
        <v>90</v>
      </c>
      <c r="E158" s="15">
        <v>95</v>
      </c>
      <c r="F158" s="15">
        <v>100</v>
      </c>
    </row>
    <row r="159" spans="1:6" x14ac:dyDescent="0.35">
      <c r="A159" s="9">
        <v>11</v>
      </c>
      <c r="B159" s="9">
        <v>8</v>
      </c>
      <c r="D159" s="15">
        <v>15</v>
      </c>
      <c r="E159" s="15">
        <v>40</v>
      </c>
      <c r="F159" s="15">
        <v>60</v>
      </c>
    </row>
    <row r="160" spans="1:6" x14ac:dyDescent="0.35">
      <c r="A160" s="9">
        <v>11</v>
      </c>
      <c r="B160" s="9">
        <v>9</v>
      </c>
      <c r="D160" s="15">
        <v>5</v>
      </c>
      <c r="E160" s="15">
        <v>15</v>
      </c>
      <c r="F160" s="15">
        <v>25</v>
      </c>
    </row>
    <row r="161" spans="1:6" x14ac:dyDescent="0.35">
      <c r="A161" s="9">
        <v>11</v>
      </c>
      <c r="B161" s="9">
        <v>10</v>
      </c>
      <c r="D161" s="15">
        <v>1</v>
      </c>
      <c r="E161" s="15">
        <v>5</v>
      </c>
      <c r="F161" s="15">
        <v>12</v>
      </c>
    </row>
    <row r="162" spans="1:6" x14ac:dyDescent="0.35">
      <c r="A162" s="9">
        <v>11</v>
      </c>
      <c r="B162" s="9">
        <v>11</v>
      </c>
      <c r="D162" s="15">
        <v>1</v>
      </c>
      <c r="E162" s="15">
        <v>3</v>
      </c>
      <c r="F162" s="15">
        <v>5</v>
      </c>
    </row>
    <row r="163" spans="1:6" x14ac:dyDescent="0.35">
      <c r="A163" s="9">
        <v>11</v>
      </c>
      <c r="B163" s="9">
        <v>12</v>
      </c>
      <c r="D163" s="15">
        <v>5</v>
      </c>
      <c r="E163" s="15">
        <v>10</v>
      </c>
      <c r="F163" s="15">
        <v>15</v>
      </c>
    </row>
    <row r="164" spans="1:6" x14ac:dyDescent="0.35">
      <c r="A164" s="9">
        <v>11</v>
      </c>
      <c r="B164" s="9">
        <v>13</v>
      </c>
      <c r="D164" s="15">
        <v>0.8</v>
      </c>
      <c r="E164" s="15">
        <v>3</v>
      </c>
      <c r="F164" s="15">
        <v>4.5</v>
      </c>
    </row>
    <row r="165" spans="1:6" x14ac:dyDescent="0.35">
      <c r="A165" s="9">
        <v>11</v>
      </c>
      <c r="B165" s="9">
        <v>14</v>
      </c>
      <c r="D165" s="15">
        <v>20</v>
      </c>
      <c r="E165" s="15">
        <v>35</v>
      </c>
      <c r="F165" s="15">
        <v>50</v>
      </c>
    </row>
    <row r="166" spans="1:6" x14ac:dyDescent="0.35">
      <c r="A166" s="9">
        <v>11</v>
      </c>
      <c r="B166" s="9">
        <v>15</v>
      </c>
      <c r="D166" s="15">
        <v>25</v>
      </c>
      <c r="E166" s="15">
        <v>37.5</v>
      </c>
      <c r="F166" s="15">
        <v>75</v>
      </c>
    </row>
    <row r="167" spans="1:6" x14ac:dyDescent="0.35">
      <c r="A167" s="9">
        <v>12</v>
      </c>
      <c r="B167" s="9">
        <v>1</v>
      </c>
      <c r="D167" s="15">
        <v>7.9</v>
      </c>
      <c r="E167" s="15">
        <v>8</v>
      </c>
      <c r="F167" s="15">
        <v>8.1</v>
      </c>
    </row>
    <row r="168" spans="1:6" x14ac:dyDescent="0.35">
      <c r="A168" s="9">
        <v>12</v>
      </c>
      <c r="B168" s="9">
        <v>2</v>
      </c>
      <c r="D168" s="15">
        <v>8</v>
      </c>
      <c r="E168" s="15">
        <v>10</v>
      </c>
      <c r="F168" s="15">
        <v>15</v>
      </c>
    </row>
    <row r="169" spans="1:6" x14ac:dyDescent="0.35">
      <c r="A169" s="9">
        <v>12</v>
      </c>
      <c r="B169" s="9">
        <v>3</v>
      </c>
      <c r="D169" s="15">
        <v>35</v>
      </c>
      <c r="E169" s="15">
        <v>45</v>
      </c>
      <c r="F169" s="15">
        <v>60</v>
      </c>
    </row>
    <row r="170" spans="1:6" x14ac:dyDescent="0.35">
      <c r="A170" s="9">
        <v>12</v>
      </c>
      <c r="B170" s="9">
        <v>4</v>
      </c>
      <c r="D170" s="15">
        <v>3</v>
      </c>
      <c r="E170" s="15">
        <v>4</v>
      </c>
      <c r="F170" s="15">
        <v>5</v>
      </c>
    </row>
    <row r="171" spans="1:6" x14ac:dyDescent="0.35">
      <c r="A171" s="9">
        <v>12</v>
      </c>
      <c r="B171" s="9">
        <v>5</v>
      </c>
      <c r="D171" s="15">
        <v>20</v>
      </c>
      <c r="E171" s="15">
        <v>60</v>
      </c>
      <c r="F171" s="15">
        <v>90</v>
      </c>
    </row>
    <row r="172" spans="1:6" x14ac:dyDescent="0.35">
      <c r="A172" s="9">
        <v>12</v>
      </c>
      <c r="B172" s="9">
        <v>6</v>
      </c>
      <c r="D172" s="15">
        <v>1985</v>
      </c>
      <c r="E172" s="15">
        <v>1997</v>
      </c>
      <c r="F172" s="15">
        <v>2008</v>
      </c>
    </row>
    <row r="173" spans="1:6" x14ac:dyDescent="0.35">
      <c r="A173" s="9">
        <v>12</v>
      </c>
      <c r="B173" s="9">
        <v>7</v>
      </c>
      <c r="D173" s="15">
        <v>50</v>
      </c>
      <c r="E173" s="15">
        <v>80</v>
      </c>
      <c r="F173" s="15">
        <v>90</v>
      </c>
    </row>
    <row r="174" spans="1:6" x14ac:dyDescent="0.35">
      <c r="A174" s="9">
        <v>12</v>
      </c>
      <c r="B174" s="9">
        <v>8</v>
      </c>
      <c r="D174" s="15">
        <v>10</v>
      </c>
      <c r="E174" s="15">
        <v>20</v>
      </c>
      <c r="F174" s="15">
        <v>30</v>
      </c>
    </row>
    <row r="175" spans="1:6" x14ac:dyDescent="0.35">
      <c r="A175" s="9">
        <v>12</v>
      </c>
      <c r="B175" s="9">
        <v>9</v>
      </c>
      <c r="D175" s="15">
        <v>10</v>
      </c>
      <c r="E175" s="15">
        <v>20</v>
      </c>
      <c r="F175" s="15">
        <v>30</v>
      </c>
    </row>
    <row r="176" spans="1:6" x14ac:dyDescent="0.35">
      <c r="A176" s="9">
        <v>12</v>
      </c>
      <c r="B176" s="9">
        <v>10</v>
      </c>
      <c r="D176" s="15">
        <v>2</v>
      </c>
      <c r="E176" s="15">
        <v>3</v>
      </c>
      <c r="F176" s="15">
        <v>5</v>
      </c>
    </row>
    <row r="177" spans="1:6" x14ac:dyDescent="0.35">
      <c r="A177" s="9">
        <v>12</v>
      </c>
      <c r="B177" s="9">
        <v>11</v>
      </c>
      <c r="D177" s="15">
        <v>2</v>
      </c>
      <c r="E177" s="15">
        <v>3</v>
      </c>
      <c r="F177" s="15">
        <v>5</v>
      </c>
    </row>
    <row r="178" spans="1:6" x14ac:dyDescent="0.35">
      <c r="A178" s="9">
        <v>12</v>
      </c>
      <c r="B178" s="9">
        <v>12</v>
      </c>
      <c r="D178" s="15">
        <v>9</v>
      </c>
      <c r="E178" s="15">
        <v>9.9</v>
      </c>
      <c r="F178" s="15">
        <v>10.5</v>
      </c>
    </row>
    <row r="179" spans="1:6" x14ac:dyDescent="0.35">
      <c r="A179" s="9">
        <v>12</v>
      </c>
      <c r="B179" s="9">
        <v>13</v>
      </c>
      <c r="D179" s="15">
        <v>1</v>
      </c>
      <c r="E179" s="15">
        <v>2</v>
      </c>
      <c r="F179" s="15">
        <v>5</v>
      </c>
    </row>
    <row r="180" spans="1:6" x14ac:dyDescent="0.35">
      <c r="A180" s="9">
        <v>12</v>
      </c>
      <c r="B180" s="9">
        <v>14</v>
      </c>
      <c r="D180" s="15">
        <v>70</v>
      </c>
      <c r="E180" s="15">
        <v>80</v>
      </c>
      <c r="F180" s="15">
        <v>90</v>
      </c>
    </row>
    <row r="181" spans="1:6" x14ac:dyDescent="0.35">
      <c r="A181" s="9">
        <v>12</v>
      </c>
      <c r="B181" s="9">
        <v>15</v>
      </c>
      <c r="D181" s="15">
        <v>70</v>
      </c>
      <c r="E181" s="15">
        <v>80</v>
      </c>
      <c r="F181" s="15">
        <v>90</v>
      </c>
    </row>
    <row r="182" spans="1:6" x14ac:dyDescent="0.35">
      <c r="A182" s="9">
        <v>13</v>
      </c>
      <c r="B182" s="9">
        <v>1</v>
      </c>
      <c r="D182" s="15">
        <v>6</v>
      </c>
      <c r="E182" s="15">
        <v>7</v>
      </c>
      <c r="F182" s="15">
        <v>8</v>
      </c>
    </row>
    <row r="183" spans="1:6" x14ac:dyDescent="0.35">
      <c r="A183" s="9">
        <v>13</v>
      </c>
      <c r="B183" s="9">
        <v>2</v>
      </c>
      <c r="D183" s="15">
        <v>20</v>
      </c>
      <c r="E183" s="15">
        <v>30</v>
      </c>
      <c r="F183" s="15">
        <v>40</v>
      </c>
    </row>
    <row r="184" spans="1:6" x14ac:dyDescent="0.35">
      <c r="A184" s="9">
        <v>13</v>
      </c>
      <c r="B184" s="9">
        <v>3</v>
      </c>
      <c r="D184" s="15">
        <v>10</v>
      </c>
      <c r="E184" s="15">
        <v>20</v>
      </c>
      <c r="F184" s="15">
        <v>30</v>
      </c>
    </row>
    <row r="185" spans="1:6" x14ac:dyDescent="0.35">
      <c r="A185" s="9">
        <v>13</v>
      </c>
      <c r="B185" s="9">
        <v>4</v>
      </c>
      <c r="D185" s="15">
        <v>3.4</v>
      </c>
      <c r="E185" s="15">
        <v>3.5</v>
      </c>
      <c r="F185" s="15">
        <v>3.8</v>
      </c>
    </row>
    <row r="186" spans="1:6" x14ac:dyDescent="0.35">
      <c r="A186" s="9">
        <v>13</v>
      </c>
      <c r="B186" s="9">
        <v>5</v>
      </c>
      <c r="D186" s="15">
        <v>20</v>
      </c>
      <c r="E186" s="15">
        <v>40</v>
      </c>
      <c r="F186" s="15">
        <v>70</v>
      </c>
    </row>
    <row r="187" spans="1:6" x14ac:dyDescent="0.35">
      <c r="A187" s="9">
        <v>13</v>
      </c>
      <c r="B187" s="9">
        <v>6</v>
      </c>
      <c r="D187" s="15">
        <v>1994</v>
      </c>
      <c r="E187" s="15">
        <v>2000</v>
      </c>
      <c r="F187" s="15">
        <v>2009</v>
      </c>
    </row>
    <row r="188" spans="1:6" x14ac:dyDescent="0.35">
      <c r="A188" s="9">
        <v>13</v>
      </c>
      <c r="B188" s="9">
        <v>7</v>
      </c>
      <c r="D188" s="15">
        <v>1E-4</v>
      </c>
      <c r="E188" s="15">
        <v>1</v>
      </c>
      <c r="F188" s="15">
        <v>1.1000000000000001</v>
      </c>
    </row>
    <row r="189" spans="1:6" x14ac:dyDescent="0.35">
      <c r="A189" s="9">
        <v>13</v>
      </c>
      <c r="B189" s="9">
        <v>8</v>
      </c>
      <c r="D189" s="15">
        <v>5</v>
      </c>
      <c r="E189" s="15">
        <v>10</v>
      </c>
      <c r="F189" s="15">
        <v>21</v>
      </c>
    </row>
    <row r="190" spans="1:6" x14ac:dyDescent="0.35">
      <c r="A190" s="9">
        <v>13</v>
      </c>
      <c r="B190" s="9">
        <v>9</v>
      </c>
      <c r="D190" s="15">
        <v>1</v>
      </c>
      <c r="E190" s="15">
        <v>5</v>
      </c>
      <c r="F190" s="15">
        <v>10</v>
      </c>
    </row>
    <row r="191" spans="1:6" x14ac:dyDescent="0.35">
      <c r="A191" s="9">
        <v>13</v>
      </c>
      <c r="B191" s="9">
        <v>10</v>
      </c>
      <c r="D191" s="15">
        <v>5</v>
      </c>
      <c r="E191" s="15">
        <v>10</v>
      </c>
      <c r="F191" s="15">
        <v>20</v>
      </c>
    </row>
    <row r="192" spans="1:6" x14ac:dyDescent="0.35">
      <c r="A192" s="9">
        <v>13</v>
      </c>
      <c r="B192" s="9">
        <v>11</v>
      </c>
      <c r="D192" s="15">
        <v>1E-4</v>
      </c>
      <c r="E192" s="15">
        <v>1</v>
      </c>
      <c r="F192" s="15">
        <v>3</v>
      </c>
    </row>
    <row r="193" spans="1:6" x14ac:dyDescent="0.35">
      <c r="A193" s="9">
        <v>13</v>
      </c>
      <c r="B193" s="9">
        <v>12</v>
      </c>
      <c r="D193" s="15">
        <v>2</v>
      </c>
      <c r="E193" s="15">
        <v>5</v>
      </c>
      <c r="F193" s="15">
        <v>7</v>
      </c>
    </row>
    <row r="194" spans="1:6" x14ac:dyDescent="0.35">
      <c r="A194" s="9">
        <v>13</v>
      </c>
      <c r="B194" s="9">
        <v>13</v>
      </c>
      <c r="D194" s="15">
        <v>0.3</v>
      </c>
      <c r="E194" s="15">
        <v>0.31</v>
      </c>
      <c r="F194" s="15">
        <v>0.5</v>
      </c>
    </row>
    <row r="195" spans="1:6" x14ac:dyDescent="0.35">
      <c r="A195" s="9">
        <v>13</v>
      </c>
      <c r="B195" s="9">
        <v>14</v>
      </c>
      <c r="D195" s="15">
        <v>84.5</v>
      </c>
      <c r="E195" s="15">
        <v>86.5</v>
      </c>
      <c r="F195" s="15">
        <v>86.6</v>
      </c>
    </row>
    <row r="196" spans="1:6" x14ac:dyDescent="0.35">
      <c r="A196" s="9">
        <v>13</v>
      </c>
      <c r="B196" s="9">
        <v>15</v>
      </c>
      <c r="D196" s="15">
        <v>25</v>
      </c>
      <c r="E196" s="15">
        <v>40</v>
      </c>
      <c r="F196" s="15">
        <v>80</v>
      </c>
    </row>
    <row r="197" spans="1:6" x14ac:dyDescent="0.35">
      <c r="A197" s="9">
        <v>14</v>
      </c>
      <c r="B197" s="9">
        <v>1</v>
      </c>
      <c r="D197" s="15">
        <v>13</v>
      </c>
      <c r="E197" s="15">
        <v>15</v>
      </c>
      <c r="F197" s="15">
        <v>17</v>
      </c>
    </row>
    <row r="198" spans="1:6" x14ac:dyDescent="0.35">
      <c r="A198" s="9">
        <v>14</v>
      </c>
      <c r="B198" s="9">
        <v>2</v>
      </c>
      <c r="D198" s="15">
        <v>10</v>
      </c>
      <c r="E198" s="15">
        <v>12</v>
      </c>
      <c r="F198" s="15">
        <v>14</v>
      </c>
    </row>
    <row r="199" spans="1:6" x14ac:dyDescent="0.35">
      <c r="A199" s="9">
        <v>14</v>
      </c>
      <c r="B199" s="9">
        <v>3</v>
      </c>
      <c r="D199" s="15">
        <v>65</v>
      </c>
      <c r="E199" s="15">
        <v>70</v>
      </c>
      <c r="F199" s="15">
        <v>80</v>
      </c>
    </row>
    <row r="200" spans="1:6" x14ac:dyDescent="0.35">
      <c r="A200" s="9">
        <v>14</v>
      </c>
      <c r="B200" s="9">
        <v>4</v>
      </c>
      <c r="D200" s="15">
        <v>3.7</v>
      </c>
      <c r="E200" s="15">
        <v>3.71</v>
      </c>
      <c r="F200" s="15">
        <v>3.72</v>
      </c>
    </row>
    <row r="201" spans="1:6" x14ac:dyDescent="0.35">
      <c r="A201" s="9">
        <v>14</v>
      </c>
      <c r="B201" s="9">
        <v>5</v>
      </c>
      <c r="D201" s="15">
        <v>95</v>
      </c>
      <c r="E201" s="15">
        <v>99</v>
      </c>
      <c r="F201" s="15">
        <v>100</v>
      </c>
    </row>
    <row r="202" spans="1:6" x14ac:dyDescent="0.35">
      <c r="A202" s="9">
        <v>14</v>
      </c>
      <c r="B202" s="9">
        <v>6</v>
      </c>
      <c r="D202" s="15">
        <v>2001</v>
      </c>
      <c r="E202" s="15">
        <v>2004</v>
      </c>
      <c r="F202" s="15">
        <v>2008</v>
      </c>
    </row>
    <row r="203" spans="1:6" x14ac:dyDescent="0.35">
      <c r="A203" s="9">
        <v>14</v>
      </c>
      <c r="B203" s="9">
        <v>7</v>
      </c>
      <c r="D203" s="15">
        <v>1E-4</v>
      </c>
      <c r="E203" s="15">
        <v>5</v>
      </c>
      <c r="F203" s="15">
        <v>10</v>
      </c>
    </row>
    <row r="204" spans="1:6" x14ac:dyDescent="0.35">
      <c r="A204" s="9">
        <v>14</v>
      </c>
      <c r="B204" s="9">
        <v>8</v>
      </c>
      <c r="D204" s="15">
        <v>5</v>
      </c>
      <c r="E204" s="15">
        <v>6</v>
      </c>
      <c r="F204" s="15">
        <v>8</v>
      </c>
    </row>
    <row r="205" spans="1:6" x14ac:dyDescent="0.35">
      <c r="A205" s="9">
        <v>14</v>
      </c>
      <c r="B205" s="9">
        <v>9</v>
      </c>
      <c r="D205" s="15">
        <v>4</v>
      </c>
      <c r="E205" s="15">
        <v>5</v>
      </c>
      <c r="F205" s="15">
        <v>6</v>
      </c>
    </row>
    <row r="206" spans="1:6" x14ac:dyDescent="0.35">
      <c r="A206" s="9">
        <v>14</v>
      </c>
      <c r="B206" s="9">
        <v>10</v>
      </c>
      <c r="D206" s="15">
        <v>2.2999999999999998</v>
      </c>
      <c r="E206" s="15">
        <v>3</v>
      </c>
      <c r="F206" s="15">
        <v>3.21</v>
      </c>
    </row>
    <row r="207" spans="1:6" x14ac:dyDescent="0.35">
      <c r="A207" s="9">
        <v>14</v>
      </c>
      <c r="B207" s="9">
        <v>11</v>
      </c>
      <c r="D207" s="15">
        <v>2.2999999999999998</v>
      </c>
      <c r="E207" s="15">
        <v>3.2</v>
      </c>
      <c r="F207" s="15">
        <v>3.5</v>
      </c>
    </row>
    <row r="208" spans="1:6" x14ac:dyDescent="0.35">
      <c r="A208" s="9">
        <v>14</v>
      </c>
      <c r="B208" s="9">
        <v>12</v>
      </c>
      <c r="D208" s="15">
        <v>9</v>
      </c>
      <c r="E208" s="15">
        <v>10</v>
      </c>
      <c r="F208" s="15">
        <v>12</v>
      </c>
    </row>
    <row r="209" spans="1:6" x14ac:dyDescent="0.35">
      <c r="A209" s="9">
        <v>14</v>
      </c>
      <c r="B209" s="9">
        <v>13</v>
      </c>
      <c r="D209" s="15">
        <v>3.9</v>
      </c>
      <c r="E209" s="15">
        <v>4</v>
      </c>
      <c r="F209" s="15">
        <v>4.0999999999999996</v>
      </c>
    </row>
    <row r="210" spans="1:6" x14ac:dyDescent="0.35">
      <c r="A210" s="9">
        <v>14</v>
      </c>
      <c r="B210" s="9">
        <v>14</v>
      </c>
      <c r="D210" s="15">
        <v>82</v>
      </c>
      <c r="E210" s="15">
        <v>84</v>
      </c>
      <c r="F210" s="15">
        <v>87</v>
      </c>
    </row>
    <row r="211" spans="1:6" x14ac:dyDescent="0.35">
      <c r="A211" s="9">
        <v>14</v>
      </c>
      <c r="B211" s="9">
        <v>15</v>
      </c>
      <c r="D211" s="15">
        <v>87</v>
      </c>
      <c r="E211" s="15">
        <v>87.5</v>
      </c>
      <c r="F211" s="15">
        <v>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9"/>
  <dimension ref="A1:H113"/>
  <sheetViews>
    <sheetView workbookViewId="0">
      <selection activeCell="J16" sqref="J16"/>
    </sheetView>
  </sheetViews>
  <sheetFormatPr defaultRowHeight="14.5" x14ac:dyDescent="0.35"/>
  <sheetData>
    <row r="1" spans="1:8" x14ac:dyDescent="0.35">
      <c r="A1" t="s">
        <v>339</v>
      </c>
      <c r="H1" t="s">
        <v>58</v>
      </c>
    </row>
    <row r="2" spans="1:8" x14ac:dyDescent="0.35">
      <c r="A2">
        <v>1</v>
      </c>
      <c r="B2">
        <v>1</v>
      </c>
      <c r="C2" t="s">
        <v>86</v>
      </c>
      <c r="D2" s="4">
        <v>65.5</v>
      </c>
      <c r="E2" s="4">
        <v>131</v>
      </c>
      <c r="F2" s="4">
        <v>262</v>
      </c>
      <c r="H2" s="4">
        <v>23</v>
      </c>
    </row>
    <row r="3" spans="1:8" x14ac:dyDescent="0.35">
      <c r="A3">
        <v>1</v>
      </c>
      <c r="B3">
        <v>2</v>
      </c>
      <c r="C3" t="s">
        <v>87</v>
      </c>
      <c r="D3" s="4">
        <v>200</v>
      </c>
      <c r="E3" s="4">
        <v>500</v>
      </c>
      <c r="F3" s="4">
        <v>700</v>
      </c>
      <c r="H3" s="4">
        <v>500</v>
      </c>
    </row>
    <row r="4" spans="1:8" x14ac:dyDescent="0.35">
      <c r="A4">
        <v>1</v>
      </c>
      <c r="B4">
        <v>3</v>
      </c>
      <c r="C4" t="s">
        <v>88</v>
      </c>
      <c r="D4" s="4">
        <v>170</v>
      </c>
      <c r="E4" s="4">
        <v>200</v>
      </c>
      <c r="F4" s="4">
        <v>280</v>
      </c>
      <c r="H4" s="4">
        <v>349</v>
      </c>
    </row>
    <row r="5" spans="1:8" x14ac:dyDescent="0.35">
      <c r="A5">
        <v>1</v>
      </c>
      <c r="B5">
        <v>4</v>
      </c>
      <c r="C5" t="s">
        <v>89</v>
      </c>
      <c r="D5" s="4">
        <v>10</v>
      </c>
      <c r="E5" s="4">
        <v>15</v>
      </c>
      <c r="F5" s="4">
        <v>20</v>
      </c>
      <c r="H5" s="4">
        <v>40</v>
      </c>
    </row>
    <row r="6" spans="1:8" x14ac:dyDescent="0.35">
      <c r="A6">
        <v>1</v>
      </c>
      <c r="B6">
        <v>5</v>
      </c>
      <c r="C6" t="s">
        <v>90</v>
      </c>
      <c r="D6" s="4">
        <v>45</v>
      </c>
      <c r="E6" s="4">
        <v>60</v>
      </c>
      <c r="F6" s="4">
        <v>65</v>
      </c>
      <c r="H6" s="4">
        <v>2.4</v>
      </c>
    </row>
    <row r="7" spans="1:8" x14ac:dyDescent="0.35">
      <c r="A7">
        <v>1</v>
      </c>
      <c r="B7">
        <v>6</v>
      </c>
      <c r="C7" t="s">
        <v>91</v>
      </c>
      <c r="D7" s="4">
        <v>40</v>
      </c>
      <c r="E7" s="4">
        <v>60</v>
      </c>
      <c r="F7" s="4">
        <v>70</v>
      </c>
      <c r="H7" s="4">
        <v>79</v>
      </c>
    </row>
    <row r="8" spans="1:8" x14ac:dyDescent="0.35">
      <c r="A8">
        <v>1</v>
      </c>
      <c r="B8">
        <v>7</v>
      </c>
      <c r="C8" t="s">
        <v>92</v>
      </c>
      <c r="D8" s="4">
        <v>20</v>
      </c>
      <c r="E8" s="4">
        <v>23</v>
      </c>
      <c r="F8" s="4">
        <v>42</v>
      </c>
      <c r="H8" s="4">
        <v>27</v>
      </c>
    </row>
    <row r="9" spans="1:8" x14ac:dyDescent="0.35">
      <c r="A9">
        <v>1</v>
      </c>
      <c r="B9">
        <v>8</v>
      </c>
      <c r="C9" t="s">
        <v>93</v>
      </c>
      <c r="D9" s="4">
        <v>2</v>
      </c>
      <c r="E9" s="4">
        <v>4</v>
      </c>
      <c r="F9" s="4">
        <v>10</v>
      </c>
      <c r="H9" s="4">
        <v>25</v>
      </c>
    </row>
    <row r="10" spans="1:8" x14ac:dyDescent="0.35">
      <c r="A10">
        <v>2</v>
      </c>
      <c r="B10">
        <v>1</v>
      </c>
      <c r="C10" t="s">
        <v>86</v>
      </c>
      <c r="D10" s="4">
        <v>200</v>
      </c>
      <c r="E10" s="4">
        <v>655</v>
      </c>
      <c r="F10" s="4">
        <v>2000</v>
      </c>
    </row>
    <row r="11" spans="1:8" x14ac:dyDescent="0.35">
      <c r="A11">
        <v>2</v>
      </c>
      <c r="B11">
        <v>2</v>
      </c>
      <c r="C11" t="s">
        <v>87</v>
      </c>
      <c r="D11" s="4">
        <v>75</v>
      </c>
      <c r="E11" s="4">
        <v>150</v>
      </c>
      <c r="F11" s="4">
        <v>300</v>
      </c>
    </row>
    <row r="12" spans="1:8" x14ac:dyDescent="0.35">
      <c r="A12">
        <v>2</v>
      </c>
      <c r="B12">
        <v>3</v>
      </c>
      <c r="C12" t="s">
        <v>88</v>
      </c>
      <c r="D12" s="4">
        <v>500</v>
      </c>
      <c r="E12" s="4">
        <v>1200</v>
      </c>
      <c r="F12" s="4">
        <v>2500</v>
      </c>
    </row>
    <row r="13" spans="1:8" x14ac:dyDescent="0.35">
      <c r="A13">
        <v>2</v>
      </c>
      <c r="B13">
        <v>4</v>
      </c>
      <c r="C13" t="s">
        <v>89</v>
      </c>
      <c r="D13" s="4">
        <v>5</v>
      </c>
      <c r="E13" s="4">
        <v>20</v>
      </c>
      <c r="F13" s="4">
        <v>41</v>
      </c>
    </row>
    <row r="14" spans="1:8" x14ac:dyDescent="0.35">
      <c r="A14">
        <v>2</v>
      </c>
      <c r="B14">
        <v>5</v>
      </c>
      <c r="C14" t="s">
        <v>90</v>
      </c>
      <c r="D14" s="4">
        <v>15</v>
      </c>
      <c r="E14" s="4">
        <v>30</v>
      </c>
      <c r="F14" s="4">
        <v>60</v>
      </c>
    </row>
    <row r="15" spans="1:8" x14ac:dyDescent="0.35">
      <c r="A15">
        <v>2</v>
      </c>
      <c r="B15">
        <v>6</v>
      </c>
      <c r="C15" t="s">
        <v>91</v>
      </c>
      <c r="D15" s="4">
        <v>55</v>
      </c>
      <c r="E15" s="4">
        <v>60</v>
      </c>
      <c r="F15" s="4">
        <v>65</v>
      </c>
    </row>
    <row r="16" spans="1:8" x14ac:dyDescent="0.35">
      <c r="A16">
        <v>2</v>
      </c>
      <c r="B16">
        <v>7</v>
      </c>
      <c r="C16" t="s">
        <v>92</v>
      </c>
      <c r="D16" s="4">
        <v>22</v>
      </c>
      <c r="E16" s="4">
        <v>26</v>
      </c>
      <c r="F16" s="4">
        <v>30</v>
      </c>
    </row>
    <row r="17" spans="1:6" x14ac:dyDescent="0.35">
      <c r="A17">
        <v>2</v>
      </c>
      <c r="B17">
        <v>8</v>
      </c>
      <c r="C17" t="s">
        <v>93</v>
      </c>
      <c r="D17" s="4">
        <v>2</v>
      </c>
      <c r="E17" s="4">
        <v>5</v>
      </c>
      <c r="F17" s="4">
        <v>10</v>
      </c>
    </row>
    <row r="18" spans="1:6" x14ac:dyDescent="0.35">
      <c r="A18">
        <v>3</v>
      </c>
      <c r="B18">
        <v>1</v>
      </c>
      <c r="C18" t="s">
        <v>86</v>
      </c>
      <c r="D18" s="4">
        <v>20</v>
      </c>
      <c r="E18" s="4">
        <v>80</v>
      </c>
      <c r="F18" s="4">
        <v>250</v>
      </c>
    </row>
    <row r="19" spans="1:6" x14ac:dyDescent="0.35">
      <c r="A19">
        <v>3</v>
      </c>
      <c r="B19">
        <v>2</v>
      </c>
      <c r="C19" t="s">
        <v>87</v>
      </c>
      <c r="D19" s="4">
        <v>25</v>
      </c>
      <c r="E19" s="4">
        <v>50</v>
      </c>
      <c r="F19" s="4">
        <v>80</v>
      </c>
    </row>
    <row r="20" spans="1:6" x14ac:dyDescent="0.35">
      <c r="A20">
        <v>3</v>
      </c>
      <c r="B20">
        <v>3</v>
      </c>
      <c r="C20" t="s">
        <v>88</v>
      </c>
      <c r="D20" s="4">
        <v>30</v>
      </c>
      <c r="E20" s="4">
        <v>50</v>
      </c>
      <c r="F20" s="4">
        <v>100</v>
      </c>
    </row>
    <row r="21" spans="1:6" x14ac:dyDescent="0.35">
      <c r="A21">
        <v>3</v>
      </c>
      <c r="B21">
        <v>4</v>
      </c>
      <c r="C21" t="s">
        <v>89</v>
      </c>
      <c r="D21" s="4">
        <v>8</v>
      </c>
      <c r="E21" s="4">
        <v>20</v>
      </c>
      <c r="F21" s="4">
        <v>35</v>
      </c>
    </row>
    <row r="22" spans="1:6" x14ac:dyDescent="0.35">
      <c r="A22">
        <v>3</v>
      </c>
      <c r="B22">
        <v>5</v>
      </c>
      <c r="C22" t="s">
        <v>90</v>
      </c>
      <c r="D22" s="4">
        <v>0.05</v>
      </c>
      <c r="E22" s="4">
        <v>0.1</v>
      </c>
      <c r="F22" s="4">
        <v>0.5</v>
      </c>
    </row>
    <row r="23" spans="1:6" x14ac:dyDescent="0.35">
      <c r="A23">
        <v>3</v>
      </c>
      <c r="B23">
        <v>6</v>
      </c>
      <c r="C23" t="s">
        <v>91</v>
      </c>
      <c r="D23" s="4">
        <v>55</v>
      </c>
      <c r="E23" s="4">
        <v>65</v>
      </c>
      <c r="F23" s="4">
        <v>75</v>
      </c>
    </row>
    <row r="24" spans="1:6" x14ac:dyDescent="0.35">
      <c r="A24">
        <v>3</v>
      </c>
      <c r="B24">
        <v>7</v>
      </c>
      <c r="C24" t="s">
        <v>92</v>
      </c>
      <c r="D24" s="4">
        <v>18</v>
      </c>
      <c r="E24" s="4">
        <v>30</v>
      </c>
      <c r="F24" s="4">
        <v>50</v>
      </c>
    </row>
    <row r="25" spans="1:6" x14ac:dyDescent="0.35">
      <c r="A25">
        <v>3</v>
      </c>
      <c r="B25">
        <v>8</v>
      </c>
      <c r="C25" t="s">
        <v>93</v>
      </c>
      <c r="D25" s="4">
        <v>0.7</v>
      </c>
      <c r="E25" s="4">
        <v>2</v>
      </c>
      <c r="F25" s="4">
        <v>5</v>
      </c>
    </row>
    <row r="26" spans="1:6" x14ac:dyDescent="0.35">
      <c r="A26">
        <v>4</v>
      </c>
      <c r="B26">
        <v>1</v>
      </c>
      <c r="C26" t="s">
        <v>86</v>
      </c>
      <c r="D26" s="4">
        <v>50</v>
      </c>
      <c r="E26" s="4">
        <v>65</v>
      </c>
      <c r="F26" s="4">
        <v>120</v>
      </c>
    </row>
    <row r="27" spans="1:6" x14ac:dyDescent="0.35">
      <c r="A27">
        <v>4</v>
      </c>
      <c r="B27">
        <v>2</v>
      </c>
      <c r="C27" t="s">
        <v>87</v>
      </c>
      <c r="D27" s="4">
        <v>650</v>
      </c>
      <c r="E27" s="4">
        <v>800</v>
      </c>
      <c r="F27" s="4">
        <v>950</v>
      </c>
    </row>
    <row r="28" spans="1:6" x14ac:dyDescent="0.35">
      <c r="A28">
        <v>4</v>
      </c>
      <c r="B28">
        <v>3</v>
      </c>
      <c r="C28" t="s">
        <v>88</v>
      </c>
      <c r="D28" s="4">
        <v>120</v>
      </c>
      <c r="E28" s="4">
        <v>160</v>
      </c>
      <c r="F28" s="4">
        <v>210</v>
      </c>
    </row>
    <row r="29" spans="1:6" x14ac:dyDescent="0.35">
      <c r="A29">
        <v>4</v>
      </c>
      <c r="B29">
        <v>4</v>
      </c>
      <c r="C29" t="s">
        <v>89</v>
      </c>
      <c r="D29" s="4">
        <v>10</v>
      </c>
      <c r="E29" s="4">
        <v>15</v>
      </c>
      <c r="F29" s="4">
        <v>20</v>
      </c>
    </row>
    <row r="30" spans="1:6" x14ac:dyDescent="0.35">
      <c r="A30">
        <v>4</v>
      </c>
      <c r="B30">
        <v>5</v>
      </c>
      <c r="C30" t="s">
        <v>90</v>
      </c>
      <c r="D30" s="4">
        <v>0.6</v>
      </c>
      <c r="E30" s="4">
        <v>1.5</v>
      </c>
      <c r="F30" s="4">
        <v>5</v>
      </c>
    </row>
    <row r="31" spans="1:6" x14ac:dyDescent="0.35">
      <c r="A31">
        <v>4</v>
      </c>
      <c r="B31">
        <v>6</v>
      </c>
      <c r="C31" t="s">
        <v>91</v>
      </c>
      <c r="D31" s="4">
        <v>40</v>
      </c>
      <c r="E31" s="4">
        <v>45</v>
      </c>
      <c r="F31" s="4">
        <v>55</v>
      </c>
    </row>
    <row r="32" spans="1:6" x14ac:dyDescent="0.35">
      <c r="A32">
        <v>4</v>
      </c>
      <c r="B32">
        <v>7</v>
      </c>
      <c r="C32" t="s">
        <v>92</v>
      </c>
      <c r="D32" s="4">
        <v>15</v>
      </c>
      <c r="E32" s="4">
        <v>20</v>
      </c>
      <c r="F32" s="4">
        <v>30</v>
      </c>
    </row>
    <row r="33" spans="1:6" x14ac:dyDescent="0.35">
      <c r="A33">
        <v>4</v>
      </c>
      <c r="B33">
        <v>8</v>
      </c>
      <c r="C33" t="s">
        <v>93</v>
      </c>
      <c r="D33" s="4">
        <v>50</v>
      </c>
      <c r="E33" s="4">
        <v>75</v>
      </c>
      <c r="F33" s="4">
        <v>100</v>
      </c>
    </row>
    <row r="34" spans="1:6" x14ac:dyDescent="0.35">
      <c r="A34">
        <v>5</v>
      </c>
      <c r="B34">
        <v>1</v>
      </c>
      <c r="C34" t="s">
        <v>86</v>
      </c>
      <c r="D34" s="4">
        <v>5</v>
      </c>
      <c r="E34" s="4">
        <v>10</v>
      </c>
      <c r="F34" s="4">
        <v>25</v>
      </c>
    </row>
    <row r="35" spans="1:6" x14ac:dyDescent="0.35">
      <c r="A35">
        <v>5</v>
      </c>
      <c r="B35">
        <v>2</v>
      </c>
      <c r="C35" t="s">
        <v>87</v>
      </c>
      <c r="D35" s="4">
        <v>700</v>
      </c>
      <c r="E35" s="4">
        <v>1000</v>
      </c>
      <c r="F35" s="4">
        <v>1500</v>
      </c>
    </row>
    <row r="36" spans="1:6" x14ac:dyDescent="0.35">
      <c r="A36">
        <v>5</v>
      </c>
      <c r="B36">
        <v>3</v>
      </c>
      <c r="C36" t="s">
        <v>88</v>
      </c>
      <c r="D36" s="4">
        <v>1000</v>
      </c>
      <c r="E36" s="4">
        <v>2400</v>
      </c>
      <c r="F36" s="4">
        <v>3000</v>
      </c>
    </row>
    <row r="37" spans="1:6" x14ac:dyDescent="0.35">
      <c r="A37">
        <v>5</v>
      </c>
      <c r="B37">
        <v>4</v>
      </c>
      <c r="C37" t="s">
        <v>89</v>
      </c>
      <c r="D37" s="4">
        <v>1</v>
      </c>
      <c r="E37" s="4">
        <v>2</v>
      </c>
      <c r="F37" s="4">
        <v>3</v>
      </c>
    </row>
    <row r="38" spans="1:6" x14ac:dyDescent="0.35">
      <c r="A38">
        <v>5</v>
      </c>
      <c r="B38">
        <v>5</v>
      </c>
      <c r="C38" t="s">
        <v>90</v>
      </c>
      <c r="D38" s="4">
        <v>8</v>
      </c>
      <c r="E38" s="4">
        <v>10</v>
      </c>
      <c r="F38" s="4">
        <v>20</v>
      </c>
    </row>
    <row r="39" spans="1:6" x14ac:dyDescent="0.35">
      <c r="A39">
        <v>5</v>
      </c>
      <c r="B39">
        <v>6</v>
      </c>
      <c r="C39" t="s">
        <v>91</v>
      </c>
      <c r="D39" s="4">
        <v>42</v>
      </c>
      <c r="E39" s="4">
        <v>50</v>
      </c>
      <c r="F39" s="4">
        <v>58</v>
      </c>
    </row>
    <row r="40" spans="1:6" x14ac:dyDescent="0.35">
      <c r="A40">
        <v>5</v>
      </c>
      <c r="B40">
        <v>7</v>
      </c>
      <c r="C40" t="s">
        <v>92</v>
      </c>
      <c r="D40" s="4">
        <v>15</v>
      </c>
      <c r="E40" s="4">
        <v>25</v>
      </c>
      <c r="F40" s="4">
        <v>60</v>
      </c>
    </row>
    <row r="41" spans="1:6" x14ac:dyDescent="0.35">
      <c r="A41">
        <v>5</v>
      </c>
      <c r="B41">
        <v>8</v>
      </c>
      <c r="C41" t="s">
        <v>93</v>
      </c>
      <c r="D41" s="4">
        <v>1.5</v>
      </c>
      <c r="E41" s="4">
        <v>5</v>
      </c>
      <c r="F41" s="4">
        <v>10</v>
      </c>
    </row>
    <row r="42" spans="1:6" x14ac:dyDescent="0.35">
      <c r="A42">
        <v>6</v>
      </c>
      <c r="B42">
        <v>1</v>
      </c>
      <c r="C42" t="s">
        <v>86</v>
      </c>
      <c r="D42" s="4">
        <v>65</v>
      </c>
      <c r="E42" s="4">
        <v>180</v>
      </c>
      <c r="F42" s="4">
        <v>300</v>
      </c>
    </row>
    <row r="43" spans="1:6" x14ac:dyDescent="0.35">
      <c r="A43">
        <v>6</v>
      </c>
      <c r="B43">
        <v>2</v>
      </c>
      <c r="C43" t="s">
        <v>87</v>
      </c>
      <c r="D43" s="4">
        <v>150</v>
      </c>
      <c r="E43" s="4">
        <v>300</v>
      </c>
      <c r="F43" s="4">
        <v>1500</v>
      </c>
    </row>
    <row r="44" spans="1:6" x14ac:dyDescent="0.35">
      <c r="A44">
        <v>6</v>
      </c>
      <c r="B44">
        <v>3</v>
      </c>
      <c r="C44" t="s">
        <v>88</v>
      </c>
      <c r="D44" s="4">
        <v>300</v>
      </c>
      <c r="E44" s="4">
        <v>500</v>
      </c>
      <c r="F44" s="4">
        <v>900</v>
      </c>
    </row>
    <row r="45" spans="1:6" x14ac:dyDescent="0.35">
      <c r="A45">
        <v>6</v>
      </c>
      <c r="B45">
        <v>4</v>
      </c>
      <c r="C45" t="s">
        <v>89</v>
      </c>
      <c r="D45" s="4">
        <v>10</v>
      </c>
      <c r="E45" s="4">
        <v>20</v>
      </c>
      <c r="F45" s="4">
        <v>30</v>
      </c>
    </row>
    <row r="46" spans="1:6" x14ac:dyDescent="0.35">
      <c r="A46">
        <v>6</v>
      </c>
      <c r="B46">
        <v>5</v>
      </c>
      <c r="C46" t="s">
        <v>90</v>
      </c>
      <c r="D46" s="4">
        <v>1</v>
      </c>
      <c r="E46" s="4">
        <v>5</v>
      </c>
      <c r="F46" s="4">
        <v>20</v>
      </c>
    </row>
    <row r="47" spans="1:6" x14ac:dyDescent="0.35">
      <c r="A47">
        <v>6</v>
      </c>
      <c r="B47">
        <v>6</v>
      </c>
      <c r="C47" t="s">
        <v>91</v>
      </c>
      <c r="D47" s="4">
        <v>70</v>
      </c>
      <c r="E47" s="4">
        <v>85</v>
      </c>
      <c r="F47" s="4">
        <v>95</v>
      </c>
    </row>
    <row r="48" spans="1:6" x14ac:dyDescent="0.35">
      <c r="A48">
        <v>6</v>
      </c>
      <c r="B48">
        <v>7</v>
      </c>
      <c r="C48" t="s">
        <v>92</v>
      </c>
      <c r="D48" s="4">
        <v>15</v>
      </c>
      <c r="E48" s="4">
        <v>17.5</v>
      </c>
      <c r="F48" s="4">
        <v>23</v>
      </c>
    </row>
    <row r="49" spans="1:6" x14ac:dyDescent="0.35">
      <c r="A49">
        <v>6</v>
      </c>
      <c r="B49">
        <v>8</v>
      </c>
      <c r="C49" t="s">
        <v>93</v>
      </c>
      <c r="D49" s="4">
        <v>2</v>
      </c>
      <c r="E49" s="4">
        <v>4</v>
      </c>
      <c r="F49" s="4">
        <v>10</v>
      </c>
    </row>
    <row r="50" spans="1:6" x14ac:dyDescent="0.35">
      <c r="A50">
        <v>7</v>
      </c>
      <c r="B50">
        <v>1</v>
      </c>
      <c r="C50" t="s">
        <v>86</v>
      </c>
      <c r="D50" s="4">
        <v>200</v>
      </c>
      <c r="E50" s="4">
        <v>600</v>
      </c>
      <c r="F50" s="4">
        <v>1000</v>
      </c>
    </row>
    <row r="51" spans="1:6" x14ac:dyDescent="0.35">
      <c r="A51">
        <v>7</v>
      </c>
      <c r="B51">
        <v>2</v>
      </c>
      <c r="C51" t="s">
        <v>87</v>
      </c>
      <c r="D51" s="4">
        <v>550</v>
      </c>
      <c r="E51" s="4">
        <v>600</v>
      </c>
      <c r="F51" s="4">
        <v>650</v>
      </c>
    </row>
    <row r="52" spans="1:6" x14ac:dyDescent="0.35">
      <c r="A52">
        <v>7</v>
      </c>
      <c r="B52">
        <v>3</v>
      </c>
      <c r="C52" t="s">
        <v>88</v>
      </c>
      <c r="D52" s="4">
        <v>80</v>
      </c>
      <c r="E52" s="4">
        <v>130</v>
      </c>
      <c r="F52" s="4">
        <v>170</v>
      </c>
    </row>
    <row r="53" spans="1:6" x14ac:dyDescent="0.35">
      <c r="A53">
        <v>7</v>
      </c>
      <c r="B53">
        <v>4</v>
      </c>
      <c r="C53" t="s">
        <v>89</v>
      </c>
      <c r="D53" s="4">
        <v>15</v>
      </c>
      <c r="E53" s="4">
        <v>20</v>
      </c>
      <c r="F53" s="4">
        <v>25</v>
      </c>
    </row>
    <row r="54" spans="1:6" x14ac:dyDescent="0.35">
      <c r="A54">
        <v>7</v>
      </c>
      <c r="B54">
        <v>5</v>
      </c>
      <c r="C54" t="s">
        <v>90</v>
      </c>
      <c r="D54" s="4">
        <v>5</v>
      </c>
      <c r="E54" s="4">
        <v>10</v>
      </c>
      <c r="F54" s="4">
        <v>15</v>
      </c>
    </row>
    <row r="55" spans="1:6" x14ac:dyDescent="0.35">
      <c r="A55">
        <v>7</v>
      </c>
      <c r="B55">
        <v>6</v>
      </c>
      <c r="C55" t="s">
        <v>91</v>
      </c>
      <c r="D55" s="4">
        <v>38</v>
      </c>
      <c r="E55" s="4">
        <v>39</v>
      </c>
      <c r="F55" s="4">
        <v>40</v>
      </c>
    </row>
    <row r="56" spans="1:6" x14ac:dyDescent="0.35">
      <c r="A56">
        <v>7</v>
      </c>
      <c r="B56">
        <v>7</v>
      </c>
      <c r="C56" t="s">
        <v>92</v>
      </c>
      <c r="D56" s="4">
        <v>40</v>
      </c>
      <c r="E56" s="4">
        <v>55</v>
      </c>
      <c r="F56" s="4">
        <v>70</v>
      </c>
    </row>
    <row r="57" spans="1:6" x14ac:dyDescent="0.35">
      <c r="A57">
        <v>7</v>
      </c>
      <c r="B57">
        <v>8</v>
      </c>
      <c r="C57" t="s">
        <v>93</v>
      </c>
      <c r="D57" s="4">
        <v>2</v>
      </c>
      <c r="E57" s="4">
        <v>4</v>
      </c>
      <c r="F57" s="4">
        <v>5</v>
      </c>
    </row>
    <row r="58" spans="1:6" x14ac:dyDescent="0.35">
      <c r="A58">
        <v>8</v>
      </c>
      <c r="B58">
        <v>1</v>
      </c>
      <c r="C58" t="s">
        <v>86</v>
      </c>
      <c r="D58" s="4">
        <v>50</v>
      </c>
      <c r="E58" s="4">
        <v>100</v>
      </c>
      <c r="F58" s="4">
        <v>300</v>
      </c>
    </row>
    <row r="59" spans="1:6" x14ac:dyDescent="0.35">
      <c r="A59">
        <v>8</v>
      </c>
      <c r="B59">
        <v>2</v>
      </c>
      <c r="C59" t="s">
        <v>87</v>
      </c>
      <c r="D59" s="4">
        <v>50</v>
      </c>
      <c r="E59" s="4">
        <v>300</v>
      </c>
      <c r="F59" s="4">
        <v>1000</v>
      </c>
    </row>
    <row r="60" spans="1:6" x14ac:dyDescent="0.35">
      <c r="A60">
        <v>8</v>
      </c>
      <c r="B60">
        <v>3</v>
      </c>
      <c r="C60" t="s">
        <v>88</v>
      </c>
      <c r="D60" s="4">
        <v>100</v>
      </c>
      <c r="E60" s="4">
        <v>600</v>
      </c>
      <c r="F60" s="4">
        <v>1000</v>
      </c>
    </row>
    <row r="61" spans="1:6" x14ac:dyDescent="0.35">
      <c r="A61">
        <v>8</v>
      </c>
      <c r="B61">
        <v>4</v>
      </c>
      <c r="C61" t="s">
        <v>89</v>
      </c>
      <c r="D61" s="4">
        <v>1</v>
      </c>
      <c r="E61" s="4">
        <v>2</v>
      </c>
      <c r="F61" s="4">
        <v>5</v>
      </c>
    </row>
    <row r="62" spans="1:6" x14ac:dyDescent="0.35">
      <c r="A62">
        <v>8</v>
      </c>
      <c r="B62">
        <v>5</v>
      </c>
      <c r="C62" t="s">
        <v>90</v>
      </c>
      <c r="D62" s="4">
        <v>8.6999999999999993</v>
      </c>
      <c r="E62" s="4">
        <v>30</v>
      </c>
      <c r="F62" s="4">
        <v>67</v>
      </c>
    </row>
    <row r="63" spans="1:6" x14ac:dyDescent="0.35">
      <c r="A63">
        <v>8</v>
      </c>
      <c r="B63">
        <v>6</v>
      </c>
      <c r="C63" t="s">
        <v>91</v>
      </c>
      <c r="D63" s="4">
        <v>50</v>
      </c>
      <c r="E63" s="4">
        <v>60</v>
      </c>
      <c r="F63" s="4">
        <v>70</v>
      </c>
    </row>
    <row r="64" spans="1:6" x14ac:dyDescent="0.35">
      <c r="A64">
        <v>8</v>
      </c>
      <c r="B64">
        <v>7</v>
      </c>
      <c r="C64" t="s">
        <v>92</v>
      </c>
      <c r="D64" s="4">
        <v>25</v>
      </c>
      <c r="E64" s="4">
        <v>30</v>
      </c>
      <c r="F64" s="4">
        <v>45</v>
      </c>
    </row>
    <row r="65" spans="1:6" x14ac:dyDescent="0.35">
      <c r="A65">
        <v>8</v>
      </c>
      <c r="B65">
        <v>8</v>
      </c>
      <c r="C65" t="s">
        <v>93</v>
      </c>
      <c r="D65" s="4">
        <v>1.5</v>
      </c>
      <c r="E65" s="4">
        <v>7</v>
      </c>
      <c r="F65" s="4">
        <v>10</v>
      </c>
    </row>
    <row r="66" spans="1:6" x14ac:dyDescent="0.35">
      <c r="A66">
        <v>9</v>
      </c>
      <c r="B66">
        <v>1</v>
      </c>
      <c r="C66" t="s">
        <v>86</v>
      </c>
      <c r="D66" s="4">
        <v>32.700000000000003</v>
      </c>
      <c r="E66" s="4">
        <v>65.5</v>
      </c>
      <c r="F66" s="4">
        <v>98.2</v>
      </c>
    </row>
    <row r="67" spans="1:6" x14ac:dyDescent="0.35">
      <c r="A67">
        <v>9</v>
      </c>
      <c r="B67">
        <v>2</v>
      </c>
      <c r="C67" t="s">
        <v>87</v>
      </c>
      <c r="D67" s="4">
        <v>100</v>
      </c>
      <c r="E67" s="4">
        <v>150</v>
      </c>
      <c r="F67" s="4">
        <v>200</v>
      </c>
    </row>
    <row r="68" spans="1:6" x14ac:dyDescent="0.35">
      <c r="A68">
        <v>9</v>
      </c>
      <c r="B68">
        <v>3</v>
      </c>
      <c r="C68" t="s">
        <v>88</v>
      </c>
      <c r="D68" s="4">
        <v>200</v>
      </c>
      <c r="E68" s="4">
        <v>240</v>
      </c>
      <c r="F68" s="4">
        <v>350</v>
      </c>
    </row>
    <row r="69" spans="1:6" x14ac:dyDescent="0.35">
      <c r="A69">
        <v>9</v>
      </c>
      <c r="B69">
        <v>4</v>
      </c>
      <c r="C69" t="s">
        <v>89</v>
      </c>
      <c r="D69" s="4">
        <v>50</v>
      </c>
      <c r="E69" s="4">
        <v>100</v>
      </c>
      <c r="F69" s="4">
        <v>150</v>
      </c>
    </row>
    <row r="70" spans="1:6" x14ac:dyDescent="0.35">
      <c r="A70">
        <v>9</v>
      </c>
      <c r="B70">
        <v>5</v>
      </c>
      <c r="C70" t="s">
        <v>90</v>
      </c>
      <c r="D70" s="4">
        <v>2</v>
      </c>
      <c r="E70" s="4">
        <v>5</v>
      </c>
      <c r="F70" s="4">
        <v>15</v>
      </c>
    </row>
    <row r="71" spans="1:6" x14ac:dyDescent="0.35">
      <c r="A71">
        <v>9</v>
      </c>
      <c r="B71">
        <v>6</v>
      </c>
      <c r="C71" t="s">
        <v>91</v>
      </c>
      <c r="D71" s="4">
        <v>50</v>
      </c>
      <c r="E71" s="4">
        <v>60</v>
      </c>
      <c r="F71" s="4">
        <v>84</v>
      </c>
    </row>
    <row r="72" spans="1:6" x14ac:dyDescent="0.35">
      <c r="A72">
        <v>9</v>
      </c>
      <c r="B72">
        <v>7</v>
      </c>
      <c r="C72" t="s">
        <v>92</v>
      </c>
      <c r="D72" s="4">
        <v>20</v>
      </c>
      <c r="E72" s="4">
        <v>25</v>
      </c>
      <c r="F72" s="4">
        <v>35</v>
      </c>
    </row>
    <row r="73" spans="1:6" x14ac:dyDescent="0.35">
      <c r="A73">
        <v>9</v>
      </c>
      <c r="B73">
        <v>8</v>
      </c>
      <c r="C73" t="s">
        <v>93</v>
      </c>
      <c r="D73" s="4">
        <v>1</v>
      </c>
      <c r="E73" s="4">
        <v>3</v>
      </c>
      <c r="F73" s="4">
        <v>10</v>
      </c>
    </row>
    <row r="74" spans="1:6" x14ac:dyDescent="0.35">
      <c r="A74">
        <v>10</v>
      </c>
      <c r="B74">
        <v>1</v>
      </c>
      <c r="C74" t="s">
        <v>86</v>
      </c>
      <c r="D74" s="4">
        <v>20</v>
      </c>
      <c r="E74" s="4">
        <v>80</v>
      </c>
      <c r="F74" s="4">
        <v>140</v>
      </c>
    </row>
    <row r="75" spans="1:6" x14ac:dyDescent="0.35">
      <c r="A75">
        <v>10</v>
      </c>
      <c r="B75">
        <v>2</v>
      </c>
      <c r="C75" t="s">
        <v>87</v>
      </c>
      <c r="D75" s="4">
        <v>300</v>
      </c>
      <c r="E75" s="4">
        <v>500</v>
      </c>
      <c r="F75" s="4">
        <v>700</v>
      </c>
    </row>
    <row r="76" spans="1:6" x14ac:dyDescent="0.35">
      <c r="A76">
        <v>10</v>
      </c>
      <c r="B76">
        <v>3</v>
      </c>
      <c r="C76" t="s">
        <v>88</v>
      </c>
      <c r="D76" s="4">
        <v>150</v>
      </c>
      <c r="E76" s="4">
        <v>400</v>
      </c>
      <c r="F76" s="4">
        <v>800</v>
      </c>
    </row>
    <row r="77" spans="1:6" x14ac:dyDescent="0.35">
      <c r="A77">
        <v>10</v>
      </c>
      <c r="B77">
        <v>4</v>
      </c>
      <c r="C77" t="s">
        <v>89</v>
      </c>
      <c r="D77" s="4">
        <v>8</v>
      </c>
      <c r="E77" s="4">
        <v>15</v>
      </c>
      <c r="F77" s="4">
        <v>25</v>
      </c>
    </row>
    <row r="78" spans="1:6" x14ac:dyDescent="0.35">
      <c r="A78">
        <v>10</v>
      </c>
      <c r="B78">
        <v>5</v>
      </c>
      <c r="C78" t="s">
        <v>90</v>
      </c>
      <c r="D78" s="4">
        <v>10</v>
      </c>
      <c r="E78" s="4">
        <v>40</v>
      </c>
      <c r="F78" s="4">
        <v>70</v>
      </c>
    </row>
    <row r="79" spans="1:6" x14ac:dyDescent="0.35">
      <c r="A79">
        <v>10</v>
      </c>
      <c r="B79">
        <v>6</v>
      </c>
      <c r="C79" t="s">
        <v>91</v>
      </c>
      <c r="D79" s="4">
        <v>55</v>
      </c>
      <c r="E79" s="4">
        <v>75</v>
      </c>
      <c r="F79" s="4">
        <v>85</v>
      </c>
    </row>
    <row r="80" spans="1:6" x14ac:dyDescent="0.35">
      <c r="A80">
        <v>10</v>
      </c>
      <c r="B80">
        <v>7</v>
      </c>
      <c r="C80" t="s">
        <v>92</v>
      </c>
      <c r="D80" s="4">
        <v>17</v>
      </c>
      <c r="E80" s="4">
        <v>20</v>
      </c>
      <c r="F80" s="4">
        <v>30</v>
      </c>
    </row>
    <row r="81" spans="1:6" x14ac:dyDescent="0.35">
      <c r="A81">
        <v>10</v>
      </c>
      <c r="B81">
        <v>8</v>
      </c>
      <c r="C81" t="s">
        <v>93</v>
      </c>
      <c r="D81" s="4">
        <v>1.8</v>
      </c>
      <c r="E81" s="4">
        <v>5</v>
      </c>
      <c r="F81" s="4">
        <v>15</v>
      </c>
    </row>
    <row r="82" spans="1:6" x14ac:dyDescent="0.35">
      <c r="A82">
        <v>11</v>
      </c>
      <c r="B82">
        <v>1</v>
      </c>
      <c r="C82" t="s">
        <v>86</v>
      </c>
      <c r="D82" s="4">
        <v>20</v>
      </c>
      <c r="E82" s="4">
        <v>65</v>
      </c>
      <c r="F82" s="4">
        <v>100</v>
      </c>
    </row>
    <row r="83" spans="1:6" x14ac:dyDescent="0.35">
      <c r="A83">
        <v>11</v>
      </c>
      <c r="B83">
        <v>2</v>
      </c>
      <c r="C83" t="s">
        <v>87</v>
      </c>
      <c r="D83" s="4">
        <v>10</v>
      </c>
      <c r="E83" s="4">
        <v>15</v>
      </c>
      <c r="F83" s="4">
        <v>20</v>
      </c>
    </row>
    <row r="84" spans="1:6" x14ac:dyDescent="0.35">
      <c r="A84">
        <v>11</v>
      </c>
      <c r="B84">
        <v>3</v>
      </c>
      <c r="C84" t="s">
        <v>88</v>
      </c>
      <c r="D84" s="4">
        <v>150</v>
      </c>
      <c r="E84" s="4">
        <v>200</v>
      </c>
      <c r="F84" s="4">
        <v>300</v>
      </c>
    </row>
    <row r="85" spans="1:6" x14ac:dyDescent="0.35">
      <c r="A85">
        <v>11</v>
      </c>
      <c r="B85">
        <v>4</v>
      </c>
      <c r="C85" t="s">
        <v>89</v>
      </c>
      <c r="D85" s="4">
        <v>2</v>
      </c>
      <c r="E85" s="4">
        <v>5</v>
      </c>
      <c r="F85" s="4">
        <v>10</v>
      </c>
    </row>
    <row r="86" spans="1:6" x14ac:dyDescent="0.35">
      <c r="A86">
        <v>11</v>
      </c>
      <c r="B86">
        <v>5</v>
      </c>
      <c r="C86" t="s">
        <v>90</v>
      </c>
      <c r="D86" s="4">
        <v>0.1</v>
      </c>
      <c r="E86" s="4">
        <v>0.8</v>
      </c>
      <c r="F86" s="4">
        <v>2</v>
      </c>
    </row>
    <row r="87" spans="1:6" x14ac:dyDescent="0.35">
      <c r="A87">
        <v>11</v>
      </c>
      <c r="B87">
        <v>6</v>
      </c>
      <c r="C87" t="s">
        <v>91</v>
      </c>
      <c r="D87" s="4">
        <v>38</v>
      </c>
      <c r="E87" s="4">
        <v>42</v>
      </c>
      <c r="F87" s="4">
        <v>46</v>
      </c>
    </row>
    <row r="88" spans="1:6" x14ac:dyDescent="0.35">
      <c r="A88">
        <v>11</v>
      </c>
      <c r="B88">
        <v>7</v>
      </c>
      <c r="C88" t="s">
        <v>92</v>
      </c>
      <c r="D88" s="4">
        <v>15</v>
      </c>
      <c r="E88" s="4">
        <v>25</v>
      </c>
      <c r="F88" s="4">
        <v>35</v>
      </c>
    </row>
    <row r="89" spans="1:6" x14ac:dyDescent="0.35">
      <c r="A89">
        <v>11</v>
      </c>
      <c r="B89">
        <v>8</v>
      </c>
      <c r="C89" t="s">
        <v>93</v>
      </c>
      <c r="D89" s="4">
        <v>50</v>
      </c>
      <c r="E89" s="4">
        <v>100</v>
      </c>
      <c r="F89" s="4">
        <v>1000</v>
      </c>
    </row>
    <row r="90" spans="1:6" x14ac:dyDescent="0.35">
      <c r="A90">
        <v>12</v>
      </c>
      <c r="B90">
        <v>1</v>
      </c>
      <c r="C90" t="s">
        <v>86</v>
      </c>
      <c r="D90" s="4">
        <v>100</v>
      </c>
      <c r="E90" s="4">
        <v>300</v>
      </c>
      <c r="F90" s="4">
        <v>500</v>
      </c>
    </row>
    <row r="91" spans="1:6" x14ac:dyDescent="0.35">
      <c r="A91">
        <v>12</v>
      </c>
      <c r="B91">
        <v>2</v>
      </c>
      <c r="C91" t="s">
        <v>87</v>
      </c>
      <c r="D91" s="4">
        <v>100</v>
      </c>
      <c r="E91" s="4">
        <v>1000</v>
      </c>
      <c r="F91" s="4">
        <v>10000</v>
      </c>
    </row>
    <row r="92" spans="1:6" x14ac:dyDescent="0.35">
      <c r="A92">
        <v>12</v>
      </c>
      <c r="B92">
        <v>3</v>
      </c>
      <c r="C92" t="s">
        <v>88</v>
      </c>
      <c r="D92" s="4">
        <v>100</v>
      </c>
      <c r="E92" s="4">
        <v>200</v>
      </c>
      <c r="F92" s="4">
        <v>500</v>
      </c>
    </row>
    <row r="93" spans="1:6" x14ac:dyDescent="0.35">
      <c r="A93">
        <v>12</v>
      </c>
      <c r="B93">
        <v>4</v>
      </c>
      <c r="C93" t="s">
        <v>89</v>
      </c>
      <c r="D93" s="4">
        <v>5</v>
      </c>
      <c r="E93" s="4">
        <v>15</v>
      </c>
      <c r="F93" s="4">
        <v>30</v>
      </c>
    </row>
    <row r="94" spans="1:6" x14ac:dyDescent="0.35">
      <c r="A94">
        <v>12</v>
      </c>
      <c r="B94">
        <v>5</v>
      </c>
      <c r="C94" t="s">
        <v>90</v>
      </c>
      <c r="D94" s="4">
        <v>5</v>
      </c>
      <c r="E94" s="4">
        <v>10</v>
      </c>
      <c r="F94" s="4">
        <v>50</v>
      </c>
    </row>
    <row r="95" spans="1:6" x14ac:dyDescent="0.35">
      <c r="A95">
        <v>12</v>
      </c>
      <c r="B95">
        <v>6</v>
      </c>
      <c r="C95" t="s">
        <v>91</v>
      </c>
      <c r="D95" s="4">
        <v>50</v>
      </c>
      <c r="E95" s="4">
        <v>70</v>
      </c>
      <c r="F95" s="4">
        <v>90</v>
      </c>
    </row>
    <row r="96" spans="1:6" x14ac:dyDescent="0.35">
      <c r="A96">
        <v>12</v>
      </c>
      <c r="B96">
        <v>7</v>
      </c>
      <c r="C96" t="s">
        <v>92</v>
      </c>
      <c r="D96" s="4">
        <v>15</v>
      </c>
      <c r="E96" s="4">
        <v>25</v>
      </c>
      <c r="F96" s="4">
        <v>40</v>
      </c>
    </row>
    <row r="97" spans="1:6" x14ac:dyDescent="0.35">
      <c r="A97">
        <v>12</v>
      </c>
      <c r="B97">
        <v>8</v>
      </c>
      <c r="C97" t="s">
        <v>93</v>
      </c>
      <c r="D97" s="4">
        <v>1</v>
      </c>
      <c r="E97" s="4">
        <v>10</v>
      </c>
      <c r="F97" s="4">
        <v>100</v>
      </c>
    </row>
    <row r="98" spans="1:6" x14ac:dyDescent="0.35">
      <c r="A98">
        <v>13</v>
      </c>
      <c r="B98">
        <v>1</v>
      </c>
      <c r="C98" t="s">
        <v>86</v>
      </c>
      <c r="D98" s="4">
        <v>20</v>
      </c>
      <c r="E98" s="4">
        <v>65.5</v>
      </c>
      <c r="F98" s="4">
        <v>200</v>
      </c>
    </row>
    <row r="99" spans="1:6" x14ac:dyDescent="0.35">
      <c r="A99">
        <v>13</v>
      </c>
      <c r="B99">
        <v>2</v>
      </c>
      <c r="C99" t="s">
        <v>87</v>
      </c>
      <c r="D99" s="4">
        <v>100</v>
      </c>
      <c r="E99" s="4">
        <v>200</v>
      </c>
      <c r="F99" s="4">
        <v>300</v>
      </c>
    </row>
    <row r="100" spans="1:6" x14ac:dyDescent="0.35">
      <c r="A100">
        <v>13</v>
      </c>
      <c r="B100">
        <v>3</v>
      </c>
      <c r="C100" t="s">
        <v>88</v>
      </c>
      <c r="D100" s="4">
        <v>30</v>
      </c>
      <c r="E100" s="4">
        <v>60</v>
      </c>
      <c r="F100" s="4">
        <v>120</v>
      </c>
    </row>
    <row r="101" spans="1:6" x14ac:dyDescent="0.35">
      <c r="A101">
        <v>13</v>
      </c>
      <c r="B101">
        <v>4</v>
      </c>
      <c r="C101" t="s">
        <v>89</v>
      </c>
      <c r="D101" s="4">
        <v>0.05</v>
      </c>
      <c r="E101" s="4">
        <v>0.2</v>
      </c>
      <c r="F101" s="4">
        <v>1</v>
      </c>
    </row>
    <row r="102" spans="1:6" x14ac:dyDescent="0.35">
      <c r="A102">
        <v>13</v>
      </c>
      <c r="B102">
        <v>5</v>
      </c>
      <c r="C102" t="s">
        <v>90</v>
      </c>
      <c r="D102" s="4">
        <v>4</v>
      </c>
      <c r="E102" s="4">
        <v>9</v>
      </c>
      <c r="F102" s="4">
        <v>20</v>
      </c>
    </row>
    <row r="103" spans="1:6" x14ac:dyDescent="0.35">
      <c r="A103">
        <v>13</v>
      </c>
      <c r="B103">
        <v>6</v>
      </c>
      <c r="C103" t="s">
        <v>91</v>
      </c>
      <c r="D103" s="4">
        <v>85</v>
      </c>
      <c r="E103" s="4">
        <v>90</v>
      </c>
      <c r="F103" s="4">
        <v>95</v>
      </c>
    </row>
    <row r="104" spans="1:6" x14ac:dyDescent="0.35">
      <c r="A104">
        <v>13</v>
      </c>
      <c r="B104">
        <v>7</v>
      </c>
      <c r="C104" t="s">
        <v>92</v>
      </c>
      <c r="D104" s="4">
        <v>20</v>
      </c>
      <c r="E104" s="4">
        <v>25</v>
      </c>
      <c r="F104" s="4">
        <v>35</v>
      </c>
    </row>
    <row r="105" spans="1:6" x14ac:dyDescent="0.35">
      <c r="A105">
        <v>13</v>
      </c>
      <c r="B105">
        <v>8</v>
      </c>
      <c r="C105" t="s">
        <v>93</v>
      </c>
      <c r="D105" s="4">
        <v>1.1000000000000001</v>
      </c>
      <c r="E105" s="4">
        <v>1.2</v>
      </c>
      <c r="F105" s="4">
        <v>1.4</v>
      </c>
    </row>
    <row r="106" spans="1:6" x14ac:dyDescent="0.35">
      <c r="A106">
        <v>14</v>
      </c>
      <c r="B106">
        <v>1</v>
      </c>
      <c r="C106" t="s">
        <v>86</v>
      </c>
      <c r="D106" s="4">
        <v>50</v>
      </c>
      <c r="E106" s="4">
        <v>65</v>
      </c>
      <c r="F106" s="4">
        <v>80</v>
      </c>
    </row>
    <row r="107" spans="1:6" x14ac:dyDescent="0.35">
      <c r="A107">
        <v>14</v>
      </c>
      <c r="B107">
        <v>2</v>
      </c>
      <c r="C107" t="s">
        <v>87</v>
      </c>
      <c r="D107" s="4">
        <v>400</v>
      </c>
      <c r="E107" s="4">
        <v>500</v>
      </c>
      <c r="F107" s="4">
        <v>650</v>
      </c>
    </row>
    <row r="108" spans="1:6" x14ac:dyDescent="0.35">
      <c r="A108">
        <v>14</v>
      </c>
      <c r="B108">
        <v>3</v>
      </c>
      <c r="C108" t="s">
        <v>88</v>
      </c>
      <c r="D108" s="4">
        <v>200</v>
      </c>
      <c r="E108" s="4">
        <v>330</v>
      </c>
      <c r="F108" s="4">
        <v>400</v>
      </c>
    </row>
    <row r="109" spans="1:6" x14ac:dyDescent="0.35">
      <c r="A109">
        <v>14</v>
      </c>
      <c r="B109">
        <v>4</v>
      </c>
      <c r="C109" t="s">
        <v>89</v>
      </c>
      <c r="D109" s="4">
        <v>5</v>
      </c>
      <c r="E109" s="4">
        <v>10</v>
      </c>
      <c r="F109" s="4">
        <v>25</v>
      </c>
    </row>
    <row r="110" spans="1:6" x14ac:dyDescent="0.35">
      <c r="A110">
        <v>14</v>
      </c>
      <c r="B110">
        <v>5</v>
      </c>
      <c r="C110" t="s">
        <v>90</v>
      </c>
      <c r="D110" s="4">
        <v>0.8</v>
      </c>
      <c r="E110" s="4">
        <v>1.2</v>
      </c>
      <c r="F110" s="4">
        <v>25</v>
      </c>
    </row>
    <row r="111" spans="1:6" x14ac:dyDescent="0.35">
      <c r="A111">
        <v>14</v>
      </c>
      <c r="B111">
        <v>6</v>
      </c>
      <c r="C111" t="s">
        <v>91</v>
      </c>
      <c r="D111" s="4">
        <v>30</v>
      </c>
      <c r="E111" s="4">
        <v>42</v>
      </c>
      <c r="F111" s="4">
        <v>60</v>
      </c>
    </row>
    <row r="112" spans="1:6" x14ac:dyDescent="0.35">
      <c r="A112">
        <v>14</v>
      </c>
      <c r="B112">
        <v>7</v>
      </c>
      <c r="C112" t="s">
        <v>92</v>
      </c>
      <c r="D112" s="4">
        <v>13</v>
      </c>
      <c r="E112" s="4">
        <v>26</v>
      </c>
      <c r="F112" s="4">
        <v>30</v>
      </c>
    </row>
    <row r="113" spans="1:6" x14ac:dyDescent="0.35">
      <c r="A113">
        <v>14</v>
      </c>
      <c r="B113">
        <v>8</v>
      </c>
      <c r="C113" t="s">
        <v>93</v>
      </c>
      <c r="D113" s="4">
        <v>1</v>
      </c>
      <c r="E113" s="4">
        <v>20</v>
      </c>
      <c r="F113" s="4">
        <v>50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0"/>
  <dimension ref="A1:P151"/>
  <sheetViews>
    <sheetView workbookViewId="0"/>
  </sheetViews>
  <sheetFormatPr defaultRowHeight="14.5" x14ac:dyDescent="0.35"/>
  <sheetData>
    <row r="1" spans="1:16" x14ac:dyDescent="0.35">
      <c r="A1" t="s">
        <v>109</v>
      </c>
      <c r="H1" t="s">
        <v>58</v>
      </c>
      <c r="K1" s="7" t="s">
        <v>13</v>
      </c>
      <c r="L1" s="7" t="s">
        <v>14</v>
      </c>
      <c r="M1" s="7" t="s">
        <v>12</v>
      </c>
      <c r="N1" s="7" t="s">
        <v>193</v>
      </c>
      <c r="O1" s="7" t="s">
        <v>194</v>
      </c>
      <c r="P1" s="7" t="s">
        <v>195</v>
      </c>
    </row>
    <row r="2" spans="1:16" x14ac:dyDescent="0.35">
      <c r="A2">
        <v>1</v>
      </c>
      <c r="B2">
        <v>1</v>
      </c>
      <c r="C2" t="s">
        <v>94</v>
      </c>
      <c r="D2" s="4">
        <v>0.7</v>
      </c>
      <c r="E2" s="4">
        <v>1.7</v>
      </c>
      <c r="F2" s="4">
        <v>2.2000000000000002</v>
      </c>
      <c r="H2" s="4">
        <v>1.42</v>
      </c>
      <c r="K2" s="7">
        <v>0.22678421155317854</v>
      </c>
      <c r="L2" s="7">
        <v>0.24629560654569407</v>
      </c>
      <c r="M2" s="7">
        <v>0.66082864166449018</v>
      </c>
      <c r="N2" s="7">
        <v>0.86599999999999999</v>
      </c>
      <c r="O2" s="7">
        <v>0.70299999999999996</v>
      </c>
      <c r="P2" s="7">
        <v>0.748</v>
      </c>
    </row>
    <row r="3" spans="1:16" x14ac:dyDescent="0.35">
      <c r="A3">
        <v>1</v>
      </c>
      <c r="B3">
        <v>2</v>
      </c>
      <c r="C3" t="s">
        <v>95</v>
      </c>
      <c r="D3" s="4">
        <v>5.0000000000000001E-3</v>
      </c>
      <c r="E3" s="4">
        <v>0.05</v>
      </c>
      <c r="F3" s="4">
        <v>0.18</v>
      </c>
      <c r="H3" s="4">
        <v>9.1999999999999998E-2</v>
      </c>
    </row>
    <row r="4" spans="1:16" x14ac:dyDescent="0.35">
      <c r="A4">
        <v>1</v>
      </c>
      <c r="B4">
        <v>3</v>
      </c>
      <c r="C4" t="s">
        <v>96</v>
      </c>
      <c r="D4" s="4">
        <v>0.2</v>
      </c>
      <c r="E4" s="4">
        <v>0.65</v>
      </c>
      <c r="F4" s="4">
        <v>1.1000000000000001</v>
      </c>
      <c r="H4" s="4">
        <v>0.65300000000000002</v>
      </c>
    </row>
    <row r="5" spans="1:16" x14ac:dyDescent="0.35">
      <c r="A5">
        <v>1</v>
      </c>
      <c r="B5">
        <v>4</v>
      </c>
      <c r="C5" t="s">
        <v>97</v>
      </c>
      <c r="D5" s="4">
        <v>0.03</v>
      </c>
      <c r="E5" s="4">
        <v>0.1</v>
      </c>
      <c r="F5" s="4">
        <v>0.4</v>
      </c>
      <c r="H5" s="4">
        <v>0.27400000000000002</v>
      </c>
    </row>
    <row r="6" spans="1:16" x14ac:dyDescent="0.35">
      <c r="A6">
        <v>1</v>
      </c>
      <c r="B6">
        <v>5</v>
      </c>
      <c r="C6" t="s">
        <v>98</v>
      </c>
      <c r="D6" s="4">
        <v>25</v>
      </c>
      <c r="E6" s="4">
        <v>60</v>
      </c>
      <c r="F6" s="4">
        <v>85</v>
      </c>
      <c r="H6" s="4">
        <v>98</v>
      </c>
    </row>
    <row r="7" spans="1:16" x14ac:dyDescent="0.35">
      <c r="A7">
        <v>1</v>
      </c>
      <c r="B7">
        <v>6</v>
      </c>
      <c r="C7" t="s">
        <v>99</v>
      </c>
      <c r="D7" s="4">
        <v>5</v>
      </c>
      <c r="E7" s="4">
        <v>15</v>
      </c>
      <c r="F7" s="4">
        <v>40</v>
      </c>
      <c r="H7" s="4">
        <v>84.4</v>
      </c>
    </row>
    <row r="8" spans="1:16" x14ac:dyDescent="0.35">
      <c r="A8">
        <v>1</v>
      </c>
      <c r="B8">
        <v>7</v>
      </c>
      <c r="C8" t="s">
        <v>100</v>
      </c>
      <c r="D8" s="4">
        <v>15</v>
      </c>
      <c r="E8" s="4">
        <v>45</v>
      </c>
      <c r="F8" s="4">
        <v>60</v>
      </c>
      <c r="H8" s="4">
        <v>76.11</v>
      </c>
    </row>
    <row r="9" spans="1:16" x14ac:dyDescent="0.35">
      <c r="A9">
        <v>1</v>
      </c>
      <c r="B9">
        <v>8</v>
      </c>
      <c r="C9" t="s">
        <v>101</v>
      </c>
      <c r="D9" s="4">
        <v>5</v>
      </c>
      <c r="E9" s="4">
        <v>15</v>
      </c>
      <c r="F9" s="4">
        <v>30</v>
      </c>
      <c r="H9" s="4">
        <v>2.59</v>
      </c>
    </row>
    <row r="10" spans="1:16" x14ac:dyDescent="0.35">
      <c r="A10">
        <v>1</v>
      </c>
      <c r="B10">
        <v>9</v>
      </c>
      <c r="C10" t="s">
        <v>102</v>
      </c>
      <c r="D10" s="4">
        <v>10</v>
      </c>
      <c r="E10" s="4">
        <v>25</v>
      </c>
      <c r="F10" s="4">
        <v>40</v>
      </c>
      <c r="H10" s="4">
        <v>34.700000000000003</v>
      </c>
    </row>
    <row r="11" spans="1:16" x14ac:dyDescent="0.35">
      <c r="A11">
        <v>1</v>
      </c>
      <c r="B11">
        <v>10</v>
      </c>
      <c r="C11" t="s">
        <v>103</v>
      </c>
      <c r="D11" s="4">
        <v>5</v>
      </c>
      <c r="E11" s="4">
        <v>20</v>
      </c>
      <c r="F11" s="4">
        <v>40</v>
      </c>
      <c r="H11" s="4">
        <v>10.6</v>
      </c>
    </row>
    <row r="12" spans="1:16" x14ac:dyDescent="0.35">
      <c r="A12">
        <v>1</v>
      </c>
      <c r="B12">
        <v>11</v>
      </c>
      <c r="C12" t="s">
        <v>104</v>
      </c>
      <c r="D12" s="4">
        <v>10</v>
      </c>
      <c r="E12" s="4">
        <v>30</v>
      </c>
      <c r="F12" s="4">
        <v>60</v>
      </c>
      <c r="H12" s="4">
        <v>11.93</v>
      </c>
    </row>
    <row r="13" spans="1:16" x14ac:dyDescent="0.35">
      <c r="A13">
        <v>1</v>
      </c>
      <c r="B13">
        <v>12</v>
      </c>
      <c r="C13" t="s">
        <v>105</v>
      </c>
      <c r="D13" s="4">
        <v>1</v>
      </c>
      <c r="E13" s="4">
        <v>10</v>
      </c>
      <c r="F13" s="4">
        <v>35</v>
      </c>
      <c r="H13" s="4">
        <v>0.68</v>
      </c>
    </row>
    <row r="14" spans="1:16" x14ac:dyDescent="0.35">
      <c r="A14">
        <v>1</v>
      </c>
      <c r="B14">
        <v>13</v>
      </c>
      <c r="C14" t="s">
        <v>106</v>
      </c>
      <c r="D14" s="4">
        <v>5</v>
      </c>
      <c r="E14" s="4">
        <v>40</v>
      </c>
      <c r="F14" s="4">
        <v>70</v>
      </c>
      <c r="H14" s="4">
        <v>65.23</v>
      </c>
    </row>
    <row r="15" spans="1:16" x14ac:dyDescent="0.35">
      <c r="A15">
        <v>1</v>
      </c>
      <c r="B15">
        <v>14</v>
      </c>
      <c r="C15" t="s">
        <v>107</v>
      </c>
      <c r="D15" s="4">
        <v>5</v>
      </c>
      <c r="E15" s="4">
        <v>15</v>
      </c>
      <c r="F15" s="4">
        <v>35</v>
      </c>
      <c r="H15" s="4">
        <v>19.78</v>
      </c>
    </row>
    <row r="16" spans="1:16" x14ac:dyDescent="0.35">
      <c r="A16">
        <v>1</v>
      </c>
      <c r="B16">
        <v>15</v>
      </c>
      <c r="C16" t="s">
        <v>108</v>
      </c>
      <c r="D16" s="4">
        <v>1000</v>
      </c>
      <c r="E16" s="4">
        <v>10000</v>
      </c>
      <c r="F16" s="4">
        <v>20000</v>
      </c>
      <c r="H16" s="4">
        <v>3791</v>
      </c>
    </row>
    <row r="17" spans="1:6" x14ac:dyDescent="0.35">
      <c r="A17">
        <v>2</v>
      </c>
      <c r="B17">
        <v>1</v>
      </c>
      <c r="C17" t="s">
        <v>94</v>
      </c>
      <c r="D17" s="4">
        <v>0.5</v>
      </c>
      <c r="E17" s="4">
        <v>1.3</v>
      </c>
      <c r="F17" s="4">
        <v>2.2000000000000002</v>
      </c>
    </row>
    <row r="18" spans="1:6" x14ac:dyDescent="0.35">
      <c r="A18">
        <v>2</v>
      </c>
      <c r="B18">
        <v>2</v>
      </c>
      <c r="C18" t="s">
        <v>95</v>
      </c>
      <c r="D18" s="4">
        <v>0.02</v>
      </c>
      <c r="E18" s="4">
        <v>0.06</v>
      </c>
      <c r="F18" s="4">
        <v>0.3</v>
      </c>
    </row>
    <row r="19" spans="1:6" x14ac:dyDescent="0.35">
      <c r="A19">
        <v>2</v>
      </c>
      <c r="B19">
        <v>3</v>
      </c>
      <c r="C19" t="s">
        <v>96</v>
      </c>
      <c r="D19" s="4">
        <v>0.1</v>
      </c>
      <c r="E19" s="4">
        <v>0.48</v>
      </c>
      <c r="F19" s="4">
        <v>1.1100000000000001</v>
      </c>
    </row>
    <row r="20" spans="1:6" x14ac:dyDescent="0.35">
      <c r="A20">
        <v>2</v>
      </c>
      <c r="B20">
        <v>4</v>
      </c>
      <c r="C20" t="s">
        <v>97</v>
      </c>
      <c r="D20" s="4">
        <v>0.05</v>
      </c>
      <c r="E20" s="4">
        <v>0.22</v>
      </c>
      <c r="F20" s="4">
        <v>0.65</v>
      </c>
    </row>
    <row r="21" spans="1:6" x14ac:dyDescent="0.35">
      <c r="A21">
        <v>2</v>
      </c>
      <c r="B21">
        <v>5</v>
      </c>
      <c r="C21" t="s">
        <v>98</v>
      </c>
      <c r="D21" s="4">
        <v>20</v>
      </c>
      <c r="E21" s="4">
        <v>50</v>
      </c>
      <c r="F21" s="4">
        <v>75</v>
      </c>
    </row>
    <row r="22" spans="1:6" x14ac:dyDescent="0.35">
      <c r="A22">
        <v>2</v>
      </c>
      <c r="B22">
        <v>6</v>
      </c>
      <c r="C22" t="s">
        <v>99</v>
      </c>
      <c r="D22" s="4">
        <v>15</v>
      </c>
      <c r="E22" s="4">
        <v>30</v>
      </c>
      <c r="F22" s="4">
        <v>60</v>
      </c>
    </row>
    <row r="23" spans="1:6" x14ac:dyDescent="0.35">
      <c r="A23">
        <v>2</v>
      </c>
      <c r="B23">
        <v>7</v>
      </c>
      <c r="C23" t="s">
        <v>100</v>
      </c>
      <c r="D23" s="4">
        <v>20</v>
      </c>
      <c r="E23" s="4">
        <v>40</v>
      </c>
      <c r="F23" s="4">
        <v>60</v>
      </c>
    </row>
    <row r="24" spans="1:6" x14ac:dyDescent="0.35">
      <c r="A24">
        <v>2</v>
      </c>
      <c r="B24">
        <v>8</v>
      </c>
      <c r="C24" t="s">
        <v>101</v>
      </c>
      <c r="D24" s="4">
        <v>10</v>
      </c>
      <c r="E24" s="4">
        <v>20</v>
      </c>
      <c r="F24" s="4">
        <v>30</v>
      </c>
    </row>
    <row r="25" spans="1:6" x14ac:dyDescent="0.35">
      <c r="A25">
        <v>2</v>
      </c>
      <c r="B25">
        <v>9</v>
      </c>
      <c r="C25" t="s">
        <v>102</v>
      </c>
      <c r="D25" s="4">
        <v>20</v>
      </c>
      <c r="E25" s="4">
        <v>30</v>
      </c>
      <c r="F25" s="4">
        <v>50</v>
      </c>
    </row>
    <row r="26" spans="1:6" x14ac:dyDescent="0.35">
      <c r="A26">
        <v>2</v>
      </c>
      <c r="B26">
        <v>10</v>
      </c>
      <c r="C26" t="s">
        <v>103</v>
      </c>
      <c r="D26" s="4">
        <v>0</v>
      </c>
      <c r="E26" s="4">
        <v>10</v>
      </c>
      <c r="F26" s="4">
        <v>20</v>
      </c>
    </row>
    <row r="27" spans="1:6" x14ac:dyDescent="0.35">
      <c r="A27">
        <v>2</v>
      </c>
      <c r="B27">
        <v>11</v>
      </c>
      <c r="C27" t="s">
        <v>104</v>
      </c>
      <c r="D27" s="4">
        <v>10</v>
      </c>
      <c r="E27" s="4">
        <v>30</v>
      </c>
      <c r="F27" s="4">
        <v>50</v>
      </c>
    </row>
    <row r="28" spans="1:6" x14ac:dyDescent="0.35">
      <c r="A28">
        <v>2</v>
      </c>
      <c r="B28">
        <v>12</v>
      </c>
      <c r="C28" t="s">
        <v>105</v>
      </c>
      <c r="D28" s="4">
        <v>1</v>
      </c>
      <c r="E28" s="4">
        <v>10</v>
      </c>
      <c r="F28" s="4">
        <v>20</v>
      </c>
    </row>
    <row r="29" spans="1:6" x14ac:dyDescent="0.35">
      <c r="A29">
        <v>2</v>
      </c>
      <c r="B29">
        <v>13</v>
      </c>
      <c r="C29" t="s">
        <v>106</v>
      </c>
      <c r="D29" s="4">
        <v>50</v>
      </c>
      <c r="E29" s="4">
        <v>70</v>
      </c>
      <c r="F29" s="4">
        <v>90</v>
      </c>
    </row>
    <row r="30" spans="1:6" x14ac:dyDescent="0.35">
      <c r="A30">
        <v>2</v>
      </c>
      <c r="B30">
        <v>14</v>
      </c>
      <c r="C30" t="s">
        <v>107</v>
      </c>
      <c r="D30" s="4">
        <v>10</v>
      </c>
      <c r="E30" s="4">
        <v>40</v>
      </c>
      <c r="F30" s="4">
        <v>60</v>
      </c>
    </row>
    <row r="31" spans="1:6" x14ac:dyDescent="0.35">
      <c r="A31">
        <v>2</v>
      </c>
      <c r="B31">
        <v>15</v>
      </c>
      <c r="C31" t="s">
        <v>108</v>
      </c>
      <c r="D31" s="4">
        <v>1000</v>
      </c>
      <c r="E31" s="4">
        <v>3558</v>
      </c>
      <c r="F31" s="4">
        <v>8287</v>
      </c>
    </row>
    <row r="32" spans="1:6" x14ac:dyDescent="0.35">
      <c r="A32">
        <v>3</v>
      </c>
      <c r="B32">
        <v>1</v>
      </c>
      <c r="C32" t="s">
        <v>94</v>
      </c>
      <c r="D32" s="4">
        <v>0.8</v>
      </c>
      <c r="E32" s="4">
        <v>1.1100000000000001</v>
      </c>
      <c r="F32" s="4">
        <v>1.4</v>
      </c>
    </row>
    <row r="33" spans="1:6" x14ac:dyDescent="0.35">
      <c r="A33">
        <v>3</v>
      </c>
      <c r="B33">
        <v>2</v>
      </c>
      <c r="C33" t="s">
        <v>95</v>
      </c>
      <c r="D33" s="4">
        <v>3.2000000000000001E-2</v>
      </c>
      <c r="E33" s="4">
        <v>0.1</v>
      </c>
      <c r="F33" s="4">
        <v>0.14000000000000001</v>
      </c>
    </row>
    <row r="34" spans="1:6" x14ac:dyDescent="0.35">
      <c r="A34">
        <v>3</v>
      </c>
      <c r="B34">
        <v>3</v>
      </c>
      <c r="C34" t="s">
        <v>96</v>
      </c>
      <c r="D34" s="4">
        <v>0.3</v>
      </c>
      <c r="E34" s="4">
        <v>0.66</v>
      </c>
      <c r="F34" s="4">
        <v>0.95</v>
      </c>
    </row>
    <row r="35" spans="1:6" x14ac:dyDescent="0.35">
      <c r="A35">
        <v>3</v>
      </c>
      <c r="B35">
        <v>4</v>
      </c>
      <c r="C35" t="s">
        <v>97</v>
      </c>
      <c r="D35" s="4">
        <v>0.05</v>
      </c>
      <c r="E35" s="4">
        <v>0.2</v>
      </c>
      <c r="F35" s="4">
        <v>0.4</v>
      </c>
    </row>
    <row r="36" spans="1:6" x14ac:dyDescent="0.35">
      <c r="A36">
        <v>3</v>
      </c>
      <c r="B36">
        <v>5</v>
      </c>
      <c r="C36" t="s">
        <v>98</v>
      </c>
      <c r="D36" s="4">
        <v>30</v>
      </c>
      <c r="E36" s="4">
        <v>50</v>
      </c>
      <c r="F36" s="4">
        <v>70</v>
      </c>
    </row>
    <row r="37" spans="1:6" x14ac:dyDescent="0.35">
      <c r="A37">
        <v>3</v>
      </c>
      <c r="B37">
        <v>6</v>
      </c>
      <c r="C37" t="s">
        <v>99</v>
      </c>
      <c r="D37" s="4">
        <v>0</v>
      </c>
      <c r="E37" s="4">
        <v>0.5</v>
      </c>
      <c r="F37" s="4">
        <v>1</v>
      </c>
    </row>
    <row r="38" spans="1:6" x14ac:dyDescent="0.35">
      <c r="A38">
        <v>3</v>
      </c>
      <c r="B38">
        <v>7</v>
      </c>
      <c r="C38" t="s">
        <v>100</v>
      </c>
      <c r="D38" s="4">
        <v>0</v>
      </c>
      <c r="E38" s="4">
        <v>5</v>
      </c>
      <c r="F38" s="4">
        <v>10</v>
      </c>
    </row>
    <row r="39" spans="1:6" x14ac:dyDescent="0.35">
      <c r="A39">
        <v>3</v>
      </c>
      <c r="B39">
        <v>8</v>
      </c>
      <c r="C39" t="s">
        <v>101</v>
      </c>
      <c r="D39" s="4">
        <v>10</v>
      </c>
      <c r="E39" s="4">
        <v>20</v>
      </c>
      <c r="F39" s="4">
        <v>40</v>
      </c>
    </row>
    <row r="40" spans="1:6" x14ac:dyDescent="0.35">
      <c r="A40">
        <v>3</v>
      </c>
      <c r="B40">
        <v>9</v>
      </c>
      <c r="C40" t="s">
        <v>102</v>
      </c>
      <c r="D40" s="4">
        <v>10</v>
      </c>
      <c r="E40" s="4">
        <v>20</v>
      </c>
      <c r="F40" s="4">
        <v>40</v>
      </c>
    </row>
    <row r="41" spans="1:6" x14ac:dyDescent="0.35">
      <c r="A41">
        <v>3</v>
      </c>
      <c r="B41">
        <v>10</v>
      </c>
      <c r="C41" t="s">
        <v>103</v>
      </c>
      <c r="D41" s="4">
        <v>0</v>
      </c>
      <c r="E41" s="4">
        <v>1</v>
      </c>
      <c r="F41" s="4">
        <v>3</v>
      </c>
    </row>
    <row r="42" spans="1:6" x14ac:dyDescent="0.35">
      <c r="A42">
        <v>3</v>
      </c>
      <c r="B42">
        <v>11</v>
      </c>
      <c r="C42" t="s">
        <v>104</v>
      </c>
      <c r="D42" s="4">
        <v>5</v>
      </c>
      <c r="E42" s="4">
        <v>10</v>
      </c>
      <c r="F42" s="4">
        <v>20</v>
      </c>
    </row>
    <row r="43" spans="1:6" x14ac:dyDescent="0.35">
      <c r="A43">
        <v>3</v>
      </c>
      <c r="B43">
        <v>12</v>
      </c>
      <c r="C43" t="s">
        <v>105</v>
      </c>
      <c r="D43" s="4">
        <v>0</v>
      </c>
      <c r="E43" s="4">
        <v>0.5</v>
      </c>
      <c r="F43" s="4">
        <v>1</v>
      </c>
    </row>
    <row r="44" spans="1:6" x14ac:dyDescent="0.35">
      <c r="A44">
        <v>3</v>
      </c>
      <c r="B44">
        <v>13</v>
      </c>
      <c r="C44" t="s">
        <v>106</v>
      </c>
      <c r="D44" s="4">
        <v>30</v>
      </c>
      <c r="E44" s="4">
        <v>50</v>
      </c>
      <c r="F44" s="4">
        <v>60</v>
      </c>
    </row>
    <row r="45" spans="1:6" x14ac:dyDescent="0.35">
      <c r="A45">
        <v>3</v>
      </c>
      <c r="B45">
        <v>14</v>
      </c>
      <c r="C45" t="s">
        <v>107</v>
      </c>
      <c r="D45" s="4">
        <v>5</v>
      </c>
      <c r="E45" s="4">
        <v>20</v>
      </c>
      <c r="F45" s="4">
        <v>40</v>
      </c>
    </row>
    <row r="46" spans="1:6" x14ac:dyDescent="0.35">
      <c r="A46">
        <v>3</v>
      </c>
      <c r="B46">
        <v>15</v>
      </c>
      <c r="C46" t="s">
        <v>108</v>
      </c>
      <c r="D46" s="4">
        <v>3558</v>
      </c>
      <c r="E46" s="4">
        <v>9279</v>
      </c>
      <c r="F46" s="4">
        <v>15000</v>
      </c>
    </row>
    <row r="47" spans="1:6" x14ac:dyDescent="0.35">
      <c r="A47">
        <v>4</v>
      </c>
      <c r="B47">
        <v>1</v>
      </c>
      <c r="C47" t="s">
        <v>94</v>
      </c>
      <c r="D47" s="4">
        <v>1.2</v>
      </c>
      <c r="E47" s="4">
        <v>1.43</v>
      </c>
      <c r="F47" s="4">
        <v>2</v>
      </c>
    </row>
    <row r="48" spans="1:6" x14ac:dyDescent="0.35">
      <c r="A48">
        <v>4</v>
      </c>
      <c r="B48">
        <v>2</v>
      </c>
      <c r="C48" t="s">
        <v>95</v>
      </c>
      <c r="D48" s="4">
        <v>0.02</v>
      </c>
      <c r="E48" s="4">
        <v>8.2000000000000003E-2</v>
      </c>
      <c r="F48" s="4">
        <v>0.2</v>
      </c>
    </row>
    <row r="49" spans="1:6" x14ac:dyDescent="0.35">
      <c r="A49">
        <v>4</v>
      </c>
      <c r="B49">
        <v>3</v>
      </c>
      <c r="C49" t="s">
        <v>96</v>
      </c>
      <c r="D49" s="4">
        <v>0.245</v>
      </c>
      <c r="E49" s="4">
        <v>0.68</v>
      </c>
      <c r="F49" s="4">
        <v>1.0940000000000001</v>
      </c>
    </row>
    <row r="50" spans="1:6" x14ac:dyDescent="0.35">
      <c r="A50">
        <v>4</v>
      </c>
      <c r="B50">
        <v>4</v>
      </c>
      <c r="C50" t="s">
        <v>97</v>
      </c>
      <c r="D50" s="4">
        <v>2.7E-2</v>
      </c>
      <c r="E50" s="4">
        <v>0.24399999999999999</v>
      </c>
      <c r="F50" s="4">
        <v>0.623</v>
      </c>
    </row>
    <row r="51" spans="1:6" x14ac:dyDescent="0.35">
      <c r="A51">
        <v>4</v>
      </c>
      <c r="B51">
        <v>5</v>
      </c>
      <c r="C51" t="s">
        <v>98</v>
      </c>
      <c r="D51" s="4">
        <v>90</v>
      </c>
      <c r="E51" s="4">
        <v>95</v>
      </c>
      <c r="F51" s="4">
        <v>100</v>
      </c>
    </row>
    <row r="52" spans="1:6" x14ac:dyDescent="0.35">
      <c r="A52">
        <v>4</v>
      </c>
      <c r="B52">
        <v>6</v>
      </c>
      <c r="C52" t="s">
        <v>99</v>
      </c>
      <c r="D52" s="4">
        <v>0</v>
      </c>
      <c r="E52" s="4">
        <v>10</v>
      </c>
      <c r="F52" s="4">
        <v>50</v>
      </c>
    </row>
    <row r="53" spans="1:6" x14ac:dyDescent="0.35">
      <c r="A53">
        <v>4</v>
      </c>
      <c r="B53">
        <v>7</v>
      </c>
      <c r="C53" t="s">
        <v>100</v>
      </c>
      <c r="D53" s="4">
        <v>30</v>
      </c>
      <c r="E53" s="4">
        <v>77</v>
      </c>
      <c r="F53" s="4">
        <v>100</v>
      </c>
    </row>
    <row r="54" spans="1:6" x14ac:dyDescent="0.35">
      <c r="A54">
        <v>4</v>
      </c>
      <c r="B54">
        <v>8</v>
      </c>
      <c r="C54" t="s">
        <v>101</v>
      </c>
      <c r="D54" s="4">
        <v>0</v>
      </c>
      <c r="E54" s="4">
        <v>5</v>
      </c>
      <c r="F54" s="4">
        <v>10</v>
      </c>
    </row>
    <row r="55" spans="1:6" x14ac:dyDescent="0.35">
      <c r="A55">
        <v>4</v>
      </c>
      <c r="B55">
        <v>9</v>
      </c>
      <c r="C55" t="s">
        <v>102</v>
      </c>
      <c r="D55" s="4">
        <v>10</v>
      </c>
      <c r="E55" s="4">
        <v>26</v>
      </c>
      <c r="F55" s="4">
        <v>50</v>
      </c>
    </row>
    <row r="56" spans="1:6" x14ac:dyDescent="0.35">
      <c r="A56">
        <v>4</v>
      </c>
      <c r="B56">
        <v>10</v>
      </c>
      <c r="C56" t="s">
        <v>103</v>
      </c>
      <c r="D56" s="4">
        <v>0</v>
      </c>
      <c r="E56" s="4">
        <v>7</v>
      </c>
      <c r="F56" s="4">
        <v>19</v>
      </c>
    </row>
    <row r="57" spans="1:6" x14ac:dyDescent="0.35">
      <c r="A57">
        <v>4</v>
      </c>
      <c r="B57">
        <v>11</v>
      </c>
      <c r="C57" t="s">
        <v>104</v>
      </c>
      <c r="D57" s="4">
        <v>0</v>
      </c>
      <c r="E57" s="4">
        <v>8</v>
      </c>
      <c r="F57" s="4">
        <v>23</v>
      </c>
    </row>
    <row r="58" spans="1:6" x14ac:dyDescent="0.35">
      <c r="A58">
        <v>4</v>
      </c>
      <c r="B58">
        <v>12</v>
      </c>
      <c r="C58" t="s">
        <v>105</v>
      </c>
      <c r="D58" s="4">
        <v>0</v>
      </c>
      <c r="E58" s="4">
        <v>9</v>
      </c>
      <c r="F58" s="4">
        <v>20</v>
      </c>
    </row>
    <row r="59" spans="1:6" x14ac:dyDescent="0.35">
      <c r="A59">
        <v>4</v>
      </c>
      <c r="B59">
        <v>13</v>
      </c>
      <c r="C59" t="s">
        <v>106</v>
      </c>
      <c r="D59" s="4">
        <v>50</v>
      </c>
      <c r="E59" s="4">
        <v>75</v>
      </c>
      <c r="F59" s="4">
        <v>100</v>
      </c>
    </row>
    <row r="60" spans="1:6" x14ac:dyDescent="0.35">
      <c r="A60">
        <v>4</v>
      </c>
      <c r="B60">
        <v>14</v>
      </c>
      <c r="C60" t="s">
        <v>107</v>
      </c>
      <c r="D60" s="4">
        <v>0</v>
      </c>
      <c r="E60" s="4">
        <v>10</v>
      </c>
      <c r="F60" s="4">
        <v>30</v>
      </c>
    </row>
    <row r="61" spans="1:6" x14ac:dyDescent="0.35">
      <c r="A61">
        <v>4</v>
      </c>
      <c r="B61">
        <v>15</v>
      </c>
      <c r="C61" t="s">
        <v>108</v>
      </c>
      <c r="D61" s="4">
        <v>1887</v>
      </c>
      <c r="E61" s="4">
        <v>5230</v>
      </c>
      <c r="F61" s="4">
        <v>15000</v>
      </c>
    </row>
    <row r="62" spans="1:6" x14ac:dyDescent="0.35">
      <c r="A62">
        <v>5</v>
      </c>
      <c r="B62">
        <v>1</v>
      </c>
      <c r="C62" t="s">
        <v>94</v>
      </c>
      <c r="D62" s="4">
        <v>0.5</v>
      </c>
      <c r="E62" s="4">
        <v>1.5</v>
      </c>
      <c r="F62" s="4">
        <v>2.5</v>
      </c>
    </row>
    <row r="63" spans="1:6" x14ac:dyDescent="0.35">
      <c r="A63">
        <v>5</v>
      </c>
      <c r="B63">
        <v>2</v>
      </c>
      <c r="C63" t="s">
        <v>95</v>
      </c>
      <c r="D63" s="4">
        <v>0.04</v>
      </c>
      <c r="E63" s="4">
        <v>0.1</v>
      </c>
      <c r="F63" s="4">
        <v>0.15</v>
      </c>
    </row>
    <row r="64" spans="1:6" x14ac:dyDescent="0.35">
      <c r="A64">
        <v>5</v>
      </c>
      <c r="B64">
        <v>3</v>
      </c>
      <c r="C64" t="s">
        <v>96</v>
      </c>
      <c r="D64" s="4">
        <v>0.3</v>
      </c>
      <c r="E64" s="4">
        <v>0.6</v>
      </c>
      <c r="F64" s="4">
        <v>1</v>
      </c>
    </row>
    <row r="65" spans="1:6" x14ac:dyDescent="0.35">
      <c r="A65">
        <v>5</v>
      </c>
      <c r="B65">
        <v>4</v>
      </c>
      <c r="C65" t="s">
        <v>97</v>
      </c>
      <c r="D65" s="4">
        <v>0.08</v>
      </c>
      <c r="E65" s="4">
        <v>0.3</v>
      </c>
      <c r="F65" s="4">
        <v>0.4</v>
      </c>
    </row>
    <row r="66" spans="1:6" x14ac:dyDescent="0.35">
      <c r="A66">
        <v>5</v>
      </c>
      <c r="B66">
        <v>5</v>
      </c>
      <c r="C66" t="s">
        <v>98</v>
      </c>
      <c r="D66" s="4">
        <v>70</v>
      </c>
      <c r="E66" s="4">
        <v>90</v>
      </c>
      <c r="F66" s="4">
        <v>100</v>
      </c>
    </row>
    <row r="67" spans="1:6" x14ac:dyDescent="0.35">
      <c r="A67">
        <v>5</v>
      </c>
      <c r="B67">
        <v>6</v>
      </c>
      <c r="C67" t="s">
        <v>99</v>
      </c>
      <c r="D67" s="4">
        <v>40</v>
      </c>
      <c r="E67" s="4">
        <v>70</v>
      </c>
      <c r="F67" s="4">
        <v>80</v>
      </c>
    </row>
    <row r="68" spans="1:6" x14ac:dyDescent="0.35">
      <c r="A68">
        <v>5</v>
      </c>
      <c r="B68">
        <v>7</v>
      </c>
      <c r="C68" t="s">
        <v>100</v>
      </c>
      <c r="D68" s="4">
        <v>50</v>
      </c>
      <c r="E68" s="4">
        <v>80</v>
      </c>
      <c r="F68" s="4">
        <v>100</v>
      </c>
    </row>
    <row r="69" spans="1:6" x14ac:dyDescent="0.35">
      <c r="A69">
        <v>5</v>
      </c>
      <c r="B69">
        <v>8</v>
      </c>
      <c r="C69" t="s">
        <v>101</v>
      </c>
      <c r="D69" s="4">
        <v>0.1</v>
      </c>
      <c r="E69" s="4">
        <v>1</v>
      </c>
      <c r="F69" s="4">
        <v>5</v>
      </c>
    </row>
    <row r="70" spans="1:6" x14ac:dyDescent="0.35">
      <c r="A70">
        <v>5</v>
      </c>
      <c r="B70">
        <v>9</v>
      </c>
      <c r="C70" t="s">
        <v>102</v>
      </c>
      <c r="D70" s="4">
        <v>5</v>
      </c>
      <c r="E70" s="4">
        <v>25</v>
      </c>
      <c r="F70" s="4">
        <v>50</v>
      </c>
    </row>
    <row r="71" spans="1:6" x14ac:dyDescent="0.35">
      <c r="A71">
        <v>5</v>
      </c>
      <c r="B71">
        <v>10</v>
      </c>
      <c r="C71" t="s">
        <v>103</v>
      </c>
      <c r="D71" s="4">
        <v>5</v>
      </c>
      <c r="E71" s="4">
        <v>25</v>
      </c>
      <c r="F71" s="4">
        <v>50</v>
      </c>
    </row>
    <row r="72" spans="1:6" x14ac:dyDescent="0.35">
      <c r="A72">
        <v>5</v>
      </c>
      <c r="B72">
        <v>11</v>
      </c>
      <c r="C72" t="s">
        <v>104</v>
      </c>
      <c r="D72" s="4">
        <v>5</v>
      </c>
      <c r="E72" s="4">
        <v>30</v>
      </c>
      <c r="F72" s="4">
        <v>50</v>
      </c>
    </row>
    <row r="73" spans="1:6" x14ac:dyDescent="0.35">
      <c r="A73">
        <v>5</v>
      </c>
      <c r="B73">
        <v>12</v>
      </c>
      <c r="C73" t="s">
        <v>105</v>
      </c>
      <c r="D73" s="4">
        <v>1</v>
      </c>
      <c r="E73" s="4">
        <v>5</v>
      </c>
      <c r="F73" s="4">
        <v>10</v>
      </c>
    </row>
    <row r="74" spans="1:6" x14ac:dyDescent="0.35">
      <c r="A74">
        <v>5</v>
      </c>
      <c r="B74">
        <v>13</v>
      </c>
      <c r="C74" t="s">
        <v>106</v>
      </c>
      <c r="D74" s="4">
        <v>30</v>
      </c>
      <c r="E74" s="4">
        <v>70</v>
      </c>
      <c r="F74" s="4">
        <v>80</v>
      </c>
    </row>
    <row r="75" spans="1:6" x14ac:dyDescent="0.35">
      <c r="A75">
        <v>5</v>
      </c>
      <c r="B75">
        <v>14</v>
      </c>
      <c r="C75" t="s">
        <v>107</v>
      </c>
      <c r="D75" s="4">
        <v>3</v>
      </c>
      <c r="E75" s="4">
        <v>20</v>
      </c>
      <c r="F75" s="4">
        <v>35</v>
      </c>
    </row>
    <row r="76" spans="1:6" x14ac:dyDescent="0.35">
      <c r="A76">
        <v>5</v>
      </c>
      <c r="B76">
        <v>15</v>
      </c>
      <c r="C76" t="s">
        <v>108</v>
      </c>
      <c r="D76" s="4">
        <v>1000</v>
      </c>
      <c r="E76" s="4">
        <v>10000</v>
      </c>
      <c r="F76" s="4">
        <v>15000</v>
      </c>
    </row>
    <row r="77" spans="1:6" x14ac:dyDescent="0.35">
      <c r="A77">
        <v>6</v>
      </c>
      <c r="B77">
        <v>1</v>
      </c>
      <c r="C77" t="s">
        <v>94</v>
      </c>
      <c r="D77" s="4">
        <v>1.4</v>
      </c>
      <c r="E77" s="4">
        <v>1.6</v>
      </c>
      <c r="F77" s="4">
        <v>1.8</v>
      </c>
    </row>
    <row r="78" spans="1:6" x14ac:dyDescent="0.35">
      <c r="A78">
        <v>6</v>
      </c>
      <c r="B78">
        <v>2</v>
      </c>
      <c r="C78" t="s">
        <v>95</v>
      </c>
      <c r="D78" s="4">
        <v>0.4</v>
      </c>
      <c r="E78" s="4">
        <v>0.8</v>
      </c>
      <c r="F78" s="4">
        <v>1.2</v>
      </c>
    </row>
    <row r="79" spans="1:6" x14ac:dyDescent="0.35">
      <c r="A79">
        <v>6</v>
      </c>
      <c r="B79">
        <v>3</v>
      </c>
      <c r="C79" t="s">
        <v>96</v>
      </c>
      <c r="D79" s="4">
        <v>0.5</v>
      </c>
      <c r="E79" s="4">
        <v>0.65</v>
      </c>
      <c r="F79" s="4">
        <v>0.8</v>
      </c>
    </row>
    <row r="80" spans="1:6" x14ac:dyDescent="0.35">
      <c r="A80">
        <v>6</v>
      </c>
      <c r="B80">
        <v>4</v>
      </c>
      <c r="C80" t="s">
        <v>97</v>
      </c>
      <c r="D80" s="4">
        <v>0.08</v>
      </c>
      <c r="E80" s="4">
        <v>0.2</v>
      </c>
      <c r="F80" s="4">
        <v>0.32</v>
      </c>
    </row>
    <row r="81" spans="1:6" x14ac:dyDescent="0.35">
      <c r="A81">
        <v>6</v>
      </c>
      <c r="B81">
        <v>5</v>
      </c>
      <c r="C81" t="s">
        <v>98</v>
      </c>
      <c r="D81" s="4">
        <v>80</v>
      </c>
      <c r="E81" s="4">
        <v>90</v>
      </c>
      <c r="F81" s="4">
        <v>98</v>
      </c>
    </row>
    <row r="82" spans="1:6" x14ac:dyDescent="0.35">
      <c r="A82">
        <v>6</v>
      </c>
      <c r="B82">
        <v>6</v>
      </c>
      <c r="C82" t="s">
        <v>99</v>
      </c>
      <c r="D82" s="4">
        <v>85</v>
      </c>
      <c r="E82" s="4">
        <v>90</v>
      </c>
      <c r="F82" s="4">
        <v>95</v>
      </c>
    </row>
    <row r="83" spans="1:6" x14ac:dyDescent="0.35">
      <c r="A83">
        <v>6</v>
      </c>
      <c r="B83">
        <v>7</v>
      </c>
      <c r="C83" t="s">
        <v>100</v>
      </c>
      <c r="D83" s="4">
        <v>90</v>
      </c>
      <c r="E83" s="4">
        <v>95</v>
      </c>
      <c r="F83" s="4">
        <v>99</v>
      </c>
    </row>
    <row r="84" spans="1:6" x14ac:dyDescent="0.35">
      <c r="A84">
        <v>6</v>
      </c>
      <c r="B84">
        <v>8</v>
      </c>
      <c r="C84" t="s">
        <v>101</v>
      </c>
      <c r="D84" s="4">
        <v>60</v>
      </c>
      <c r="E84" s="4">
        <v>75</v>
      </c>
      <c r="F84" s="4">
        <v>90</v>
      </c>
    </row>
    <row r="85" spans="1:6" x14ac:dyDescent="0.35">
      <c r="A85">
        <v>6</v>
      </c>
      <c r="B85">
        <v>9</v>
      </c>
      <c r="C85" t="s">
        <v>102</v>
      </c>
      <c r="D85" s="4">
        <v>85</v>
      </c>
      <c r="E85" s="4">
        <v>90</v>
      </c>
      <c r="F85" s="4">
        <v>95</v>
      </c>
    </row>
    <row r="86" spans="1:6" x14ac:dyDescent="0.35">
      <c r="A86">
        <v>6</v>
      </c>
      <c r="B86">
        <v>10</v>
      </c>
      <c r="C86" t="s">
        <v>103</v>
      </c>
      <c r="D86" s="4">
        <v>15</v>
      </c>
      <c r="E86" s="4">
        <v>20</v>
      </c>
      <c r="F86" s="4">
        <v>25</v>
      </c>
    </row>
    <row r="87" spans="1:6" x14ac:dyDescent="0.35">
      <c r="A87">
        <v>6</v>
      </c>
      <c r="B87">
        <v>11</v>
      </c>
      <c r="C87" t="s">
        <v>104</v>
      </c>
      <c r="D87" s="4">
        <v>12</v>
      </c>
      <c r="E87" s="4">
        <v>17.5</v>
      </c>
      <c r="F87" s="4">
        <v>25</v>
      </c>
    </row>
    <row r="88" spans="1:6" x14ac:dyDescent="0.35">
      <c r="A88">
        <v>6</v>
      </c>
      <c r="B88">
        <v>12</v>
      </c>
      <c r="C88" t="s">
        <v>105</v>
      </c>
      <c r="D88" s="4">
        <v>2</v>
      </c>
      <c r="E88" s="4">
        <v>5</v>
      </c>
      <c r="F88" s="4">
        <v>8</v>
      </c>
    </row>
    <row r="89" spans="1:6" x14ac:dyDescent="0.35">
      <c r="A89">
        <v>6</v>
      </c>
      <c r="B89">
        <v>13</v>
      </c>
      <c r="C89" t="s">
        <v>106</v>
      </c>
      <c r="D89" s="4">
        <v>40</v>
      </c>
      <c r="E89" s="4">
        <v>50</v>
      </c>
      <c r="F89" s="4">
        <v>60</v>
      </c>
    </row>
    <row r="90" spans="1:6" x14ac:dyDescent="0.35">
      <c r="A90">
        <v>6</v>
      </c>
      <c r="B90">
        <v>14</v>
      </c>
      <c r="C90" t="s">
        <v>107</v>
      </c>
      <c r="D90" s="4">
        <v>5</v>
      </c>
      <c r="E90" s="4">
        <v>10</v>
      </c>
      <c r="F90" s="4">
        <v>15</v>
      </c>
    </row>
    <row r="91" spans="1:6" x14ac:dyDescent="0.35">
      <c r="A91">
        <v>6</v>
      </c>
      <c r="B91">
        <v>15</v>
      </c>
      <c r="C91" t="s">
        <v>108</v>
      </c>
      <c r="D91" s="4">
        <v>5500</v>
      </c>
      <c r="E91" s="4">
        <v>7500</v>
      </c>
      <c r="F91" s="4">
        <v>10000</v>
      </c>
    </row>
    <row r="92" spans="1:6" x14ac:dyDescent="0.35">
      <c r="A92">
        <v>7</v>
      </c>
      <c r="B92">
        <v>1</v>
      </c>
      <c r="C92" t="s">
        <v>94</v>
      </c>
      <c r="D92" s="4">
        <v>0.8</v>
      </c>
      <c r="E92" s="4">
        <v>1.5</v>
      </c>
      <c r="F92" s="4">
        <v>2.1</v>
      </c>
    </row>
    <row r="93" spans="1:6" x14ac:dyDescent="0.35">
      <c r="A93">
        <v>7</v>
      </c>
      <c r="B93">
        <v>2</v>
      </c>
      <c r="C93" t="s">
        <v>95</v>
      </c>
      <c r="D93" s="4">
        <v>0.05</v>
      </c>
      <c r="E93" s="4">
        <v>0.15</v>
      </c>
      <c r="F93" s="4">
        <v>0.35</v>
      </c>
    </row>
    <row r="94" spans="1:6" x14ac:dyDescent="0.35">
      <c r="A94">
        <v>7</v>
      </c>
      <c r="B94">
        <v>3</v>
      </c>
      <c r="C94" t="s">
        <v>96</v>
      </c>
      <c r="D94" s="4">
        <v>0.1</v>
      </c>
      <c r="E94" s="4">
        <v>0.6</v>
      </c>
      <c r="F94" s="4">
        <v>1.2</v>
      </c>
    </row>
    <row r="95" spans="1:6" x14ac:dyDescent="0.35">
      <c r="A95">
        <v>7</v>
      </c>
      <c r="B95">
        <v>4</v>
      </c>
      <c r="C95" t="s">
        <v>97</v>
      </c>
      <c r="D95" s="4">
        <v>0.05</v>
      </c>
      <c r="E95" s="4">
        <v>0.5</v>
      </c>
      <c r="F95" s="4">
        <v>1</v>
      </c>
    </row>
    <row r="96" spans="1:6" x14ac:dyDescent="0.35">
      <c r="A96">
        <v>7</v>
      </c>
      <c r="B96">
        <v>5</v>
      </c>
      <c r="C96" t="s">
        <v>98</v>
      </c>
      <c r="D96" s="4">
        <v>50</v>
      </c>
      <c r="E96" s="4">
        <v>80</v>
      </c>
      <c r="F96" s="4">
        <v>90</v>
      </c>
    </row>
    <row r="97" spans="1:6" x14ac:dyDescent="0.35">
      <c r="A97">
        <v>7</v>
      </c>
      <c r="B97">
        <v>6</v>
      </c>
      <c r="C97" t="s">
        <v>99</v>
      </c>
      <c r="D97" s="4">
        <v>1</v>
      </c>
      <c r="E97" s="4">
        <v>5</v>
      </c>
      <c r="F97" s="4">
        <v>10</v>
      </c>
    </row>
    <row r="98" spans="1:6" x14ac:dyDescent="0.35">
      <c r="A98">
        <v>7</v>
      </c>
      <c r="B98">
        <v>7</v>
      </c>
      <c r="C98" t="s">
        <v>100</v>
      </c>
      <c r="D98" s="4">
        <v>40</v>
      </c>
      <c r="E98" s="4">
        <v>60</v>
      </c>
      <c r="F98" s="4">
        <v>80</v>
      </c>
    </row>
    <row r="99" spans="1:6" x14ac:dyDescent="0.35">
      <c r="A99">
        <v>7</v>
      </c>
      <c r="B99">
        <v>8</v>
      </c>
      <c r="C99" t="s">
        <v>101</v>
      </c>
      <c r="D99" s="4">
        <v>5</v>
      </c>
      <c r="E99" s="4">
        <v>20</v>
      </c>
      <c r="F99" s="4">
        <v>40</v>
      </c>
    </row>
    <row r="100" spans="1:6" x14ac:dyDescent="0.35">
      <c r="A100">
        <v>7</v>
      </c>
      <c r="B100">
        <v>9</v>
      </c>
      <c r="C100" t="s">
        <v>102</v>
      </c>
      <c r="D100" s="4">
        <v>20</v>
      </c>
      <c r="E100" s="4">
        <v>50</v>
      </c>
      <c r="F100" s="4">
        <v>70</v>
      </c>
    </row>
    <row r="101" spans="1:6" x14ac:dyDescent="0.35">
      <c r="A101">
        <v>7</v>
      </c>
      <c r="B101">
        <v>10</v>
      </c>
      <c r="C101" t="s">
        <v>103</v>
      </c>
      <c r="D101" s="4">
        <v>0.1</v>
      </c>
      <c r="E101" s="4">
        <v>1</v>
      </c>
      <c r="F101" s="4">
        <v>5</v>
      </c>
    </row>
    <row r="102" spans="1:6" x14ac:dyDescent="0.35">
      <c r="A102">
        <v>7</v>
      </c>
      <c r="B102">
        <v>11</v>
      </c>
      <c r="C102" t="s">
        <v>104</v>
      </c>
      <c r="D102" s="4">
        <v>2</v>
      </c>
      <c r="E102" s="4">
        <v>10</v>
      </c>
      <c r="F102" s="4">
        <v>15</v>
      </c>
    </row>
    <row r="103" spans="1:6" x14ac:dyDescent="0.35">
      <c r="A103">
        <v>7</v>
      </c>
      <c r="B103">
        <v>12</v>
      </c>
      <c r="C103" t="s">
        <v>105</v>
      </c>
      <c r="D103" s="4">
        <v>0.1</v>
      </c>
      <c r="E103" s="4">
        <v>0.5</v>
      </c>
      <c r="F103" s="4">
        <v>1</v>
      </c>
    </row>
    <row r="104" spans="1:6" x14ac:dyDescent="0.35">
      <c r="A104">
        <v>7</v>
      </c>
      <c r="B104">
        <v>13</v>
      </c>
      <c r="C104" t="s">
        <v>106</v>
      </c>
      <c r="D104" s="4">
        <v>5</v>
      </c>
      <c r="E104" s="4">
        <v>10</v>
      </c>
      <c r="F104" s="4">
        <v>15</v>
      </c>
    </row>
    <row r="105" spans="1:6" x14ac:dyDescent="0.35">
      <c r="A105">
        <v>7</v>
      </c>
      <c r="B105">
        <v>14</v>
      </c>
      <c r="C105" t="s">
        <v>107</v>
      </c>
      <c r="D105" s="4">
        <v>5</v>
      </c>
      <c r="E105" s="4">
        <v>20</v>
      </c>
      <c r="F105" s="4">
        <v>35</v>
      </c>
    </row>
    <row r="106" spans="1:6" x14ac:dyDescent="0.35">
      <c r="A106">
        <v>7</v>
      </c>
      <c r="B106">
        <v>15</v>
      </c>
      <c r="C106" t="s">
        <v>108</v>
      </c>
      <c r="D106" s="4">
        <v>5000</v>
      </c>
      <c r="E106" s="4">
        <v>7000</v>
      </c>
      <c r="F106" s="4">
        <v>9000</v>
      </c>
    </row>
    <row r="107" spans="1:6" x14ac:dyDescent="0.35">
      <c r="A107">
        <v>8</v>
      </c>
      <c r="B107">
        <v>1</v>
      </c>
      <c r="C107" t="s">
        <v>94</v>
      </c>
      <c r="D107" s="4">
        <v>0.7</v>
      </c>
      <c r="E107" s="4">
        <v>1.2</v>
      </c>
      <c r="F107" s="4">
        <v>1.6</v>
      </c>
    </row>
    <row r="108" spans="1:6" x14ac:dyDescent="0.35">
      <c r="A108">
        <v>8</v>
      </c>
      <c r="B108">
        <v>2</v>
      </c>
      <c r="C108" t="s">
        <v>95</v>
      </c>
      <c r="D108" s="4">
        <v>0.05</v>
      </c>
      <c r="E108" s="4">
        <v>7.4999999999999997E-2</v>
      </c>
      <c r="F108" s="4">
        <v>0.14000000000000001</v>
      </c>
    </row>
    <row r="109" spans="1:6" x14ac:dyDescent="0.35">
      <c r="A109">
        <v>8</v>
      </c>
      <c r="B109">
        <v>3</v>
      </c>
      <c r="C109" t="s">
        <v>96</v>
      </c>
      <c r="D109" s="4">
        <v>0.3</v>
      </c>
      <c r="E109" s="4">
        <v>0.5</v>
      </c>
      <c r="F109" s="4">
        <v>1</v>
      </c>
    </row>
    <row r="110" spans="1:6" x14ac:dyDescent="0.35">
      <c r="A110">
        <v>8</v>
      </c>
      <c r="B110">
        <v>4</v>
      </c>
      <c r="C110" t="s">
        <v>97</v>
      </c>
      <c r="D110" s="4">
        <v>0.1</v>
      </c>
      <c r="E110" s="4">
        <v>0.5</v>
      </c>
      <c r="F110" s="4">
        <v>1</v>
      </c>
    </row>
    <row r="111" spans="1:6" x14ac:dyDescent="0.35">
      <c r="A111">
        <v>8</v>
      </c>
      <c r="B111">
        <v>5</v>
      </c>
      <c r="C111" t="s">
        <v>98</v>
      </c>
      <c r="D111" s="4">
        <v>97</v>
      </c>
      <c r="E111" s="4">
        <v>99</v>
      </c>
      <c r="F111" s="4">
        <v>99.9</v>
      </c>
    </row>
    <row r="112" spans="1:6" x14ac:dyDescent="0.35">
      <c r="A112">
        <v>8</v>
      </c>
      <c r="B112">
        <v>6</v>
      </c>
      <c r="C112" t="s">
        <v>99</v>
      </c>
      <c r="D112" s="4">
        <v>20</v>
      </c>
      <c r="E112" s="4">
        <v>40</v>
      </c>
      <c r="F112" s="4">
        <v>70</v>
      </c>
    </row>
    <row r="113" spans="1:6" x14ac:dyDescent="0.35">
      <c r="A113">
        <v>8</v>
      </c>
      <c r="B113">
        <v>7</v>
      </c>
      <c r="C113" t="s">
        <v>100</v>
      </c>
      <c r="D113" s="4">
        <v>50</v>
      </c>
      <c r="E113" s="4">
        <v>76</v>
      </c>
      <c r="F113" s="4">
        <v>90</v>
      </c>
    </row>
    <row r="114" spans="1:6" x14ac:dyDescent="0.35">
      <c r="A114">
        <v>8</v>
      </c>
      <c r="B114">
        <v>8</v>
      </c>
      <c r="C114" t="s">
        <v>101</v>
      </c>
      <c r="D114" s="4">
        <v>5</v>
      </c>
      <c r="E114" s="4">
        <v>10</v>
      </c>
      <c r="F114" s="4">
        <v>30</v>
      </c>
    </row>
    <row r="115" spans="1:6" x14ac:dyDescent="0.35">
      <c r="A115">
        <v>8</v>
      </c>
      <c r="B115">
        <v>9</v>
      </c>
      <c r="C115" t="s">
        <v>102</v>
      </c>
      <c r="D115" s="4">
        <v>10</v>
      </c>
      <c r="E115" s="4">
        <v>25</v>
      </c>
      <c r="F115" s="4">
        <v>40</v>
      </c>
    </row>
    <row r="116" spans="1:6" x14ac:dyDescent="0.35">
      <c r="A116">
        <v>8</v>
      </c>
      <c r="B116">
        <v>10</v>
      </c>
      <c r="C116" t="s">
        <v>103</v>
      </c>
      <c r="D116" s="4">
        <v>1</v>
      </c>
      <c r="E116" s="4">
        <v>9</v>
      </c>
      <c r="F116" s="4">
        <v>17</v>
      </c>
    </row>
    <row r="117" spans="1:6" x14ac:dyDescent="0.35">
      <c r="A117">
        <v>8</v>
      </c>
      <c r="B117">
        <v>11</v>
      </c>
      <c r="C117" t="s">
        <v>104</v>
      </c>
      <c r="D117" s="4">
        <v>3</v>
      </c>
      <c r="E117" s="4">
        <v>15</v>
      </c>
      <c r="F117" s="4">
        <v>27</v>
      </c>
    </row>
    <row r="118" spans="1:6" x14ac:dyDescent="0.35">
      <c r="A118">
        <v>8</v>
      </c>
      <c r="B118">
        <v>12</v>
      </c>
      <c r="C118" t="s">
        <v>105</v>
      </c>
      <c r="D118" s="4">
        <v>0.1</v>
      </c>
      <c r="E118" s="4">
        <v>2</v>
      </c>
      <c r="F118" s="4">
        <v>4</v>
      </c>
    </row>
    <row r="119" spans="1:6" x14ac:dyDescent="0.35">
      <c r="A119">
        <v>8</v>
      </c>
      <c r="B119">
        <v>13</v>
      </c>
      <c r="C119" t="s">
        <v>106</v>
      </c>
      <c r="D119" s="4">
        <v>55</v>
      </c>
      <c r="E119" s="4">
        <v>65</v>
      </c>
      <c r="F119" s="4">
        <v>80</v>
      </c>
    </row>
    <row r="120" spans="1:6" x14ac:dyDescent="0.35">
      <c r="A120">
        <v>8</v>
      </c>
      <c r="B120">
        <v>14</v>
      </c>
      <c r="C120" t="s">
        <v>107</v>
      </c>
      <c r="D120" s="4">
        <v>6</v>
      </c>
      <c r="E120" s="4">
        <v>15</v>
      </c>
      <c r="F120" s="4">
        <v>24</v>
      </c>
    </row>
    <row r="121" spans="1:6" x14ac:dyDescent="0.35">
      <c r="A121">
        <v>8</v>
      </c>
      <c r="B121">
        <v>15</v>
      </c>
      <c r="C121" t="s">
        <v>108</v>
      </c>
      <c r="D121" s="4">
        <v>5000</v>
      </c>
      <c r="E121" s="4">
        <v>5222</v>
      </c>
      <c r="F121" s="4">
        <v>5500</v>
      </c>
    </row>
    <row r="122" spans="1:6" x14ac:dyDescent="0.35">
      <c r="A122">
        <v>9</v>
      </c>
      <c r="B122">
        <v>1</v>
      </c>
      <c r="C122" t="s">
        <v>94</v>
      </c>
      <c r="D122" s="4">
        <v>0.7</v>
      </c>
      <c r="E122" s="4">
        <v>1</v>
      </c>
      <c r="F122" s="4">
        <v>2.5</v>
      </c>
    </row>
    <row r="123" spans="1:6" x14ac:dyDescent="0.35">
      <c r="A123">
        <v>9</v>
      </c>
      <c r="B123">
        <v>2</v>
      </c>
      <c r="C123" t="s">
        <v>95</v>
      </c>
      <c r="D123" s="4">
        <v>2.5000000000000001E-2</v>
      </c>
      <c r="E123" s="4">
        <v>0.1</v>
      </c>
      <c r="F123" s="4">
        <v>0.4</v>
      </c>
    </row>
    <row r="124" spans="1:6" x14ac:dyDescent="0.35">
      <c r="A124">
        <v>9</v>
      </c>
      <c r="B124">
        <v>3</v>
      </c>
      <c r="C124" t="s">
        <v>96</v>
      </c>
      <c r="D124" s="4">
        <v>0.1</v>
      </c>
      <c r="E124" s="4">
        <v>0.6</v>
      </c>
      <c r="F124" s="4">
        <v>1.5</v>
      </c>
    </row>
    <row r="125" spans="1:6" x14ac:dyDescent="0.35">
      <c r="A125">
        <v>9</v>
      </c>
      <c r="B125">
        <v>4</v>
      </c>
      <c r="C125" t="s">
        <v>97</v>
      </c>
      <c r="D125" s="4">
        <v>0.03</v>
      </c>
      <c r="E125" s="4">
        <v>0.3</v>
      </c>
      <c r="F125" s="4">
        <v>1.3</v>
      </c>
    </row>
    <row r="126" spans="1:6" x14ac:dyDescent="0.35">
      <c r="A126">
        <v>9</v>
      </c>
      <c r="B126">
        <v>5</v>
      </c>
      <c r="C126" t="s">
        <v>98</v>
      </c>
      <c r="D126" s="4">
        <v>40</v>
      </c>
      <c r="E126" s="4">
        <v>60</v>
      </c>
      <c r="F126" s="4">
        <v>80</v>
      </c>
    </row>
    <row r="127" spans="1:6" x14ac:dyDescent="0.35">
      <c r="A127">
        <v>9</v>
      </c>
      <c r="B127">
        <v>6</v>
      </c>
      <c r="C127" t="s">
        <v>99</v>
      </c>
      <c r="D127" s="4">
        <v>50</v>
      </c>
      <c r="E127" s="4">
        <v>75</v>
      </c>
      <c r="F127" s="4">
        <v>95</v>
      </c>
    </row>
    <row r="128" spans="1:6" x14ac:dyDescent="0.35">
      <c r="A128">
        <v>9</v>
      </c>
      <c r="B128">
        <v>7</v>
      </c>
      <c r="C128" t="s">
        <v>100</v>
      </c>
      <c r="D128" s="4">
        <v>60</v>
      </c>
      <c r="E128" s="4">
        <v>80</v>
      </c>
      <c r="F128" s="4">
        <v>95</v>
      </c>
    </row>
    <row r="129" spans="1:6" x14ac:dyDescent="0.35">
      <c r="A129">
        <v>9</v>
      </c>
      <c r="B129">
        <v>8</v>
      </c>
      <c r="C129" t="s">
        <v>101</v>
      </c>
      <c r="D129" s="4">
        <v>1</v>
      </c>
      <c r="E129" s="4">
        <v>5</v>
      </c>
      <c r="F129" s="4">
        <v>30</v>
      </c>
    </row>
    <row r="130" spans="1:6" x14ac:dyDescent="0.35">
      <c r="A130">
        <v>9</v>
      </c>
      <c r="B130">
        <v>9</v>
      </c>
      <c r="C130" t="s">
        <v>102</v>
      </c>
      <c r="D130" s="4">
        <v>5</v>
      </c>
      <c r="E130" s="4">
        <v>10</v>
      </c>
      <c r="F130" s="4">
        <v>40</v>
      </c>
    </row>
    <row r="131" spans="1:6" x14ac:dyDescent="0.35">
      <c r="A131">
        <v>9</v>
      </c>
      <c r="B131">
        <v>10</v>
      </c>
      <c r="C131" t="s">
        <v>103</v>
      </c>
      <c r="D131" s="4">
        <v>0</v>
      </c>
      <c r="E131" s="4">
        <v>2</v>
      </c>
      <c r="F131" s="4">
        <v>10</v>
      </c>
    </row>
    <row r="132" spans="1:6" x14ac:dyDescent="0.35">
      <c r="A132">
        <v>9</v>
      </c>
      <c r="B132">
        <v>11</v>
      </c>
      <c r="C132" t="s">
        <v>104</v>
      </c>
      <c r="D132" s="4">
        <v>5</v>
      </c>
      <c r="E132" s="4">
        <v>10</v>
      </c>
      <c r="F132" s="4">
        <v>30</v>
      </c>
    </row>
    <row r="133" spans="1:6" x14ac:dyDescent="0.35">
      <c r="A133">
        <v>9</v>
      </c>
      <c r="B133">
        <v>12</v>
      </c>
      <c r="C133" t="s">
        <v>105</v>
      </c>
      <c r="D133" s="4">
        <v>0</v>
      </c>
      <c r="E133" s="4">
        <v>2</v>
      </c>
      <c r="F133" s="4">
        <v>10</v>
      </c>
    </row>
    <row r="134" spans="1:6" x14ac:dyDescent="0.35">
      <c r="A134">
        <v>9</v>
      </c>
      <c r="B134">
        <v>13</v>
      </c>
      <c r="C134" t="s">
        <v>106</v>
      </c>
      <c r="D134" s="4">
        <v>20</v>
      </c>
      <c r="E134" s="4">
        <v>40</v>
      </c>
      <c r="F134" s="4">
        <v>60</v>
      </c>
    </row>
    <row r="135" spans="1:6" x14ac:dyDescent="0.35">
      <c r="A135">
        <v>9</v>
      </c>
      <c r="B135">
        <v>14</v>
      </c>
      <c r="C135" t="s">
        <v>107</v>
      </c>
      <c r="D135" s="4">
        <v>5</v>
      </c>
      <c r="E135" s="4">
        <v>8</v>
      </c>
      <c r="F135" s="4">
        <v>35</v>
      </c>
    </row>
    <row r="136" spans="1:6" x14ac:dyDescent="0.35">
      <c r="A136">
        <v>9</v>
      </c>
      <c r="B136">
        <v>15</v>
      </c>
      <c r="C136" t="s">
        <v>108</v>
      </c>
      <c r="D136" s="4">
        <v>1800</v>
      </c>
      <c r="E136" s="4">
        <v>6000</v>
      </c>
      <c r="F136" s="4">
        <v>10000</v>
      </c>
    </row>
    <row r="137" spans="1:6" x14ac:dyDescent="0.35">
      <c r="A137">
        <v>10</v>
      </c>
      <c r="B137">
        <v>1</v>
      </c>
      <c r="C137" t="s">
        <v>94</v>
      </c>
      <c r="D137" s="4">
        <v>0.65200000000000002</v>
      </c>
      <c r="E137" s="4">
        <v>1.32</v>
      </c>
      <c r="F137" s="4">
        <v>2.677</v>
      </c>
    </row>
    <row r="138" spans="1:6" x14ac:dyDescent="0.35">
      <c r="A138">
        <v>10</v>
      </c>
      <c r="B138">
        <v>2</v>
      </c>
      <c r="C138" t="s">
        <v>95</v>
      </c>
      <c r="D138" s="4">
        <v>3.2000000000000001E-2</v>
      </c>
      <c r="E138" s="4">
        <v>0.123</v>
      </c>
      <c r="F138" s="4">
        <v>0.35</v>
      </c>
    </row>
    <row r="139" spans="1:6" x14ac:dyDescent="0.35">
      <c r="A139">
        <v>10</v>
      </c>
      <c r="B139">
        <v>3</v>
      </c>
      <c r="C139" t="s">
        <v>96</v>
      </c>
      <c r="D139" s="4">
        <v>0.11</v>
      </c>
      <c r="E139" s="4">
        <v>0.86699999999999999</v>
      </c>
      <c r="F139" s="4">
        <v>1.794</v>
      </c>
    </row>
    <row r="140" spans="1:6" x14ac:dyDescent="0.35">
      <c r="A140">
        <v>10</v>
      </c>
      <c r="B140">
        <v>4</v>
      </c>
      <c r="C140" t="s">
        <v>97</v>
      </c>
      <c r="D140" s="4">
        <v>4.5999999999999999E-2</v>
      </c>
      <c r="E140" s="4">
        <v>0.11700000000000001</v>
      </c>
      <c r="F140" s="4">
        <v>1.65</v>
      </c>
    </row>
    <row r="141" spans="1:6" x14ac:dyDescent="0.35">
      <c r="A141">
        <v>10</v>
      </c>
      <c r="B141">
        <v>5</v>
      </c>
      <c r="C141" t="s">
        <v>98</v>
      </c>
      <c r="D141" s="4">
        <v>90</v>
      </c>
      <c r="E141" s="4">
        <v>95</v>
      </c>
      <c r="F141" s="4">
        <v>99</v>
      </c>
    </row>
    <row r="142" spans="1:6" x14ac:dyDescent="0.35">
      <c r="A142">
        <v>10</v>
      </c>
      <c r="B142">
        <v>6</v>
      </c>
      <c r="C142" t="s">
        <v>99</v>
      </c>
      <c r="D142" s="4">
        <v>10</v>
      </c>
      <c r="E142" s="4">
        <v>40</v>
      </c>
      <c r="F142" s="4">
        <v>70</v>
      </c>
    </row>
    <row r="143" spans="1:6" x14ac:dyDescent="0.35">
      <c r="A143">
        <v>10</v>
      </c>
      <c r="B143">
        <v>7</v>
      </c>
      <c r="C143" t="s">
        <v>100</v>
      </c>
      <c r="D143" s="4">
        <v>40</v>
      </c>
      <c r="E143" s="4">
        <v>60</v>
      </c>
      <c r="F143" s="4">
        <v>90</v>
      </c>
    </row>
    <row r="144" spans="1:6" x14ac:dyDescent="0.35">
      <c r="A144">
        <v>10</v>
      </c>
      <c r="B144">
        <v>8</v>
      </c>
      <c r="C144" t="s">
        <v>101</v>
      </c>
      <c r="D144" s="4">
        <v>2</v>
      </c>
      <c r="E144" s="4">
        <v>20</v>
      </c>
      <c r="F144" s="4">
        <v>40</v>
      </c>
    </row>
    <row r="145" spans="1:6" x14ac:dyDescent="0.35">
      <c r="A145">
        <v>10</v>
      </c>
      <c r="B145">
        <v>9</v>
      </c>
      <c r="C145" t="s">
        <v>102</v>
      </c>
      <c r="D145" s="4">
        <v>10</v>
      </c>
      <c r="E145" s="4">
        <v>30</v>
      </c>
      <c r="F145" s="4">
        <v>60</v>
      </c>
    </row>
    <row r="146" spans="1:6" x14ac:dyDescent="0.35">
      <c r="A146">
        <v>10</v>
      </c>
      <c r="B146">
        <v>10</v>
      </c>
      <c r="C146" t="s">
        <v>103</v>
      </c>
      <c r="D146" s="4">
        <v>1</v>
      </c>
      <c r="E146" s="4">
        <v>8</v>
      </c>
      <c r="F146" s="4">
        <v>20</v>
      </c>
    </row>
    <row r="147" spans="1:6" x14ac:dyDescent="0.35">
      <c r="A147">
        <v>10</v>
      </c>
      <c r="B147">
        <v>11</v>
      </c>
      <c r="C147" t="s">
        <v>104</v>
      </c>
      <c r="D147" s="4">
        <v>2</v>
      </c>
      <c r="E147" s="4">
        <v>12</v>
      </c>
      <c r="F147" s="4">
        <v>25</v>
      </c>
    </row>
    <row r="148" spans="1:6" x14ac:dyDescent="0.35">
      <c r="A148">
        <v>10</v>
      </c>
      <c r="B148">
        <v>12</v>
      </c>
      <c r="C148" t="s">
        <v>105</v>
      </c>
      <c r="D148" s="4">
        <v>1</v>
      </c>
      <c r="E148" s="4">
        <v>3</v>
      </c>
      <c r="F148" s="4">
        <v>8</v>
      </c>
    </row>
    <row r="149" spans="1:6" x14ac:dyDescent="0.35">
      <c r="A149">
        <v>10</v>
      </c>
      <c r="B149">
        <v>13</v>
      </c>
      <c r="C149" t="s">
        <v>106</v>
      </c>
      <c r="D149" s="4">
        <v>40</v>
      </c>
      <c r="E149" s="4">
        <v>60</v>
      </c>
      <c r="F149" s="4">
        <v>80</v>
      </c>
    </row>
    <row r="150" spans="1:6" x14ac:dyDescent="0.35">
      <c r="A150">
        <v>10</v>
      </c>
      <c r="B150">
        <v>14</v>
      </c>
      <c r="C150" t="s">
        <v>107</v>
      </c>
      <c r="D150" s="4">
        <v>3</v>
      </c>
      <c r="E150" s="4">
        <v>15</v>
      </c>
      <c r="F150" s="4">
        <v>25</v>
      </c>
    </row>
    <row r="151" spans="1:6" x14ac:dyDescent="0.35">
      <c r="A151">
        <v>10</v>
      </c>
      <c r="B151">
        <v>15</v>
      </c>
      <c r="C151" t="s">
        <v>108</v>
      </c>
      <c r="D151" s="4">
        <v>4000</v>
      </c>
      <c r="E151" s="4">
        <v>5862</v>
      </c>
      <c r="F151" s="4">
        <v>7000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7"/>
  <dimension ref="A1:I881"/>
  <sheetViews>
    <sheetView workbookViewId="0">
      <selection sqref="A1:XFD1048576"/>
    </sheetView>
  </sheetViews>
  <sheetFormatPr defaultRowHeight="14.5" x14ac:dyDescent="0.35"/>
  <sheetData>
    <row r="1" spans="1:9" x14ac:dyDescent="0.35">
      <c r="A1" t="s">
        <v>696</v>
      </c>
    </row>
    <row r="2" spans="1:9" x14ac:dyDescent="0.35">
      <c r="A2">
        <v>1</v>
      </c>
      <c r="B2">
        <v>1</v>
      </c>
      <c r="D2" s="4">
        <v>25000</v>
      </c>
      <c r="E2" s="4">
        <v>50000</v>
      </c>
      <c r="F2" s="4">
        <v>100000</v>
      </c>
      <c r="H2" s="4">
        <v>28616</v>
      </c>
      <c r="I2" t="s">
        <v>740</v>
      </c>
    </row>
    <row r="3" spans="1:9" x14ac:dyDescent="0.35">
      <c r="A3">
        <v>1</v>
      </c>
      <c r="B3">
        <v>2</v>
      </c>
      <c r="D3" s="4">
        <v>10000</v>
      </c>
      <c r="E3" s="4">
        <v>15000</v>
      </c>
      <c r="F3" s="4">
        <v>25000</v>
      </c>
      <c r="H3" s="4">
        <v>11310</v>
      </c>
      <c r="I3" t="s">
        <v>740</v>
      </c>
    </row>
    <row r="4" spans="1:9" x14ac:dyDescent="0.35">
      <c r="A4">
        <v>1</v>
      </c>
      <c r="B4">
        <v>3</v>
      </c>
      <c r="D4" s="4">
        <v>1</v>
      </c>
      <c r="E4" s="4">
        <v>10</v>
      </c>
      <c r="F4" s="4">
        <v>100</v>
      </c>
      <c r="H4" s="4">
        <v>10000</v>
      </c>
      <c r="I4" t="s">
        <v>419</v>
      </c>
    </row>
    <row r="5" spans="1:9" x14ac:dyDescent="0.35">
      <c r="A5">
        <v>1</v>
      </c>
      <c r="B5">
        <v>4</v>
      </c>
      <c r="D5" s="4">
        <v>50</v>
      </c>
      <c r="E5" s="4">
        <v>500</v>
      </c>
      <c r="F5" s="4">
        <v>1000</v>
      </c>
      <c r="H5" s="4">
        <v>11841</v>
      </c>
      <c r="I5" t="s">
        <v>740</v>
      </c>
    </row>
    <row r="6" spans="1:9" x14ac:dyDescent="0.35">
      <c r="A6">
        <v>1</v>
      </c>
      <c r="B6">
        <v>5</v>
      </c>
      <c r="D6" s="4">
        <v>0.05</v>
      </c>
      <c r="E6" s="4">
        <v>0.1</v>
      </c>
      <c r="F6" s="4">
        <v>0.15</v>
      </c>
      <c r="H6" s="4">
        <v>0.16</v>
      </c>
      <c r="I6" t="s">
        <v>740</v>
      </c>
    </row>
    <row r="7" spans="1:9" x14ac:dyDescent="0.35">
      <c r="A7">
        <v>1</v>
      </c>
      <c r="B7">
        <v>6</v>
      </c>
      <c r="D7" s="4">
        <v>200</v>
      </c>
      <c r="E7" s="4">
        <v>300</v>
      </c>
      <c r="F7" s="4">
        <v>500</v>
      </c>
      <c r="H7" s="4">
        <v>17</v>
      </c>
      <c r="I7" t="s">
        <v>740</v>
      </c>
    </row>
    <row r="8" spans="1:9" x14ac:dyDescent="0.35">
      <c r="A8">
        <v>1</v>
      </c>
      <c r="B8">
        <v>7</v>
      </c>
      <c r="D8" s="4">
        <v>500</v>
      </c>
      <c r="E8" s="4">
        <v>1000</v>
      </c>
      <c r="F8" s="4">
        <v>10000</v>
      </c>
      <c r="H8" s="4">
        <v>70.7</v>
      </c>
      <c r="I8" t="s">
        <v>419</v>
      </c>
    </row>
    <row r="9" spans="1:9" x14ac:dyDescent="0.35">
      <c r="A9">
        <v>1</v>
      </c>
      <c r="B9">
        <v>8</v>
      </c>
      <c r="D9" s="4">
        <v>10</v>
      </c>
      <c r="E9" s="4">
        <v>50</v>
      </c>
      <c r="F9" s="4">
        <v>100</v>
      </c>
      <c r="H9" s="4">
        <v>12</v>
      </c>
      <c r="I9" t="s">
        <v>740</v>
      </c>
    </row>
    <row r="10" spans="1:9" x14ac:dyDescent="0.35">
      <c r="A10">
        <v>1</v>
      </c>
      <c r="B10">
        <v>9</v>
      </c>
      <c r="D10" s="4">
        <v>1000</v>
      </c>
      <c r="E10" s="4">
        <v>5000</v>
      </c>
      <c r="F10" s="4">
        <v>10000</v>
      </c>
      <c r="H10" s="4">
        <v>3.5</v>
      </c>
      <c r="I10" t="s">
        <v>419</v>
      </c>
    </row>
    <row r="11" spans="1:9" x14ac:dyDescent="0.35">
      <c r="A11">
        <v>1</v>
      </c>
      <c r="B11">
        <v>10</v>
      </c>
      <c r="D11" s="4">
        <v>0.15</v>
      </c>
      <c r="E11" s="4">
        <v>0.35</v>
      </c>
      <c r="F11" s="4">
        <v>0.4</v>
      </c>
      <c r="H11" s="4">
        <v>0.28899999999999998</v>
      </c>
      <c r="I11" t="s">
        <v>740</v>
      </c>
    </row>
    <row r="12" spans="1:9" x14ac:dyDescent="0.35">
      <c r="A12">
        <v>1</v>
      </c>
      <c r="B12">
        <v>11</v>
      </c>
      <c r="D12" s="4">
        <v>0.15</v>
      </c>
      <c r="E12" s="4">
        <v>0.35</v>
      </c>
      <c r="F12" s="4">
        <v>0.5</v>
      </c>
    </row>
    <row r="13" spans="1:9" x14ac:dyDescent="0.35">
      <c r="A13">
        <v>1</v>
      </c>
      <c r="B13">
        <v>12</v>
      </c>
      <c r="D13" s="4">
        <v>0.05</v>
      </c>
      <c r="E13" s="4">
        <v>0.1</v>
      </c>
      <c r="F13" s="4">
        <v>0.15</v>
      </c>
    </row>
    <row r="14" spans="1:9" x14ac:dyDescent="0.35">
      <c r="A14">
        <v>1</v>
      </c>
      <c r="B14">
        <v>13</v>
      </c>
      <c r="D14" s="4">
        <v>0.1</v>
      </c>
      <c r="E14" s="4">
        <v>0.2</v>
      </c>
      <c r="F14" s="4">
        <v>0.25</v>
      </c>
    </row>
    <row r="15" spans="1:9" x14ac:dyDescent="0.35">
      <c r="A15">
        <v>1</v>
      </c>
      <c r="B15">
        <v>14</v>
      </c>
      <c r="D15" s="4">
        <v>0.01</v>
      </c>
      <c r="E15" s="4">
        <v>0.05</v>
      </c>
      <c r="F15" s="4">
        <v>0.1</v>
      </c>
    </row>
    <row r="16" spans="1:9" x14ac:dyDescent="0.35">
      <c r="A16">
        <v>1</v>
      </c>
      <c r="B16">
        <v>15</v>
      </c>
      <c r="D16" s="4">
        <v>0.15</v>
      </c>
      <c r="E16" s="4">
        <v>0.25</v>
      </c>
      <c r="F16" s="4">
        <v>0.3</v>
      </c>
    </row>
    <row r="17" spans="1:6" x14ac:dyDescent="0.35">
      <c r="A17">
        <v>1</v>
      </c>
      <c r="B17">
        <v>16</v>
      </c>
      <c r="D17" s="4">
        <v>0.01</v>
      </c>
      <c r="E17" s="4">
        <v>0.02</v>
      </c>
      <c r="F17" s="4">
        <v>0.05</v>
      </c>
    </row>
    <row r="18" spans="1:6" x14ac:dyDescent="0.35">
      <c r="A18">
        <v>1</v>
      </c>
      <c r="B18">
        <v>17</v>
      </c>
      <c r="D18" s="4">
        <v>5.0000000000000001E-3</v>
      </c>
      <c r="E18" s="4">
        <v>0.01</v>
      </c>
      <c r="F18" s="4">
        <v>1.4999999999999999E-2</v>
      </c>
    </row>
    <row r="19" spans="1:6" x14ac:dyDescent="0.35">
      <c r="A19">
        <v>1</v>
      </c>
      <c r="B19">
        <v>18</v>
      </c>
      <c r="D19" s="4">
        <v>5.0000000000000001E-3</v>
      </c>
      <c r="E19" s="4">
        <v>0.01</v>
      </c>
      <c r="F19" s="4">
        <v>1.4999999999999999E-2</v>
      </c>
    </row>
    <row r="20" spans="1:6" x14ac:dyDescent="0.35">
      <c r="A20">
        <v>1</v>
      </c>
      <c r="B20">
        <v>19</v>
      </c>
      <c r="D20" s="4">
        <v>1E-8</v>
      </c>
      <c r="E20" s="4">
        <v>9.9999999999999995E-8</v>
      </c>
      <c r="F20" s="4">
        <v>9.9999999999999995E-7</v>
      </c>
    </row>
    <row r="21" spans="1:6" x14ac:dyDescent="0.35">
      <c r="A21">
        <v>1</v>
      </c>
      <c r="B21">
        <v>20</v>
      </c>
      <c r="D21" s="4">
        <v>0.15</v>
      </c>
      <c r="E21" s="4">
        <v>0.35</v>
      </c>
      <c r="F21" s="4">
        <v>0.5</v>
      </c>
    </row>
    <row r="22" spans="1:6" x14ac:dyDescent="0.35">
      <c r="A22">
        <v>1</v>
      </c>
      <c r="B22">
        <v>21</v>
      </c>
      <c r="D22" s="4">
        <v>0.15</v>
      </c>
      <c r="E22" s="4">
        <v>0.25</v>
      </c>
      <c r="F22" s="4">
        <v>0.35</v>
      </c>
    </row>
    <row r="23" spans="1:6" x14ac:dyDescent="0.35">
      <c r="A23">
        <v>1</v>
      </c>
      <c r="B23">
        <v>22</v>
      </c>
      <c r="D23" s="4">
        <v>0.1</v>
      </c>
      <c r="E23" s="4">
        <v>0.25</v>
      </c>
      <c r="F23" s="4">
        <v>0.35</v>
      </c>
    </row>
    <row r="24" spans="1:6" x14ac:dyDescent="0.35">
      <c r="A24">
        <v>1</v>
      </c>
      <c r="B24">
        <v>23</v>
      </c>
      <c r="D24" s="4">
        <v>0.01</v>
      </c>
      <c r="E24" s="4">
        <v>0.05</v>
      </c>
      <c r="F24" s="4">
        <v>0.1</v>
      </c>
    </row>
    <row r="25" spans="1:6" x14ac:dyDescent="0.35">
      <c r="A25">
        <v>1</v>
      </c>
      <c r="B25">
        <v>24</v>
      </c>
      <c r="D25" s="4">
        <v>0.01</v>
      </c>
      <c r="E25" s="4">
        <v>0.05</v>
      </c>
      <c r="F25" s="4">
        <v>0.1</v>
      </c>
    </row>
    <row r="26" spans="1:6" x14ac:dyDescent="0.35">
      <c r="A26">
        <v>1</v>
      </c>
      <c r="B26">
        <v>25</v>
      </c>
      <c r="D26" s="4">
        <v>1E-8</v>
      </c>
      <c r="E26" s="4">
        <v>9.9999999999999995E-8</v>
      </c>
      <c r="F26" s="4">
        <v>9.9999999999999995E-7</v>
      </c>
    </row>
    <row r="27" spans="1:6" x14ac:dyDescent="0.35">
      <c r="A27">
        <v>1</v>
      </c>
      <c r="B27">
        <v>26</v>
      </c>
      <c r="D27" s="4">
        <v>0.3</v>
      </c>
      <c r="E27" s="4">
        <v>0.8</v>
      </c>
      <c r="F27" s="4">
        <v>0.9</v>
      </c>
    </row>
    <row r="28" spans="1:6" x14ac:dyDescent="0.35">
      <c r="A28">
        <v>1</v>
      </c>
      <c r="B28">
        <v>27</v>
      </c>
      <c r="D28" s="4">
        <v>0.05</v>
      </c>
      <c r="E28" s="4">
        <v>0.19</v>
      </c>
      <c r="F28" s="4">
        <v>0.3</v>
      </c>
    </row>
    <row r="29" spans="1:6" x14ac:dyDescent="0.35">
      <c r="A29">
        <v>1</v>
      </c>
      <c r="B29">
        <v>28</v>
      </c>
      <c r="D29" s="4">
        <v>0.15</v>
      </c>
      <c r="E29" s="4">
        <v>0.35</v>
      </c>
      <c r="F29" s="4">
        <v>0.5</v>
      </c>
    </row>
    <row r="30" spans="1:6" x14ac:dyDescent="0.35">
      <c r="A30">
        <v>1</v>
      </c>
      <c r="B30">
        <v>29</v>
      </c>
      <c r="D30" s="4">
        <v>0.15</v>
      </c>
      <c r="E30" s="4">
        <v>0.25</v>
      </c>
      <c r="F30" s="4">
        <v>0.35</v>
      </c>
    </row>
    <row r="31" spans="1:6" x14ac:dyDescent="0.35">
      <c r="A31">
        <v>1</v>
      </c>
      <c r="B31">
        <v>30</v>
      </c>
      <c r="D31" s="4">
        <v>0.1</v>
      </c>
      <c r="E31" s="4">
        <v>0.25</v>
      </c>
      <c r="F31" s="4">
        <v>0.35</v>
      </c>
    </row>
    <row r="32" spans="1:6" x14ac:dyDescent="0.35">
      <c r="A32">
        <v>1</v>
      </c>
      <c r="B32">
        <v>31</v>
      </c>
      <c r="D32" s="4">
        <v>0.01</v>
      </c>
      <c r="E32" s="4">
        <v>0.05</v>
      </c>
      <c r="F32" s="4">
        <v>0.1</v>
      </c>
    </row>
    <row r="33" spans="1:6" x14ac:dyDescent="0.35">
      <c r="A33">
        <v>1</v>
      </c>
      <c r="B33">
        <v>32</v>
      </c>
      <c r="D33" s="4">
        <v>0.01</v>
      </c>
      <c r="E33" s="4">
        <v>0.05</v>
      </c>
      <c r="F33" s="4">
        <v>0.1</v>
      </c>
    </row>
    <row r="34" spans="1:6" x14ac:dyDescent="0.35">
      <c r="A34">
        <v>1</v>
      </c>
      <c r="B34">
        <v>33</v>
      </c>
      <c r="D34" s="4">
        <v>1E-8</v>
      </c>
      <c r="E34" s="4">
        <v>9.9999999999999995E-8</v>
      </c>
      <c r="F34" s="4">
        <v>9.9999999999999995E-7</v>
      </c>
    </row>
    <row r="35" spans="1:6" x14ac:dyDescent="0.35">
      <c r="A35">
        <v>1</v>
      </c>
      <c r="B35">
        <v>34</v>
      </c>
      <c r="D35" s="4">
        <v>0.5</v>
      </c>
      <c r="E35" s="4">
        <v>0.75</v>
      </c>
      <c r="F35" s="4">
        <v>0.95</v>
      </c>
    </row>
    <row r="36" spans="1:6" x14ac:dyDescent="0.35">
      <c r="A36">
        <v>1</v>
      </c>
      <c r="B36">
        <v>35</v>
      </c>
      <c r="D36" s="4">
        <v>0.2</v>
      </c>
      <c r="E36" s="4">
        <v>0.25</v>
      </c>
      <c r="F36" s="4">
        <v>0.3</v>
      </c>
    </row>
    <row r="37" spans="1:6" x14ac:dyDescent="0.35">
      <c r="A37">
        <v>1</v>
      </c>
      <c r="B37">
        <v>36</v>
      </c>
      <c r="D37" s="4">
        <v>0.05</v>
      </c>
      <c r="E37" s="4">
        <v>0.1</v>
      </c>
      <c r="F37" s="4">
        <v>0.2</v>
      </c>
    </row>
    <row r="38" spans="1:6" x14ac:dyDescent="0.35">
      <c r="A38">
        <v>1</v>
      </c>
      <c r="B38">
        <v>37</v>
      </c>
      <c r="D38" s="4">
        <v>0.05</v>
      </c>
      <c r="E38" s="4">
        <v>0.1</v>
      </c>
      <c r="F38" s="4">
        <v>0.2</v>
      </c>
    </row>
    <row r="39" spans="1:6" x14ac:dyDescent="0.35">
      <c r="A39">
        <v>1</v>
      </c>
      <c r="B39">
        <v>38</v>
      </c>
      <c r="D39" s="4">
        <v>0.5</v>
      </c>
      <c r="E39" s="4">
        <v>0.75</v>
      </c>
      <c r="F39" s="4">
        <v>0.95</v>
      </c>
    </row>
    <row r="40" spans="1:6" x14ac:dyDescent="0.35">
      <c r="A40">
        <v>1</v>
      </c>
      <c r="B40">
        <v>39</v>
      </c>
      <c r="D40" s="4">
        <v>0.35</v>
      </c>
      <c r="E40" s="4">
        <v>0.45</v>
      </c>
      <c r="F40" s="4">
        <v>0.75</v>
      </c>
    </row>
    <row r="41" spans="1:6" x14ac:dyDescent="0.35">
      <c r="A41">
        <v>1</v>
      </c>
      <c r="B41">
        <v>40</v>
      </c>
      <c r="D41" s="4">
        <v>0.4</v>
      </c>
      <c r="E41" s="4">
        <v>0.5</v>
      </c>
      <c r="F41" s="4">
        <v>0.8</v>
      </c>
    </row>
    <row r="42" spans="1:6" x14ac:dyDescent="0.35">
      <c r="A42">
        <v>1</v>
      </c>
      <c r="B42">
        <v>41</v>
      </c>
      <c r="D42" s="4">
        <v>0.4</v>
      </c>
      <c r="E42" s="4">
        <v>0.6</v>
      </c>
      <c r="F42" s="4">
        <v>0.8</v>
      </c>
    </row>
    <row r="43" spans="1:6" x14ac:dyDescent="0.35">
      <c r="A43">
        <v>1</v>
      </c>
      <c r="B43">
        <v>42</v>
      </c>
      <c r="D43" s="4">
        <v>0.05</v>
      </c>
      <c r="E43" s="4">
        <v>0.1</v>
      </c>
      <c r="F43" s="4">
        <v>0.2</v>
      </c>
    </row>
    <row r="44" spans="1:6" x14ac:dyDescent="0.35">
      <c r="A44">
        <v>1</v>
      </c>
      <c r="B44">
        <v>43</v>
      </c>
      <c r="D44" s="4">
        <v>0.15</v>
      </c>
      <c r="E44" s="4">
        <v>0.25</v>
      </c>
      <c r="F44" s="4">
        <v>0.35</v>
      </c>
    </row>
    <row r="45" spans="1:6" x14ac:dyDescent="0.35">
      <c r="A45">
        <v>1</v>
      </c>
      <c r="B45">
        <v>44</v>
      </c>
      <c r="D45" s="4">
        <v>0.01</v>
      </c>
      <c r="E45" s="4">
        <v>0.05</v>
      </c>
      <c r="F45" s="4">
        <v>0.1</v>
      </c>
    </row>
    <row r="46" spans="1:6" x14ac:dyDescent="0.35">
      <c r="A46">
        <v>1</v>
      </c>
      <c r="B46">
        <v>45</v>
      </c>
      <c r="D46" s="4">
        <v>0.5</v>
      </c>
      <c r="E46" s="4">
        <v>0.8</v>
      </c>
      <c r="F46" s="4">
        <v>0.9</v>
      </c>
    </row>
    <row r="47" spans="1:6" x14ac:dyDescent="0.35">
      <c r="A47">
        <v>1</v>
      </c>
      <c r="B47">
        <v>46</v>
      </c>
      <c r="D47" s="4">
        <v>0.05</v>
      </c>
      <c r="E47" s="4">
        <v>0.18</v>
      </c>
      <c r="F47" s="4">
        <v>0.2</v>
      </c>
    </row>
    <row r="48" spans="1:6" x14ac:dyDescent="0.35">
      <c r="A48">
        <v>1</v>
      </c>
      <c r="B48">
        <v>47</v>
      </c>
      <c r="D48" s="4">
        <v>0.35</v>
      </c>
      <c r="E48" s="4">
        <v>0.45</v>
      </c>
      <c r="F48" s="4">
        <v>0.5</v>
      </c>
    </row>
    <row r="49" spans="1:6" x14ac:dyDescent="0.35">
      <c r="A49">
        <v>1</v>
      </c>
      <c r="B49">
        <v>48</v>
      </c>
      <c r="D49" s="4">
        <v>0.05</v>
      </c>
      <c r="E49" s="4">
        <v>0.1</v>
      </c>
      <c r="F49" s="4">
        <v>0.2</v>
      </c>
    </row>
    <row r="50" spans="1:6" x14ac:dyDescent="0.35">
      <c r="A50">
        <v>1</v>
      </c>
      <c r="B50">
        <v>49</v>
      </c>
      <c r="D50" s="4">
        <v>0.25</v>
      </c>
      <c r="E50" s="4">
        <v>0.35</v>
      </c>
      <c r="F50" s="4">
        <v>0.45</v>
      </c>
    </row>
    <row r="51" spans="1:6" x14ac:dyDescent="0.35">
      <c r="A51">
        <v>1</v>
      </c>
      <c r="B51">
        <v>50</v>
      </c>
      <c r="D51" s="4">
        <v>0.01</v>
      </c>
      <c r="E51" s="4">
        <v>0.09</v>
      </c>
      <c r="F51" s="4">
        <v>0.1</v>
      </c>
    </row>
    <row r="52" spans="1:6" x14ac:dyDescent="0.35">
      <c r="A52">
        <v>1</v>
      </c>
      <c r="B52">
        <v>51</v>
      </c>
      <c r="D52" s="4">
        <v>1E-8</v>
      </c>
      <c r="E52" s="4">
        <v>9.9999999999999995E-8</v>
      </c>
      <c r="F52" s="4">
        <v>9.9999999999999995E-7</v>
      </c>
    </row>
    <row r="53" spans="1:6" x14ac:dyDescent="0.35">
      <c r="A53">
        <v>1</v>
      </c>
      <c r="B53">
        <v>52</v>
      </c>
      <c r="D53" s="4">
        <v>0.25</v>
      </c>
      <c r="E53" s="4">
        <v>0.35</v>
      </c>
      <c r="F53" s="4">
        <v>0.55000000000000004</v>
      </c>
    </row>
    <row r="54" spans="1:6" x14ac:dyDescent="0.35">
      <c r="A54">
        <v>1</v>
      </c>
      <c r="B54">
        <v>53</v>
      </c>
      <c r="D54" s="4">
        <v>0.1</v>
      </c>
      <c r="E54" s="4">
        <v>0.35</v>
      </c>
      <c r="F54" s="4">
        <v>0.45</v>
      </c>
    </row>
    <row r="55" spans="1:6" x14ac:dyDescent="0.35">
      <c r="A55">
        <v>1</v>
      </c>
      <c r="B55">
        <v>54</v>
      </c>
      <c r="D55" s="4">
        <v>0.15</v>
      </c>
      <c r="E55" s="4">
        <v>0.25</v>
      </c>
      <c r="F55" s="4">
        <v>0.35</v>
      </c>
    </row>
    <row r="56" spans="1:6" x14ac:dyDescent="0.35">
      <c r="A56">
        <v>1</v>
      </c>
      <c r="B56">
        <v>55</v>
      </c>
      <c r="D56" s="4">
        <v>0.25</v>
      </c>
      <c r="E56" s="4">
        <v>0.35</v>
      </c>
      <c r="F56" s="4">
        <v>0.5</v>
      </c>
    </row>
    <row r="57" spans="1:6" x14ac:dyDescent="0.35">
      <c r="A57">
        <v>1</v>
      </c>
      <c r="B57">
        <v>56</v>
      </c>
      <c r="D57" s="4">
        <v>0.4</v>
      </c>
      <c r="E57" s="4">
        <v>0.6</v>
      </c>
      <c r="F57" s="4">
        <v>0.8</v>
      </c>
    </row>
    <row r="58" spans="1:6" x14ac:dyDescent="0.35">
      <c r="A58">
        <v>1</v>
      </c>
      <c r="B58">
        <v>57</v>
      </c>
      <c r="D58" s="4">
        <v>0.2</v>
      </c>
      <c r="E58" s="4">
        <v>0.3</v>
      </c>
      <c r="F58" s="4">
        <v>0.4</v>
      </c>
    </row>
    <row r="59" spans="1:6" x14ac:dyDescent="0.35">
      <c r="A59">
        <v>1</v>
      </c>
      <c r="B59">
        <v>58</v>
      </c>
      <c r="D59" s="4">
        <v>0.1</v>
      </c>
      <c r="E59" s="4">
        <v>0.2</v>
      </c>
      <c r="F59" s="4">
        <v>0.3</v>
      </c>
    </row>
    <row r="60" spans="1:6" x14ac:dyDescent="0.35">
      <c r="A60">
        <v>1</v>
      </c>
      <c r="B60">
        <v>59</v>
      </c>
      <c r="D60" s="4">
        <v>0.25</v>
      </c>
      <c r="E60" s="4">
        <v>0.35</v>
      </c>
      <c r="F60" s="4">
        <v>0.65</v>
      </c>
    </row>
    <row r="61" spans="1:6" x14ac:dyDescent="0.35">
      <c r="A61">
        <v>1</v>
      </c>
      <c r="B61">
        <v>60</v>
      </c>
      <c r="D61" s="4">
        <v>0.05</v>
      </c>
      <c r="E61" s="4">
        <v>0.1</v>
      </c>
      <c r="F61" s="4">
        <v>0.15</v>
      </c>
    </row>
    <row r="62" spans="1:6" x14ac:dyDescent="0.35">
      <c r="A62">
        <v>1</v>
      </c>
      <c r="B62">
        <v>61</v>
      </c>
      <c r="D62" s="4">
        <v>0.3</v>
      </c>
      <c r="E62" s="4">
        <v>0.55000000000000004</v>
      </c>
      <c r="F62" s="4">
        <v>0.7</v>
      </c>
    </row>
    <row r="63" spans="1:6" x14ac:dyDescent="0.35">
      <c r="A63">
        <v>1</v>
      </c>
      <c r="B63">
        <v>62</v>
      </c>
      <c r="D63" s="4">
        <v>0.2</v>
      </c>
      <c r="E63" s="4">
        <v>0.4</v>
      </c>
      <c r="F63" s="4">
        <v>0.5</v>
      </c>
    </row>
    <row r="64" spans="1:6" x14ac:dyDescent="0.35">
      <c r="A64">
        <v>1</v>
      </c>
      <c r="B64">
        <v>63</v>
      </c>
      <c r="D64" s="4">
        <v>0.45</v>
      </c>
      <c r="E64" s="4">
        <v>0.65</v>
      </c>
      <c r="F64" s="4">
        <v>0.8</v>
      </c>
    </row>
    <row r="65" spans="1:6" x14ac:dyDescent="0.35">
      <c r="A65">
        <v>1</v>
      </c>
      <c r="B65">
        <v>64</v>
      </c>
      <c r="D65" s="4">
        <v>0.05</v>
      </c>
      <c r="E65" s="4">
        <v>0.15</v>
      </c>
      <c r="F65" s="4">
        <v>0.25</v>
      </c>
    </row>
    <row r="66" spans="1:6" x14ac:dyDescent="0.35">
      <c r="A66">
        <v>1</v>
      </c>
      <c r="B66">
        <v>65</v>
      </c>
      <c r="D66" s="4">
        <v>0.05</v>
      </c>
      <c r="E66" s="4">
        <v>0.1</v>
      </c>
      <c r="F66" s="4">
        <v>0.2</v>
      </c>
    </row>
    <row r="67" spans="1:6" x14ac:dyDescent="0.35">
      <c r="A67">
        <v>1</v>
      </c>
      <c r="B67">
        <v>66</v>
      </c>
      <c r="D67" s="4">
        <v>0.01</v>
      </c>
      <c r="E67" s="4">
        <v>0.05</v>
      </c>
      <c r="F67" s="4">
        <v>0.1</v>
      </c>
    </row>
    <row r="68" spans="1:6" x14ac:dyDescent="0.35">
      <c r="A68">
        <v>1</v>
      </c>
      <c r="B68">
        <v>67</v>
      </c>
      <c r="D68" s="4">
        <v>1E-8</v>
      </c>
      <c r="E68" s="4">
        <v>9.9999999999999995E-8</v>
      </c>
      <c r="F68" s="4">
        <v>9.9999999999999995E-7</v>
      </c>
    </row>
    <row r="69" spans="1:6" x14ac:dyDescent="0.35">
      <c r="A69">
        <v>1</v>
      </c>
      <c r="B69">
        <v>68</v>
      </c>
      <c r="D69" s="4">
        <v>0.5</v>
      </c>
      <c r="E69" s="4">
        <v>0.75</v>
      </c>
      <c r="F69" s="4">
        <v>0.9</v>
      </c>
    </row>
    <row r="70" spans="1:6" x14ac:dyDescent="0.35">
      <c r="A70">
        <v>1</v>
      </c>
      <c r="B70">
        <v>69</v>
      </c>
      <c r="D70" s="4">
        <v>0.1</v>
      </c>
      <c r="E70" s="4">
        <v>0.2</v>
      </c>
      <c r="F70" s="4">
        <v>0.3</v>
      </c>
    </row>
    <row r="71" spans="1:6" x14ac:dyDescent="0.35">
      <c r="A71">
        <v>1</v>
      </c>
      <c r="B71">
        <v>70</v>
      </c>
      <c r="D71" s="4">
        <v>0.3</v>
      </c>
      <c r="E71" s="4">
        <v>0.5</v>
      </c>
      <c r="F71" s="4">
        <v>0.8</v>
      </c>
    </row>
    <row r="72" spans="1:6" x14ac:dyDescent="0.35">
      <c r="A72">
        <v>1</v>
      </c>
      <c r="B72">
        <v>71</v>
      </c>
      <c r="D72" s="4">
        <v>0.05</v>
      </c>
      <c r="E72" s="4">
        <v>0.09</v>
      </c>
      <c r="F72" s="4">
        <v>0.15</v>
      </c>
    </row>
    <row r="73" spans="1:6" x14ac:dyDescent="0.35">
      <c r="A73">
        <v>1</v>
      </c>
      <c r="B73">
        <v>72</v>
      </c>
      <c r="D73" s="4">
        <v>0.25</v>
      </c>
      <c r="E73" s="4">
        <v>0.35</v>
      </c>
      <c r="F73" s="4">
        <v>0.45</v>
      </c>
    </row>
    <row r="74" spans="1:6" x14ac:dyDescent="0.35">
      <c r="A74">
        <v>1</v>
      </c>
      <c r="B74">
        <v>73</v>
      </c>
      <c r="D74" s="4">
        <v>0.01</v>
      </c>
      <c r="E74" s="4">
        <v>0.05</v>
      </c>
      <c r="F74" s="4">
        <v>0.1</v>
      </c>
    </row>
    <row r="75" spans="1:6" x14ac:dyDescent="0.35">
      <c r="A75">
        <v>1</v>
      </c>
      <c r="B75">
        <v>74</v>
      </c>
      <c r="D75" s="4">
        <v>0.3</v>
      </c>
      <c r="E75" s="4">
        <v>0.5</v>
      </c>
      <c r="F75" s="4">
        <v>0.8</v>
      </c>
    </row>
    <row r="76" spans="1:6" x14ac:dyDescent="0.35">
      <c r="A76">
        <v>1</v>
      </c>
      <c r="B76">
        <v>75</v>
      </c>
      <c r="D76" s="4">
        <v>0.25</v>
      </c>
      <c r="E76" s="4">
        <v>0.45</v>
      </c>
      <c r="F76" s="4">
        <v>0.75</v>
      </c>
    </row>
    <row r="77" spans="1:6" x14ac:dyDescent="0.35">
      <c r="A77">
        <v>1</v>
      </c>
      <c r="B77">
        <v>76</v>
      </c>
      <c r="D77" s="4">
        <v>0.35</v>
      </c>
      <c r="E77" s="4">
        <v>0.45</v>
      </c>
      <c r="F77" s="4">
        <v>0.5</v>
      </c>
    </row>
    <row r="78" spans="1:6" x14ac:dyDescent="0.35">
      <c r="A78">
        <v>1</v>
      </c>
      <c r="B78">
        <v>77</v>
      </c>
      <c r="D78" s="4">
        <v>0.05</v>
      </c>
      <c r="E78" s="4">
        <v>0.1</v>
      </c>
      <c r="F78" s="4">
        <v>0.2</v>
      </c>
    </row>
    <row r="79" spans="1:6" x14ac:dyDescent="0.35">
      <c r="A79">
        <v>1</v>
      </c>
      <c r="B79">
        <v>78</v>
      </c>
      <c r="D79" s="4">
        <v>0.25</v>
      </c>
      <c r="E79" s="4">
        <v>0.35</v>
      </c>
      <c r="F79" s="4">
        <v>0.45</v>
      </c>
    </row>
    <row r="80" spans="1:6" x14ac:dyDescent="0.35">
      <c r="A80">
        <v>1</v>
      </c>
      <c r="B80">
        <v>79</v>
      </c>
      <c r="D80" s="4">
        <v>0.01</v>
      </c>
      <c r="E80" s="4">
        <v>0.09</v>
      </c>
      <c r="F80" s="4">
        <v>0.1</v>
      </c>
    </row>
    <row r="81" spans="1:6" x14ac:dyDescent="0.35">
      <c r="A81">
        <v>1</v>
      </c>
      <c r="B81">
        <v>80</v>
      </c>
      <c r="D81" s="4">
        <v>1E-8</v>
      </c>
      <c r="E81" s="4">
        <v>9.9999999999999995E-8</v>
      </c>
      <c r="F81" s="4">
        <v>9.9999999999999995E-7</v>
      </c>
    </row>
    <row r="82" spans="1:6" x14ac:dyDescent="0.35">
      <c r="A82">
        <v>2</v>
      </c>
      <c r="B82">
        <v>1</v>
      </c>
      <c r="D82" s="4">
        <v>20000</v>
      </c>
      <c r="E82" s="4">
        <v>24000</v>
      </c>
      <c r="F82" s="4">
        <v>30000</v>
      </c>
    </row>
    <row r="83" spans="1:6" x14ac:dyDescent="0.35">
      <c r="A83">
        <v>2</v>
      </c>
      <c r="B83">
        <v>2</v>
      </c>
      <c r="D83" s="4">
        <v>10000</v>
      </c>
      <c r="E83" s="4">
        <v>12000</v>
      </c>
      <c r="F83" s="4">
        <v>15000</v>
      </c>
    </row>
    <row r="84" spans="1:6" x14ac:dyDescent="0.35">
      <c r="A84">
        <v>2</v>
      </c>
      <c r="B84">
        <v>3</v>
      </c>
      <c r="D84" s="4">
        <v>24000</v>
      </c>
      <c r="E84" s="4">
        <v>30000</v>
      </c>
      <c r="F84" s="4">
        <v>40000</v>
      </c>
    </row>
    <row r="85" spans="1:6" x14ac:dyDescent="0.35">
      <c r="A85">
        <v>2</v>
      </c>
      <c r="B85">
        <v>4</v>
      </c>
      <c r="D85" s="4">
        <v>70</v>
      </c>
      <c r="E85" s="4">
        <v>100</v>
      </c>
      <c r="F85" s="4">
        <v>150</v>
      </c>
    </row>
    <row r="86" spans="1:6" x14ac:dyDescent="0.35">
      <c r="A86">
        <v>2</v>
      </c>
      <c r="B86">
        <v>5</v>
      </c>
      <c r="D86" s="4">
        <v>5.0000000000000001E-3</v>
      </c>
      <c r="E86" s="4">
        <v>0.01</v>
      </c>
      <c r="F86" s="4">
        <v>0.05</v>
      </c>
    </row>
    <row r="87" spans="1:6" x14ac:dyDescent="0.35">
      <c r="A87">
        <v>2</v>
      </c>
      <c r="B87">
        <v>6</v>
      </c>
      <c r="D87" s="4">
        <v>200</v>
      </c>
      <c r="E87" s="4">
        <v>500</v>
      </c>
      <c r="F87" s="4">
        <v>2000</v>
      </c>
    </row>
    <row r="88" spans="1:6" x14ac:dyDescent="0.35">
      <c r="A88">
        <v>2</v>
      </c>
      <c r="B88">
        <v>7</v>
      </c>
      <c r="D88" s="4">
        <v>200</v>
      </c>
      <c r="E88" s="4">
        <v>1000</v>
      </c>
      <c r="F88" s="4">
        <v>10000</v>
      </c>
    </row>
    <row r="89" spans="1:6" x14ac:dyDescent="0.35">
      <c r="A89">
        <v>2</v>
      </c>
      <c r="B89">
        <v>8</v>
      </c>
      <c r="D89" s="4">
        <v>15</v>
      </c>
      <c r="E89" s="4">
        <v>20</v>
      </c>
      <c r="F89" s="4">
        <v>30</v>
      </c>
    </row>
    <row r="90" spans="1:6" x14ac:dyDescent="0.35">
      <c r="A90">
        <v>2</v>
      </c>
      <c r="B90">
        <v>9</v>
      </c>
      <c r="D90" s="4">
        <v>2</v>
      </c>
      <c r="E90" s="4">
        <v>3</v>
      </c>
      <c r="F90" s="4">
        <v>3.5</v>
      </c>
    </row>
    <row r="91" spans="1:6" x14ac:dyDescent="0.35">
      <c r="A91">
        <v>2</v>
      </c>
      <c r="B91">
        <v>10</v>
      </c>
      <c r="D91" s="4">
        <v>0.25</v>
      </c>
      <c r="E91" s="4">
        <v>0.3</v>
      </c>
      <c r="F91" s="4">
        <v>0.35</v>
      </c>
    </row>
    <row r="92" spans="1:6" x14ac:dyDescent="0.35">
      <c r="A92">
        <v>2</v>
      </c>
      <c r="B92">
        <v>11</v>
      </c>
      <c r="D92" s="4">
        <v>1E-8</v>
      </c>
      <c r="E92" s="4">
        <v>9.9999999999999995E-8</v>
      </c>
      <c r="F92" s="4">
        <v>9.9999999999999995E-7</v>
      </c>
    </row>
    <row r="93" spans="1:6" x14ac:dyDescent="0.35">
      <c r="A93">
        <v>2</v>
      </c>
      <c r="B93">
        <v>12</v>
      </c>
      <c r="D93" s="4">
        <v>1E-8</v>
      </c>
      <c r="E93" s="4">
        <v>9.9999999999999995E-8</v>
      </c>
      <c r="F93" s="4">
        <v>9.9999999999999995E-7</v>
      </c>
    </row>
    <row r="94" spans="1:6" x14ac:dyDescent="0.35">
      <c r="A94">
        <v>2</v>
      </c>
      <c r="B94">
        <v>13</v>
      </c>
      <c r="D94" s="4">
        <v>0.2</v>
      </c>
      <c r="E94" s="4">
        <v>0.4</v>
      </c>
      <c r="F94" s="4">
        <v>0.6</v>
      </c>
    </row>
    <row r="95" spans="1:6" x14ac:dyDescent="0.35">
      <c r="A95">
        <v>2</v>
      </c>
      <c r="B95">
        <v>14</v>
      </c>
      <c r="D95" s="4">
        <v>0.02</v>
      </c>
      <c r="E95" s="4">
        <v>0.2</v>
      </c>
      <c r="F95" s="4">
        <v>0.3</v>
      </c>
    </row>
    <row r="96" spans="1:6" x14ac:dyDescent="0.35">
      <c r="A96">
        <v>2</v>
      </c>
      <c r="B96">
        <v>15</v>
      </c>
      <c r="D96" s="4">
        <v>0.15</v>
      </c>
      <c r="E96" s="4">
        <v>0.3</v>
      </c>
      <c r="F96" s="4">
        <v>0.45</v>
      </c>
    </row>
    <row r="97" spans="1:6" x14ac:dyDescent="0.35">
      <c r="A97">
        <v>2</v>
      </c>
      <c r="B97">
        <v>16</v>
      </c>
      <c r="D97" s="4">
        <v>1E-8</v>
      </c>
      <c r="E97" s="4">
        <v>9.9999999999999995E-8</v>
      </c>
      <c r="F97" s="4">
        <v>9.9999999999999995E-7</v>
      </c>
    </row>
    <row r="98" spans="1:6" x14ac:dyDescent="0.35">
      <c r="A98">
        <v>2</v>
      </c>
      <c r="B98">
        <v>17</v>
      </c>
      <c r="D98" s="4">
        <v>1E-8</v>
      </c>
      <c r="E98" s="4">
        <v>9.9999999999999995E-8</v>
      </c>
      <c r="F98" s="4">
        <v>9.9999999999999995E-7</v>
      </c>
    </row>
    <row r="99" spans="1:6" x14ac:dyDescent="0.35">
      <c r="A99">
        <v>2</v>
      </c>
      <c r="B99">
        <v>18</v>
      </c>
      <c r="D99" s="4">
        <v>1E-8</v>
      </c>
      <c r="E99" s="4">
        <v>9.9999999999999995E-8</v>
      </c>
      <c r="F99" s="4">
        <v>9.9999999999999995E-7</v>
      </c>
    </row>
    <row r="100" spans="1:6" x14ac:dyDescent="0.35">
      <c r="A100">
        <v>2</v>
      </c>
      <c r="B100">
        <v>19</v>
      </c>
      <c r="D100" s="4">
        <v>0.01</v>
      </c>
      <c r="E100" s="4">
        <v>0.1</v>
      </c>
      <c r="F100" s="4">
        <v>0.2</v>
      </c>
    </row>
    <row r="101" spans="1:6" x14ac:dyDescent="0.35">
      <c r="A101">
        <v>2</v>
      </c>
      <c r="B101">
        <v>20</v>
      </c>
      <c r="D101" s="4">
        <v>0.05</v>
      </c>
      <c r="E101" s="4">
        <v>0.2</v>
      </c>
      <c r="F101" s="4">
        <v>0.4</v>
      </c>
    </row>
    <row r="102" spans="1:6" x14ac:dyDescent="0.35">
      <c r="A102">
        <v>2</v>
      </c>
      <c r="B102">
        <v>21</v>
      </c>
      <c r="D102" s="4">
        <v>0.05</v>
      </c>
      <c r="E102" s="4">
        <v>0.1</v>
      </c>
      <c r="F102" s="4">
        <v>0.2</v>
      </c>
    </row>
    <row r="103" spans="1:6" x14ac:dyDescent="0.35">
      <c r="A103">
        <v>2</v>
      </c>
      <c r="B103">
        <v>22</v>
      </c>
      <c r="D103" s="4">
        <v>0.1</v>
      </c>
      <c r="E103" s="4">
        <v>0.3</v>
      </c>
      <c r="F103" s="4">
        <v>0.6</v>
      </c>
    </row>
    <row r="104" spans="1:6" x14ac:dyDescent="0.35">
      <c r="A104">
        <v>2</v>
      </c>
      <c r="B104">
        <v>23</v>
      </c>
      <c r="D104" s="4">
        <v>0.05</v>
      </c>
      <c r="E104" s="4">
        <v>0.1</v>
      </c>
      <c r="F104" s="4">
        <v>0.2</v>
      </c>
    </row>
    <row r="105" spans="1:6" x14ac:dyDescent="0.35">
      <c r="A105">
        <v>2</v>
      </c>
      <c r="B105">
        <v>24</v>
      </c>
      <c r="D105" s="4">
        <v>0.1</v>
      </c>
      <c r="E105" s="4">
        <v>0.3</v>
      </c>
      <c r="F105" s="4">
        <v>0.5</v>
      </c>
    </row>
    <row r="106" spans="1:6" x14ac:dyDescent="0.35">
      <c r="A106">
        <v>2</v>
      </c>
      <c r="B106">
        <v>25</v>
      </c>
      <c r="D106" s="4">
        <v>1E-8</v>
      </c>
      <c r="E106" s="4">
        <v>9.9999999999999995E-8</v>
      </c>
      <c r="F106" s="4">
        <v>9.9999999999999995E-7</v>
      </c>
    </row>
    <row r="107" spans="1:6" x14ac:dyDescent="0.35">
      <c r="A107">
        <v>2</v>
      </c>
      <c r="B107">
        <v>26</v>
      </c>
      <c r="D107" s="4">
        <v>0.5</v>
      </c>
      <c r="E107" s="4">
        <v>0.7</v>
      </c>
      <c r="F107" s="4">
        <v>0.9</v>
      </c>
    </row>
    <row r="108" spans="1:6" x14ac:dyDescent="0.35">
      <c r="A108">
        <v>2</v>
      </c>
      <c r="B108">
        <v>27</v>
      </c>
      <c r="D108" s="4">
        <v>0.2</v>
      </c>
      <c r="E108" s="4">
        <v>0.3</v>
      </c>
      <c r="F108" s="4">
        <v>0.4</v>
      </c>
    </row>
    <row r="109" spans="1:6" x14ac:dyDescent="0.35">
      <c r="A109">
        <v>2</v>
      </c>
      <c r="B109">
        <v>28</v>
      </c>
      <c r="D109" s="4">
        <v>0.05</v>
      </c>
      <c r="E109" s="4">
        <v>0.2</v>
      </c>
      <c r="F109" s="4">
        <v>0.4</v>
      </c>
    </row>
    <row r="110" spans="1:6" x14ac:dyDescent="0.35">
      <c r="A110">
        <v>2</v>
      </c>
      <c r="B110">
        <v>29</v>
      </c>
      <c r="D110" s="4">
        <v>0.05</v>
      </c>
      <c r="E110" s="4">
        <v>0.1</v>
      </c>
      <c r="F110" s="4">
        <v>0.2</v>
      </c>
    </row>
    <row r="111" spans="1:6" x14ac:dyDescent="0.35">
      <c r="A111">
        <v>2</v>
      </c>
      <c r="B111">
        <v>30</v>
      </c>
      <c r="D111" s="4">
        <v>0.1</v>
      </c>
      <c r="E111" s="4">
        <v>0.3</v>
      </c>
      <c r="F111" s="4">
        <v>0.6</v>
      </c>
    </row>
    <row r="112" spans="1:6" x14ac:dyDescent="0.35">
      <c r="A112">
        <v>2</v>
      </c>
      <c r="B112">
        <v>31</v>
      </c>
      <c r="D112" s="4">
        <v>0.05</v>
      </c>
      <c r="E112" s="4">
        <v>0.1</v>
      </c>
      <c r="F112" s="4">
        <v>0.2</v>
      </c>
    </row>
    <row r="113" spans="1:6" x14ac:dyDescent="0.35">
      <c r="A113">
        <v>2</v>
      </c>
      <c r="B113">
        <v>32</v>
      </c>
      <c r="D113" s="4">
        <v>0.1</v>
      </c>
      <c r="E113" s="4">
        <v>0.3</v>
      </c>
      <c r="F113" s="4">
        <v>0.5</v>
      </c>
    </row>
    <row r="114" spans="1:6" x14ac:dyDescent="0.35">
      <c r="A114">
        <v>2</v>
      </c>
      <c r="B114">
        <v>33</v>
      </c>
      <c r="D114" s="4">
        <v>1E-8</v>
      </c>
      <c r="E114" s="4">
        <v>9.9999999999999995E-8</v>
      </c>
      <c r="F114" s="4">
        <v>9.9999999999999995E-7</v>
      </c>
    </row>
    <row r="115" spans="1:6" x14ac:dyDescent="0.35">
      <c r="A115">
        <v>2</v>
      </c>
      <c r="B115">
        <v>34</v>
      </c>
      <c r="D115" s="4">
        <v>0.5</v>
      </c>
      <c r="E115" s="4">
        <v>0.7</v>
      </c>
      <c r="F115" s="4">
        <v>0.9</v>
      </c>
    </row>
    <row r="116" spans="1:6" x14ac:dyDescent="0.35">
      <c r="A116">
        <v>2</v>
      </c>
      <c r="B116">
        <v>35</v>
      </c>
      <c r="D116" s="4">
        <v>0.2</v>
      </c>
      <c r="E116" s="4">
        <v>0.3</v>
      </c>
      <c r="F116" s="4">
        <v>0.4</v>
      </c>
    </row>
    <row r="117" spans="1:6" x14ac:dyDescent="0.35">
      <c r="A117">
        <v>2</v>
      </c>
      <c r="B117">
        <v>36</v>
      </c>
      <c r="D117" s="4">
        <v>0.6</v>
      </c>
      <c r="E117" s="4">
        <v>0.7</v>
      </c>
      <c r="F117" s="4">
        <v>0.9</v>
      </c>
    </row>
    <row r="118" spans="1:6" x14ac:dyDescent="0.35">
      <c r="A118">
        <v>2</v>
      </c>
      <c r="B118">
        <v>37</v>
      </c>
      <c r="D118" s="4">
        <v>0.05</v>
      </c>
      <c r="E118" s="4">
        <v>0.1</v>
      </c>
      <c r="F118" s="4">
        <v>0.2</v>
      </c>
    </row>
    <row r="119" spans="1:6" x14ac:dyDescent="0.35">
      <c r="A119">
        <v>2</v>
      </c>
      <c r="B119">
        <v>38</v>
      </c>
      <c r="D119" s="4">
        <v>0.05</v>
      </c>
      <c r="E119" s="4">
        <v>0.2</v>
      </c>
      <c r="F119" s="4">
        <v>0.4</v>
      </c>
    </row>
    <row r="120" spans="1:6" x14ac:dyDescent="0.35">
      <c r="A120">
        <v>2</v>
      </c>
      <c r="B120">
        <v>39</v>
      </c>
      <c r="D120" s="4">
        <v>0.4</v>
      </c>
      <c r="E120" s="4">
        <v>0.6</v>
      </c>
      <c r="F120" s="4">
        <v>0.8</v>
      </c>
    </row>
    <row r="121" spans="1:6" x14ac:dyDescent="0.35">
      <c r="A121">
        <v>2</v>
      </c>
      <c r="B121">
        <v>40</v>
      </c>
      <c r="D121" s="4">
        <v>0.2</v>
      </c>
      <c r="E121" s="4">
        <v>0.4</v>
      </c>
      <c r="F121" s="4">
        <v>0.6</v>
      </c>
    </row>
    <row r="122" spans="1:6" x14ac:dyDescent="0.35">
      <c r="A122">
        <v>2</v>
      </c>
      <c r="B122">
        <v>41</v>
      </c>
      <c r="D122" s="4">
        <v>0.2</v>
      </c>
      <c r="E122" s="4">
        <v>0.45</v>
      </c>
      <c r="F122" s="4">
        <v>0.6</v>
      </c>
    </row>
    <row r="123" spans="1:6" x14ac:dyDescent="0.35">
      <c r="A123">
        <v>2</v>
      </c>
      <c r="B123">
        <v>42</v>
      </c>
      <c r="D123" s="4">
        <v>0.05</v>
      </c>
      <c r="E123" s="4">
        <v>0.1</v>
      </c>
      <c r="F123" s="4">
        <v>0.3</v>
      </c>
    </row>
    <row r="124" spans="1:6" x14ac:dyDescent="0.35">
      <c r="A124">
        <v>2</v>
      </c>
      <c r="B124">
        <v>43</v>
      </c>
      <c r="D124" s="4">
        <v>0.2</v>
      </c>
      <c r="E124" s="4">
        <v>0.4</v>
      </c>
      <c r="F124" s="4">
        <v>0.6</v>
      </c>
    </row>
    <row r="125" spans="1:6" x14ac:dyDescent="0.35">
      <c r="A125">
        <v>2</v>
      </c>
      <c r="B125">
        <v>44</v>
      </c>
      <c r="D125" s="4">
        <v>1E-8</v>
      </c>
      <c r="E125" s="4">
        <v>0.05</v>
      </c>
      <c r="F125" s="4">
        <v>0.1</v>
      </c>
    </row>
    <row r="126" spans="1:6" x14ac:dyDescent="0.35">
      <c r="A126">
        <v>2</v>
      </c>
      <c r="B126">
        <v>45</v>
      </c>
      <c r="D126" s="4">
        <v>0.7</v>
      </c>
      <c r="E126" s="4">
        <v>0.8</v>
      </c>
      <c r="F126" s="4">
        <v>0.9</v>
      </c>
    </row>
    <row r="127" spans="1:6" x14ac:dyDescent="0.35">
      <c r="A127">
        <v>2</v>
      </c>
      <c r="B127">
        <v>46</v>
      </c>
      <c r="D127" s="4">
        <v>0.05</v>
      </c>
      <c r="E127" s="4">
        <v>0.2</v>
      </c>
      <c r="F127" s="4">
        <v>0.25</v>
      </c>
    </row>
    <row r="128" spans="1:6" x14ac:dyDescent="0.35">
      <c r="A128">
        <v>2</v>
      </c>
      <c r="B128">
        <v>47</v>
      </c>
      <c r="D128" s="4">
        <v>0.2</v>
      </c>
      <c r="E128" s="4">
        <v>0.5</v>
      </c>
      <c r="F128" s="4">
        <v>0.65</v>
      </c>
    </row>
    <row r="129" spans="1:6" x14ac:dyDescent="0.35">
      <c r="A129">
        <v>2</v>
      </c>
      <c r="B129">
        <v>48</v>
      </c>
      <c r="D129" s="4">
        <v>0.1</v>
      </c>
      <c r="E129" s="4">
        <v>0.25</v>
      </c>
      <c r="F129" s="4">
        <v>0.4</v>
      </c>
    </row>
    <row r="130" spans="1:6" x14ac:dyDescent="0.35">
      <c r="A130">
        <v>2</v>
      </c>
      <c r="B130">
        <v>49</v>
      </c>
      <c r="D130" s="4">
        <v>0.1</v>
      </c>
      <c r="E130" s="4">
        <v>0.2</v>
      </c>
      <c r="F130" s="4">
        <v>0.4</v>
      </c>
    </row>
    <row r="131" spans="1:6" x14ac:dyDescent="0.35">
      <c r="A131">
        <v>2</v>
      </c>
      <c r="B131">
        <v>50</v>
      </c>
      <c r="D131" s="4">
        <v>1E-8</v>
      </c>
      <c r="E131" s="4">
        <v>0.02</v>
      </c>
      <c r="F131" s="4">
        <v>0.1</v>
      </c>
    </row>
    <row r="132" spans="1:6" x14ac:dyDescent="0.35">
      <c r="A132">
        <v>2</v>
      </c>
      <c r="B132">
        <v>51</v>
      </c>
      <c r="D132" s="4">
        <v>1E-8</v>
      </c>
      <c r="E132" s="4">
        <v>0.03</v>
      </c>
      <c r="F132" s="4">
        <v>0.05</v>
      </c>
    </row>
    <row r="133" spans="1:6" x14ac:dyDescent="0.35">
      <c r="A133">
        <v>2</v>
      </c>
      <c r="B133">
        <v>52</v>
      </c>
      <c r="D133" s="4">
        <v>0.6</v>
      </c>
      <c r="E133" s="4">
        <v>0.7</v>
      </c>
      <c r="F133" s="4">
        <v>0.9</v>
      </c>
    </row>
    <row r="134" spans="1:6" x14ac:dyDescent="0.35">
      <c r="A134">
        <v>2</v>
      </c>
      <c r="B134">
        <v>53</v>
      </c>
      <c r="D134" s="4">
        <v>0.05</v>
      </c>
      <c r="E134" s="4">
        <v>0.1</v>
      </c>
      <c r="F134" s="4">
        <v>0.2</v>
      </c>
    </row>
    <row r="135" spans="1:6" x14ac:dyDescent="0.35">
      <c r="A135">
        <v>2</v>
      </c>
      <c r="B135">
        <v>54</v>
      </c>
      <c r="D135" s="4">
        <v>0.05</v>
      </c>
      <c r="E135" s="4">
        <v>0.2</v>
      </c>
      <c r="F135" s="4">
        <v>0.4</v>
      </c>
    </row>
    <row r="136" spans="1:6" x14ac:dyDescent="0.35">
      <c r="A136">
        <v>2</v>
      </c>
      <c r="B136">
        <v>55</v>
      </c>
      <c r="D136" s="4">
        <v>0.4</v>
      </c>
      <c r="E136" s="4">
        <v>0.6</v>
      </c>
      <c r="F136" s="4">
        <v>0.8</v>
      </c>
    </row>
    <row r="137" spans="1:6" x14ac:dyDescent="0.35">
      <c r="A137">
        <v>2</v>
      </c>
      <c r="B137">
        <v>56</v>
      </c>
      <c r="D137" s="4">
        <v>0.2</v>
      </c>
      <c r="E137" s="4">
        <v>0.4</v>
      </c>
      <c r="F137" s="4">
        <v>0.6</v>
      </c>
    </row>
    <row r="138" spans="1:6" x14ac:dyDescent="0.35">
      <c r="A138">
        <v>2</v>
      </c>
      <c r="B138">
        <v>57</v>
      </c>
      <c r="D138" s="4">
        <v>0.2</v>
      </c>
      <c r="E138" s="4">
        <v>0.45</v>
      </c>
      <c r="F138" s="4">
        <v>0.6</v>
      </c>
    </row>
    <row r="139" spans="1:6" x14ac:dyDescent="0.35">
      <c r="A139">
        <v>2</v>
      </c>
      <c r="B139">
        <v>58</v>
      </c>
      <c r="D139" s="4">
        <v>0.05</v>
      </c>
      <c r="E139" s="4">
        <v>0.1</v>
      </c>
      <c r="F139" s="4">
        <v>0.3</v>
      </c>
    </row>
    <row r="140" spans="1:6" x14ac:dyDescent="0.35">
      <c r="A140">
        <v>2</v>
      </c>
      <c r="B140">
        <v>59</v>
      </c>
      <c r="D140" s="4">
        <v>0.1</v>
      </c>
      <c r="E140" s="4">
        <v>0.4</v>
      </c>
      <c r="F140" s="4">
        <v>0.6</v>
      </c>
    </row>
    <row r="141" spans="1:6" x14ac:dyDescent="0.35">
      <c r="A141">
        <v>2</v>
      </c>
      <c r="B141">
        <v>60</v>
      </c>
      <c r="D141" s="4">
        <v>1E-8</v>
      </c>
      <c r="E141" s="4">
        <v>0.05</v>
      </c>
      <c r="F141" s="4">
        <v>0.1</v>
      </c>
    </row>
    <row r="142" spans="1:6" x14ac:dyDescent="0.35">
      <c r="A142">
        <v>2</v>
      </c>
      <c r="B142">
        <v>61</v>
      </c>
      <c r="D142" s="4">
        <v>0.7</v>
      </c>
      <c r="E142" s="4">
        <v>0.8</v>
      </c>
      <c r="F142" s="4">
        <v>0.9</v>
      </c>
    </row>
    <row r="143" spans="1:6" x14ac:dyDescent="0.35">
      <c r="A143">
        <v>2</v>
      </c>
      <c r="B143">
        <v>62</v>
      </c>
      <c r="D143" s="4">
        <v>0.05</v>
      </c>
      <c r="E143" s="4">
        <v>0.2</v>
      </c>
      <c r="F143" s="4">
        <v>0.25</v>
      </c>
    </row>
    <row r="144" spans="1:6" x14ac:dyDescent="0.35">
      <c r="A144">
        <v>2</v>
      </c>
      <c r="B144">
        <v>63</v>
      </c>
      <c r="D144" s="4">
        <v>0.2</v>
      </c>
      <c r="E144" s="4">
        <v>0.5</v>
      </c>
      <c r="F144" s="4">
        <v>0.65</v>
      </c>
    </row>
    <row r="145" spans="1:6" x14ac:dyDescent="0.35">
      <c r="A145">
        <v>2</v>
      </c>
      <c r="B145">
        <v>64</v>
      </c>
      <c r="D145" s="4">
        <v>0.1</v>
      </c>
      <c r="E145" s="4">
        <v>0.25</v>
      </c>
      <c r="F145" s="4">
        <v>0.4</v>
      </c>
    </row>
    <row r="146" spans="1:6" x14ac:dyDescent="0.35">
      <c r="A146">
        <v>2</v>
      </c>
      <c r="B146">
        <v>65</v>
      </c>
      <c r="D146" s="4">
        <v>0.1</v>
      </c>
      <c r="E146" s="4">
        <v>0.2</v>
      </c>
      <c r="F146" s="4">
        <v>0.4</v>
      </c>
    </row>
    <row r="147" spans="1:6" x14ac:dyDescent="0.35">
      <c r="A147">
        <v>2</v>
      </c>
      <c r="B147">
        <v>66</v>
      </c>
      <c r="D147" s="4">
        <v>1E-8</v>
      </c>
      <c r="E147" s="4">
        <v>0.02</v>
      </c>
      <c r="F147" s="4">
        <v>0.1</v>
      </c>
    </row>
    <row r="148" spans="1:6" x14ac:dyDescent="0.35">
      <c r="A148">
        <v>2</v>
      </c>
      <c r="B148">
        <v>67</v>
      </c>
      <c r="D148" s="4">
        <v>1E-8</v>
      </c>
      <c r="E148" s="4">
        <v>0.03</v>
      </c>
      <c r="F148" s="4">
        <v>0.05</v>
      </c>
    </row>
    <row r="149" spans="1:6" x14ac:dyDescent="0.35">
      <c r="A149">
        <v>2</v>
      </c>
      <c r="B149">
        <v>68</v>
      </c>
      <c r="D149" s="4">
        <v>0.4</v>
      </c>
      <c r="E149" s="4">
        <v>0.6</v>
      </c>
      <c r="F149" s="4">
        <v>0.8</v>
      </c>
    </row>
    <row r="150" spans="1:6" x14ac:dyDescent="0.35">
      <c r="A150">
        <v>2</v>
      </c>
      <c r="B150">
        <v>69</v>
      </c>
      <c r="D150" s="4">
        <v>0.2</v>
      </c>
      <c r="E150" s="4">
        <v>0.4</v>
      </c>
      <c r="F150" s="4">
        <v>0.6</v>
      </c>
    </row>
    <row r="151" spans="1:6" x14ac:dyDescent="0.35">
      <c r="A151">
        <v>2</v>
      </c>
      <c r="B151">
        <v>70</v>
      </c>
      <c r="D151" s="4">
        <v>0.2</v>
      </c>
      <c r="E151" s="4">
        <v>0.45</v>
      </c>
      <c r="F151" s="4">
        <v>0.6</v>
      </c>
    </row>
    <row r="152" spans="1:6" x14ac:dyDescent="0.35">
      <c r="A152">
        <v>2</v>
      </c>
      <c r="B152">
        <v>71</v>
      </c>
      <c r="D152" s="4">
        <v>0.05</v>
      </c>
      <c r="E152" s="4">
        <v>0.1</v>
      </c>
      <c r="F152" s="4">
        <v>0.3</v>
      </c>
    </row>
    <row r="153" spans="1:6" x14ac:dyDescent="0.35">
      <c r="A153">
        <v>2</v>
      </c>
      <c r="B153">
        <v>72</v>
      </c>
      <c r="D153" s="4">
        <v>0.1</v>
      </c>
      <c r="E153" s="4">
        <v>0.4</v>
      </c>
      <c r="F153" s="4">
        <v>0.6</v>
      </c>
    </row>
    <row r="154" spans="1:6" x14ac:dyDescent="0.35">
      <c r="A154">
        <v>2</v>
      </c>
      <c r="B154">
        <v>73</v>
      </c>
      <c r="D154" s="4">
        <v>1E-8</v>
      </c>
      <c r="E154" s="4">
        <v>0.05</v>
      </c>
      <c r="F154" s="4">
        <v>0.1</v>
      </c>
    </row>
    <row r="155" spans="1:6" x14ac:dyDescent="0.35">
      <c r="A155">
        <v>2</v>
      </c>
      <c r="B155">
        <v>74</v>
      </c>
      <c r="D155" s="4">
        <v>0.7</v>
      </c>
      <c r="E155" s="4">
        <v>0.8</v>
      </c>
      <c r="F155" s="4">
        <v>0.9</v>
      </c>
    </row>
    <row r="156" spans="1:6" x14ac:dyDescent="0.35">
      <c r="A156">
        <v>2</v>
      </c>
      <c r="B156">
        <v>75</v>
      </c>
      <c r="D156" s="4">
        <v>0.05</v>
      </c>
      <c r="E156" s="4">
        <v>0.2</v>
      </c>
      <c r="F156" s="4">
        <v>0.25</v>
      </c>
    </row>
    <row r="157" spans="1:6" x14ac:dyDescent="0.35">
      <c r="A157">
        <v>2</v>
      </c>
      <c r="B157">
        <v>76</v>
      </c>
      <c r="D157" s="4">
        <v>0.2</v>
      </c>
      <c r="E157" s="4">
        <v>0.5</v>
      </c>
      <c r="F157" s="4">
        <v>0.65</v>
      </c>
    </row>
    <row r="158" spans="1:6" x14ac:dyDescent="0.35">
      <c r="A158">
        <v>2</v>
      </c>
      <c r="B158">
        <v>77</v>
      </c>
      <c r="D158" s="4">
        <v>0.1</v>
      </c>
      <c r="E158" s="4">
        <v>0.25</v>
      </c>
      <c r="F158" s="4">
        <v>0.4</v>
      </c>
    </row>
    <row r="159" spans="1:6" x14ac:dyDescent="0.35">
      <c r="A159">
        <v>2</v>
      </c>
      <c r="B159">
        <v>78</v>
      </c>
      <c r="D159" s="4">
        <v>0.1</v>
      </c>
      <c r="E159" s="4">
        <v>0.2</v>
      </c>
      <c r="F159" s="4">
        <v>0.4</v>
      </c>
    </row>
    <row r="160" spans="1:6" x14ac:dyDescent="0.35">
      <c r="A160">
        <v>2</v>
      </c>
      <c r="B160">
        <v>79</v>
      </c>
      <c r="D160" s="4">
        <v>1E-8</v>
      </c>
      <c r="E160" s="4">
        <v>0.02</v>
      </c>
      <c r="F160" s="4">
        <v>0.1</v>
      </c>
    </row>
    <row r="161" spans="1:6" x14ac:dyDescent="0.35">
      <c r="A161">
        <v>2</v>
      </c>
      <c r="B161">
        <v>80</v>
      </c>
      <c r="D161" s="4">
        <v>1E-8</v>
      </c>
      <c r="E161" s="4">
        <v>0.03</v>
      </c>
      <c r="F161" s="4">
        <v>0.05</v>
      </c>
    </row>
    <row r="162" spans="1:6" x14ac:dyDescent="0.35">
      <c r="A162">
        <v>3</v>
      </c>
      <c r="B162">
        <v>1</v>
      </c>
      <c r="D162" s="4">
        <v>25000</v>
      </c>
      <c r="E162" s="4">
        <v>30000</v>
      </c>
      <c r="F162" s="4">
        <v>35000</v>
      </c>
    </row>
    <row r="163" spans="1:6" x14ac:dyDescent="0.35">
      <c r="A163">
        <v>3</v>
      </c>
      <c r="B163">
        <v>2</v>
      </c>
      <c r="D163" s="4">
        <v>10000</v>
      </c>
      <c r="E163" s="4">
        <v>12500</v>
      </c>
      <c r="F163" s="4">
        <v>15000</v>
      </c>
    </row>
    <row r="164" spans="1:6" x14ac:dyDescent="0.35">
      <c r="A164">
        <v>3</v>
      </c>
      <c r="B164">
        <v>3</v>
      </c>
      <c r="D164" s="4">
        <v>15000</v>
      </c>
      <c r="E164" s="4">
        <v>17500</v>
      </c>
      <c r="F164" s="4">
        <v>20000</v>
      </c>
    </row>
    <row r="165" spans="1:6" x14ac:dyDescent="0.35">
      <c r="A165">
        <v>3</v>
      </c>
      <c r="B165">
        <v>4</v>
      </c>
      <c r="D165" s="4">
        <v>125</v>
      </c>
      <c r="E165" s="4">
        <v>150</v>
      </c>
      <c r="F165" s="4">
        <v>400</v>
      </c>
    </row>
    <row r="166" spans="1:6" x14ac:dyDescent="0.35">
      <c r="A166">
        <v>3</v>
      </c>
      <c r="B166">
        <v>5</v>
      </c>
      <c r="D166" s="4">
        <v>0.2</v>
      </c>
      <c r="E166" s="4">
        <v>0.48</v>
      </c>
      <c r="F166" s="4">
        <v>0.55000000000000004</v>
      </c>
    </row>
    <row r="167" spans="1:6" x14ac:dyDescent="0.35">
      <c r="A167">
        <v>3</v>
      </c>
      <c r="B167">
        <v>6</v>
      </c>
      <c r="D167" s="4">
        <v>2000</v>
      </c>
      <c r="E167" s="4">
        <v>4800</v>
      </c>
      <c r="F167" s="4">
        <v>5500</v>
      </c>
    </row>
    <row r="168" spans="1:6" x14ac:dyDescent="0.35">
      <c r="A168">
        <v>3</v>
      </c>
      <c r="B168">
        <v>7</v>
      </c>
      <c r="D168" s="4">
        <v>400</v>
      </c>
      <c r="E168" s="4">
        <v>800</v>
      </c>
      <c r="F168" s="4">
        <v>1200</v>
      </c>
    </row>
    <row r="169" spans="1:6" x14ac:dyDescent="0.35">
      <c r="A169">
        <v>3</v>
      </c>
      <c r="B169">
        <v>8</v>
      </c>
      <c r="D169" s="4">
        <v>300</v>
      </c>
      <c r="E169" s="4">
        <v>1000</v>
      </c>
      <c r="F169" s="4">
        <v>1800</v>
      </c>
    </row>
    <row r="170" spans="1:6" x14ac:dyDescent="0.35">
      <c r="A170">
        <v>3</v>
      </c>
      <c r="B170">
        <v>9</v>
      </c>
      <c r="D170" s="4">
        <v>400</v>
      </c>
      <c r="E170" s="4">
        <v>600</v>
      </c>
      <c r="F170" s="4">
        <v>800</v>
      </c>
    </row>
    <row r="171" spans="1:6" x14ac:dyDescent="0.35">
      <c r="A171">
        <v>3</v>
      </c>
      <c r="B171">
        <v>10</v>
      </c>
      <c r="D171" s="4">
        <v>0.14000000000000001</v>
      </c>
      <c r="E171" s="4">
        <v>0.22</v>
      </c>
      <c r="F171" s="4">
        <v>0.25</v>
      </c>
    </row>
    <row r="172" spans="1:6" x14ac:dyDescent="0.35">
      <c r="A172">
        <v>3</v>
      </c>
      <c r="B172">
        <v>11</v>
      </c>
      <c r="D172" s="4">
        <v>7.0000000000000007E-2</v>
      </c>
      <c r="E172" s="4">
        <v>0.1</v>
      </c>
      <c r="F172" s="4">
        <v>0.12</v>
      </c>
    </row>
    <row r="173" spans="1:6" x14ac:dyDescent="0.35">
      <c r="A173">
        <v>3</v>
      </c>
      <c r="B173">
        <v>12</v>
      </c>
      <c r="D173" s="4">
        <v>7.0000000000000007E-2</v>
      </c>
      <c r="E173" s="4">
        <v>0.1</v>
      </c>
      <c r="F173" s="4">
        <v>0.12</v>
      </c>
    </row>
    <row r="174" spans="1:6" x14ac:dyDescent="0.35">
      <c r="A174">
        <v>3</v>
      </c>
      <c r="B174">
        <v>13</v>
      </c>
      <c r="D174" s="4">
        <v>0.3</v>
      </c>
      <c r="E174" s="4">
        <v>0.32</v>
      </c>
      <c r="F174" s="4">
        <v>0.45</v>
      </c>
    </row>
    <row r="175" spans="1:6" x14ac:dyDescent="0.35">
      <c r="A175">
        <v>3</v>
      </c>
      <c r="B175">
        <v>14</v>
      </c>
      <c r="D175" s="4">
        <v>0.08</v>
      </c>
      <c r="E175" s="4">
        <v>0.1</v>
      </c>
      <c r="F175" s="4">
        <v>0.2</v>
      </c>
    </row>
    <row r="176" spans="1:6" x14ac:dyDescent="0.35">
      <c r="A176">
        <v>3</v>
      </c>
      <c r="B176">
        <v>15</v>
      </c>
      <c r="D176" s="4">
        <v>0.25</v>
      </c>
      <c r="E176" s="4">
        <v>0.3</v>
      </c>
      <c r="F176" s="4">
        <v>0.35</v>
      </c>
    </row>
    <row r="177" spans="1:6" x14ac:dyDescent="0.35">
      <c r="A177">
        <v>3</v>
      </c>
      <c r="B177">
        <v>16</v>
      </c>
      <c r="D177" s="4">
        <v>0.04</v>
      </c>
      <c r="E177" s="4">
        <v>0.05</v>
      </c>
      <c r="F177" s="4">
        <v>0.06</v>
      </c>
    </row>
    <row r="178" spans="1:6" x14ac:dyDescent="0.35">
      <c r="A178">
        <v>3</v>
      </c>
      <c r="B178">
        <v>17</v>
      </c>
      <c r="D178" s="4">
        <v>1.4999999999999999E-2</v>
      </c>
      <c r="E178" s="4">
        <v>0.02</v>
      </c>
      <c r="F178" s="4">
        <v>2.5000000000000001E-2</v>
      </c>
    </row>
    <row r="179" spans="1:6" x14ac:dyDescent="0.35">
      <c r="A179">
        <v>3</v>
      </c>
      <c r="B179">
        <v>18</v>
      </c>
      <c r="D179" s="4">
        <v>8.9999999999999993E-3</v>
      </c>
      <c r="E179" s="4">
        <v>0.01</v>
      </c>
      <c r="F179" s="4">
        <v>1.0999999999999999E-2</v>
      </c>
    </row>
    <row r="180" spans="1:6" x14ac:dyDescent="0.35">
      <c r="A180">
        <v>3</v>
      </c>
      <c r="B180">
        <v>19</v>
      </c>
      <c r="D180" s="4">
        <v>1E-8</v>
      </c>
      <c r="E180" s="4">
        <v>1E-3</v>
      </c>
      <c r="F180" s="4">
        <v>0.01</v>
      </c>
    </row>
    <row r="181" spans="1:6" x14ac:dyDescent="0.35">
      <c r="A181">
        <v>3</v>
      </c>
      <c r="B181">
        <v>20</v>
      </c>
      <c r="D181" s="4">
        <v>0.3</v>
      </c>
      <c r="E181" s="4">
        <v>0.4</v>
      </c>
      <c r="F181" s="4">
        <v>0.45</v>
      </c>
    </row>
    <row r="182" spans="1:6" x14ac:dyDescent="0.35">
      <c r="A182">
        <v>3</v>
      </c>
      <c r="B182">
        <v>21</v>
      </c>
      <c r="D182" s="4">
        <v>0.3</v>
      </c>
      <c r="E182" s="4">
        <v>0.4</v>
      </c>
      <c r="F182" s="4">
        <v>0.45</v>
      </c>
    </row>
    <row r="183" spans="1:6" x14ac:dyDescent="0.35">
      <c r="A183">
        <v>3</v>
      </c>
      <c r="B183">
        <v>22</v>
      </c>
      <c r="D183" s="4">
        <v>0.05</v>
      </c>
      <c r="E183" s="4">
        <v>0.08</v>
      </c>
      <c r="F183" s="4">
        <v>0.12</v>
      </c>
    </row>
    <row r="184" spans="1:6" x14ac:dyDescent="0.35">
      <c r="A184">
        <v>3</v>
      </c>
      <c r="B184">
        <v>23</v>
      </c>
      <c r="D184" s="4">
        <v>0.05</v>
      </c>
      <c r="E184" s="4">
        <v>0.1</v>
      </c>
      <c r="F184" s="4">
        <v>0.12</v>
      </c>
    </row>
    <row r="185" spans="1:6" x14ac:dyDescent="0.35">
      <c r="A185">
        <v>3</v>
      </c>
      <c r="B185">
        <v>24</v>
      </c>
      <c r="D185" s="4">
        <v>0.01</v>
      </c>
      <c r="E185" s="4">
        <v>0.02</v>
      </c>
      <c r="F185" s="4">
        <v>0.03</v>
      </c>
    </row>
    <row r="186" spans="1:6" x14ac:dyDescent="0.35">
      <c r="A186">
        <v>3</v>
      </c>
      <c r="B186">
        <v>25</v>
      </c>
      <c r="D186" s="4">
        <v>1E-8</v>
      </c>
      <c r="E186" s="4">
        <v>1E-3</v>
      </c>
      <c r="F186" s="4">
        <v>0.02</v>
      </c>
    </row>
    <row r="187" spans="1:6" x14ac:dyDescent="0.35">
      <c r="A187">
        <v>3</v>
      </c>
      <c r="B187">
        <v>26</v>
      </c>
      <c r="D187" s="4">
        <v>0.8</v>
      </c>
      <c r="E187" s="4">
        <v>0.9</v>
      </c>
      <c r="F187" s="4">
        <v>0.95</v>
      </c>
    </row>
    <row r="188" spans="1:6" x14ac:dyDescent="0.35">
      <c r="A188">
        <v>3</v>
      </c>
      <c r="B188">
        <v>27</v>
      </c>
      <c r="D188" s="4">
        <v>7.0000000000000007E-2</v>
      </c>
      <c r="E188" s="4">
        <v>0.1</v>
      </c>
      <c r="F188" s="4">
        <v>0.12</v>
      </c>
    </row>
    <row r="189" spans="1:6" x14ac:dyDescent="0.35">
      <c r="A189">
        <v>3</v>
      </c>
      <c r="B189">
        <v>28</v>
      </c>
      <c r="D189" s="4">
        <v>0.5</v>
      </c>
      <c r="E189" s="4">
        <v>0.6</v>
      </c>
      <c r="F189" s="4">
        <v>0.65</v>
      </c>
    </row>
    <row r="190" spans="1:6" x14ac:dyDescent="0.35">
      <c r="A190">
        <v>3</v>
      </c>
      <c r="B190">
        <v>29</v>
      </c>
      <c r="D190" s="4">
        <v>0.2</v>
      </c>
      <c r="E190" s="4">
        <v>0.3</v>
      </c>
      <c r="F190" s="4">
        <v>0.35</v>
      </c>
    </row>
    <row r="191" spans="1:6" x14ac:dyDescent="0.35">
      <c r="A191">
        <v>3</v>
      </c>
      <c r="B191">
        <v>30</v>
      </c>
      <c r="D191" s="4">
        <v>0.08</v>
      </c>
      <c r="E191" s="4">
        <v>0.1</v>
      </c>
      <c r="F191" s="4">
        <v>0.15</v>
      </c>
    </row>
    <row r="192" spans="1:6" x14ac:dyDescent="0.35">
      <c r="A192">
        <v>3</v>
      </c>
      <c r="B192">
        <v>31</v>
      </c>
      <c r="D192" s="4">
        <v>1E-8</v>
      </c>
      <c r="E192" s="4">
        <v>0.01</v>
      </c>
      <c r="F192" s="4">
        <v>0.02</v>
      </c>
    </row>
    <row r="193" spans="1:6" x14ac:dyDescent="0.35">
      <c r="A193">
        <v>3</v>
      </c>
      <c r="B193">
        <v>32</v>
      </c>
      <c r="D193" s="4">
        <v>1E-8</v>
      </c>
      <c r="E193" s="4">
        <v>1E-4</v>
      </c>
      <c r="F193" s="4">
        <v>0.01</v>
      </c>
    </row>
    <row r="194" spans="1:6" x14ac:dyDescent="0.35">
      <c r="A194">
        <v>3</v>
      </c>
      <c r="B194">
        <v>33</v>
      </c>
      <c r="D194" s="4">
        <v>1E-8</v>
      </c>
      <c r="E194" s="4">
        <v>1E-3</v>
      </c>
      <c r="F194" s="4">
        <v>0.01</v>
      </c>
    </row>
    <row r="195" spans="1:6" x14ac:dyDescent="0.35">
      <c r="A195">
        <v>3</v>
      </c>
      <c r="B195">
        <v>34</v>
      </c>
      <c r="D195" s="4">
        <v>0.88</v>
      </c>
      <c r="E195" s="4">
        <v>0.9</v>
      </c>
      <c r="F195" s="4">
        <v>0.92</v>
      </c>
    </row>
    <row r="196" spans="1:6" x14ac:dyDescent="0.35">
      <c r="A196">
        <v>3</v>
      </c>
      <c r="B196">
        <v>35</v>
      </c>
      <c r="D196" s="4">
        <v>0.09</v>
      </c>
      <c r="E196" s="4">
        <v>0.1</v>
      </c>
      <c r="F196" s="4">
        <v>0.11</v>
      </c>
    </row>
    <row r="197" spans="1:6" x14ac:dyDescent="0.35">
      <c r="A197">
        <v>3</v>
      </c>
      <c r="B197">
        <v>36</v>
      </c>
      <c r="D197" s="4">
        <v>0.5</v>
      </c>
      <c r="E197" s="4">
        <v>0.6</v>
      </c>
      <c r="F197" s="4">
        <v>0.7</v>
      </c>
    </row>
    <row r="198" spans="1:6" x14ac:dyDescent="0.35">
      <c r="A198">
        <v>3</v>
      </c>
      <c r="B198">
        <v>37</v>
      </c>
      <c r="D198" s="4">
        <v>0.22</v>
      </c>
      <c r="E198" s="4">
        <v>0.25</v>
      </c>
      <c r="F198" s="4">
        <v>0.3</v>
      </c>
    </row>
    <row r="199" spans="1:6" x14ac:dyDescent="0.35">
      <c r="A199">
        <v>3</v>
      </c>
      <c r="B199">
        <v>38</v>
      </c>
      <c r="D199" s="4">
        <v>0.14000000000000001</v>
      </c>
      <c r="E199" s="4">
        <v>0.15</v>
      </c>
      <c r="F199" s="4">
        <v>0.25</v>
      </c>
    </row>
    <row r="200" spans="1:6" x14ac:dyDescent="0.35">
      <c r="A200">
        <v>3</v>
      </c>
      <c r="B200">
        <v>39</v>
      </c>
      <c r="D200" s="4">
        <v>0.04</v>
      </c>
      <c r="E200" s="4">
        <v>0.05</v>
      </c>
      <c r="F200" s="4">
        <v>0.1</v>
      </c>
    </row>
    <row r="201" spans="1:6" x14ac:dyDescent="0.35">
      <c r="A201">
        <v>3</v>
      </c>
      <c r="B201">
        <v>40</v>
      </c>
      <c r="D201" s="4">
        <v>0.9</v>
      </c>
      <c r="E201" s="4">
        <v>0.95</v>
      </c>
      <c r="F201" s="4">
        <v>1</v>
      </c>
    </row>
    <row r="202" spans="1:6" x14ac:dyDescent="0.35">
      <c r="A202">
        <v>3</v>
      </c>
      <c r="B202">
        <v>41</v>
      </c>
      <c r="D202" s="4">
        <v>0.45</v>
      </c>
      <c r="E202" s="4">
        <v>0.5</v>
      </c>
      <c r="F202" s="4">
        <v>0.52</v>
      </c>
    </row>
    <row r="203" spans="1:6" x14ac:dyDescent="0.35">
      <c r="A203">
        <v>3</v>
      </c>
      <c r="B203">
        <v>42</v>
      </c>
      <c r="D203" s="4">
        <v>0.15</v>
      </c>
      <c r="E203" s="4">
        <v>0.2</v>
      </c>
      <c r="F203" s="4">
        <v>0.25</v>
      </c>
    </row>
    <row r="204" spans="1:6" x14ac:dyDescent="0.35">
      <c r="A204">
        <v>3</v>
      </c>
      <c r="B204">
        <v>43</v>
      </c>
      <c r="D204" s="4">
        <v>0.22</v>
      </c>
      <c r="E204" s="4">
        <v>0.25</v>
      </c>
      <c r="F204" s="4">
        <v>0.28000000000000003</v>
      </c>
    </row>
    <row r="205" spans="1:6" x14ac:dyDescent="0.35">
      <c r="A205">
        <v>3</v>
      </c>
      <c r="B205">
        <v>44</v>
      </c>
      <c r="D205" s="4">
        <v>0.01</v>
      </c>
      <c r="E205" s="4">
        <v>0.05</v>
      </c>
      <c r="F205" s="4">
        <v>0.06</v>
      </c>
    </row>
    <row r="206" spans="1:6" x14ac:dyDescent="0.35">
      <c r="A206">
        <v>3</v>
      </c>
      <c r="B206">
        <v>45</v>
      </c>
      <c r="D206" s="4">
        <v>0.86</v>
      </c>
      <c r="E206" s="4">
        <v>0.9</v>
      </c>
      <c r="F206" s="4">
        <v>0.92</v>
      </c>
    </row>
    <row r="207" spans="1:6" x14ac:dyDescent="0.35">
      <c r="A207">
        <v>3</v>
      </c>
      <c r="B207">
        <v>46</v>
      </c>
      <c r="D207" s="4">
        <v>0.05</v>
      </c>
      <c r="E207" s="4">
        <v>0.1</v>
      </c>
      <c r="F207" s="4">
        <v>0.2</v>
      </c>
    </row>
    <row r="208" spans="1:6" x14ac:dyDescent="0.35">
      <c r="A208">
        <v>3</v>
      </c>
      <c r="B208">
        <v>47</v>
      </c>
      <c r="D208" s="4">
        <v>0.4</v>
      </c>
      <c r="E208" s="4">
        <v>0.45</v>
      </c>
      <c r="F208" s="4">
        <v>0.55000000000000004</v>
      </c>
    </row>
    <row r="209" spans="1:6" x14ac:dyDescent="0.35">
      <c r="A209">
        <v>3</v>
      </c>
      <c r="B209">
        <v>48</v>
      </c>
      <c r="D209" s="4">
        <v>0.28000000000000003</v>
      </c>
      <c r="E209" s="4">
        <v>0.3</v>
      </c>
      <c r="F209" s="4">
        <v>0.33</v>
      </c>
    </row>
    <row r="210" spans="1:6" x14ac:dyDescent="0.35">
      <c r="A210">
        <v>3</v>
      </c>
      <c r="B210">
        <v>49</v>
      </c>
      <c r="D210" s="4">
        <v>0.18</v>
      </c>
      <c r="E210" s="4">
        <v>0.23</v>
      </c>
      <c r="F210" s="4">
        <v>0.25</v>
      </c>
    </row>
    <row r="211" spans="1:6" x14ac:dyDescent="0.35">
      <c r="A211">
        <v>3</v>
      </c>
      <c r="B211">
        <v>50</v>
      </c>
      <c r="D211" s="4">
        <v>0.01</v>
      </c>
      <c r="E211" s="4">
        <v>0.02</v>
      </c>
      <c r="F211" s="4">
        <v>0.03</v>
      </c>
    </row>
    <row r="212" spans="1:6" x14ac:dyDescent="0.35">
      <c r="A212">
        <v>3</v>
      </c>
      <c r="B212">
        <v>51</v>
      </c>
      <c r="D212" s="4">
        <v>1E-8</v>
      </c>
      <c r="E212" s="4">
        <v>9.9999999999999995E-8</v>
      </c>
      <c r="F212" s="4">
        <v>9.9999999999999995E-7</v>
      </c>
    </row>
    <row r="213" spans="1:6" x14ac:dyDescent="0.35">
      <c r="A213">
        <v>3</v>
      </c>
      <c r="B213">
        <v>52</v>
      </c>
      <c r="D213" s="4">
        <v>0.55000000000000004</v>
      </c>
      <c r="E213" s="4">
        <v>0.6</v>
      </c>
      <c r="F213" s="4">
        <v>0.7</v>
      </c>
    </row>
    <row r="214" spans="1:6" x14ac:dyDescent="0.35">
      <c r="A214">
        <v>3</v>
      </c>
      <c r="B214">
        <v>53</v>
      </c>
      <c r="D214" s="4">
        <v>0.28000000000000003</v>
      </c>
      <c r="E214" s="4">
        <v>0.3</v>
      </c>
      <c r="F214" s="4">
        <v>0.33</v>
      </c>
    </row>
    <row r="215" spans="1:6" x14ac:dyDescent="0.35">
      <c r="A215">
        <v>3</v>
      </c>
      <c r="B215">
        <v>54</v>
      </c>
      <c r="D215" s="4">
        <v>0.05</v>
      </c>
      <c r="E215" s="4">
        <v>0.1</v>
      </c>
      <c r="F215" s="4">
        <v>0.12</v>
      </c>
    </row>
    <row r="216" spans="1:6" x14ac:dyDescent="0.35">
      <c r="A216">
        <v>3</v>
      </c>
      <c r="B216">
        <v>55</v>
      </c>
      <c r="D216" s="4">
        <v>0.02</v>
      </c>
      <c r="E216" s="4">
        <v>0.05</v>
      </c>
      <c r="F216" s="4">
        <v>0.1</v>
      </c>
    </row>
    <row r="217" spans="1:6" x14ac:dyDescent="0.35">
      <c r="A217">
        <v>3</v>
      </c>
      <c r="B217">
        <v>56</v>
      </c>
      <c r="D217" s="4">
        <v>0.85</v>
      </c>
      <c r="E217" s="4">
        <v>0.95</v>
      </c>
      <c r="F217" s="4">
        <v>1</v>
      </c>
    </row>
    <row r="218" spans="1:6" x14ac:dyDescent="0.35">
      <c r="A218">
        <v>3</v>
      </c>
      <c r="B218">
        <v>57</v>
      </c>
      <c r="D218" s="4">
        <v>0.45</v>
      </c>
      <c r="E218" s="4">
        <v>0.5</v>
      </c>
      <c r="F218" s="4">
        <v>0.55000000000000004</v>
      </c>
    </row>
    <row r="219" spans="1:6" x14ac:dyDescent="0.35">
      <c r="A219">
        <v>3</v>
      </c>
      <c r="B219">
        <v>58</v>
      </c>
      <c r="D219" s="4">
        <v>0.35</v>
      </c>
      <c r="E219" s="4">
        <v>0.4</v>
      </c>
      <c r="F219" s="4">
        <v>0.45</v>
      </c>
    </row>
    <row r="220" spans="1:6" x14ac:dyDescent="0.35">
      <c r="A220">
        <v>3</v>
      </c>
      <c r="B220">
        <v>59</v>
      </c>
      <c r="D220" s="4">
        <v>0.08</v>
      </c>
      <c r="E220" s="4">
        <v>0.1</v>
      </c>
      <c r="F220" s="4">
        <v>0.12</v>
      </c>
    </row>
    <row r="221" spans="1:6" x14ac:dyDescent="0.35">
      <c r="A221">
        <v>3</v>
      </c>
      <c r="B221">
        <v>60</v>
      </c>
      <c r="D221" s="4">
        <v>1E-8</v>
      </c>
      <c r="E221" s="4">
        <v>9.9999999999999995E-8</v>
      </c>
      <c r="F221" s="4">
        <v>9.9999999999999995E-7</v>
      </c>
    </row>
    <row r="222" spans="1:6" x14ac:dyDescent="0.35">
      <c r="A222">
        <v>3</v>
      </c>
      <c r="B222">
        <v>61</v>
      </c>
      <c r="D222" s="4">
        <v>0.77</v>
      </c>
      <c r="E222" s="4">
        <v>0.8</v>
      </c>
      <c r="F222" s="4">
        <v>0.82</v>
      </c>
    </row>
    <row r="223" spans="1:6" x14ac:dyDescent="0.35">
      <c r="A223">
        <v>3</v>
      </c>
      <c r="B223">
        <v>62</v>
      </c>
      <c r="D223" s="4">
        <v>0.18</v>
      </c>
      <c r="E223" s="4">
        <v>0.2</v>
      </c>
      <c r="F223" s="4">
        <v>0.35</v>
      </c>
    </row>
    <row r="224" spans="1:6" x14ac:dyDescent="0.35">
      <c r="A224">
        <v>3</v>
      </c>
      <c r="B224">
        <v>63</v>
      </c>
      <c r="D224" s="4">
        <v>0.42</v>
      </c>
      <c r="E224" s="4">
        <v>0.5</v>
      </c>
      <c r="F224" s="4">
        <v>0.57999999999999996</v>
      </c>
    </row>
    <row r="225" spans="1:6" x14ac:dyDescent="0.35">
      <c r="A225">
        <v>3</v>
      </c>
      <c r="B225">
        <v>64</v>
      </c>
      <c r="D225" s="4">
        <v>0.15</v>
      </c>
      <c r="E225" s="4">
        <v>0.2</v>
      </c>
      <c r="F225" s="4">
        <v>0.25</v>
      </c>
    </row>
    <row r="226" spans="1:6" x14ac:dyDescent="0.35">
      <c r="A226">
        <v>3</v>
      </c>
      <c r="B226">
        <v>65</v>
      </c>
      <c r="D226" s="4">
        <v>0.27</v>
      </c>
      <c r="E226" s="4">
        <v>0.28999999999999998</v>
      </c>
      <c r="F226" s="4">
        <v>0.33</v>
      </c>
    </row>
    <row r="227" spans="1:6" x14ac:dyDescent="0.35">
      <c r="A227">
        <v>3</v>
      </c>
      <c r="B227">
        <v>66</v>
      </c>
      <c r="D227" s="4">
        <v>1E-8</v>
      </c>
      <c r="E227" s="4">
        <v>0.01</v>
      </c>
      <c r="F227" s="4">
        <v>0.05</v>
      </c>
    </row>
    <row r="228" spans="1:6" x14ac:dyDescent="0.35">
      <c r="A228">
        <v>3</v>
      </c>
      <c r="B228">
        <v>67</v>
      </c>
      <c r="D228" s="4">
        <v>1E-8</v>
      </c>
      <c r="E228" s="4">
        <v>9.9999999999999995E-8</v>
      </c>
      <c r="F228" s="4">
        <v>9.9999999999999995E-7</v>
      </c>
    </row>
    <row r="229" spans="1:6" x14ac:dyDescent="0.35">
      <c r="A229">
        <v>3</v>
      </c>
      <c r="B229">
        <v>68</v>
      </c>
      <c r="D229" s="4">
        <v>0.08</v>
      </c>
      <c r="E229" s="4">
        <v>0.1</v>
      </c>
      <c r="F229" s="4">
        <v>0.12</v>
      </c>
    </row>
    <row r="230" spans="1:6" x14ac:dyDescent="0.35">
      <c r="A230">
        <v>3</v>
      </c>
      <c r="B230">
        <v>69</v>
      </c>
      <c r="D230" s="4">
        <v>0.8</v>
      </c>
      <c r="E230" s="4">
        <v>0.9</v>
      </c>
      <c r="F230" s="4">
        <v>1</v>
      </c>
    </row>
    <row r="231" spans="1:6" x14ac:dyDescent="0.35">
      <c r="A231">
        <v>3</v>
      </c>
      <c r="B231">
        <v>70</v>
      </c>
      <c r="D231" s="4">
        <v>0.5</v>
      </c>
      <c r="E231" s="4">
        <v>0.6</v>
      </c>
      <c r="F231" s="4">
        <v>0.65</v>
      </c>
    </row>
    <row r="232" spans="1:6" x14ac:dyDescent="0.35">
      <c r="A232">
        <v>3</v>
      </c>
      <c r="B232">
        <v>71</v>
      </c>
      <c r="D232" s="4">
        <v>0.15</v>
      </c>
      <c r="E232" s="4">
        <v>0.23</v>
      </c>
      <c r="F232" s="4">
        <v>0.28000000000000003</v>
      </c>
    </row>
    <row r="233" spans="1:6" x14ac:dyDescent="0.35">
      <c r="A233">
        <v>3</v>
      </c>
      <c r="B233">
        <v>72</v>
      </c>
      <c r="D233" s="4">
        <v>0.12</v>
      </c>
      <c r="E233" s="4">
        <v>0.15</v>
      </c>
      <c r="F233" s="4">
        <v>0.18</v>
      </c>
    </row>
    <row r="234" spans="1:6" x14ac:dyDescent="0.35">
      <c r="A234">
        <v>3</v>
      </c>
      <c r="B234">
        <v>73</v>
      </c>
      <c r="D234" s="4">
        <v>1E-8</v>
      </c>
      <c r="E234" s="4">
        <v>0.02</v>
      </c>
      <c r="F234" s="4">
        <v>0.03</v>
      </c>
    </row>
    <row r="235" spans="1:6" x14ac:dyDescent="0.35">
      <c r="A235">
        <v>3</v>
      </c>
      <c r="B235">
        <v>74</v>
      </c>
      <c r="D235" s="4">
        <v>0.85</v>
      </c>
      <c r="E235" s="4">
        <v>0.9</v>
      </c>
      <c r="F235" s="4">
        <v>0.91</v>
      </c>
    </row>
    <row r="236" spans="1:6" x14ac:dyDescent="0.35">
      <c r="A236">
        <v>3</v>
      </c>
      <c r="B236">
        <v>75</v>
      </c>
      <c r="D236" s="4">
        <v>0.08</v>
      </c>
      <c r="E236" s="4">
        <v>0.1</v>
      </c>
      <c r="F236" s="4">
        <v>0.15</v>
      </c>
    </row>
    <row r="237" spans="1:6" x14ac:dyDescent="0.35">
      <c r="A237">
        <v>3</v>
      </c>
      <c r="B237">
        <v>76</v>
      </c>
      <c r="D237" s="4">
        <v>0.32</v>
      </c>
      <c r="E237" s="4">
        <v>0.4</v>
      </c>
      <c r="F237" s="4">
        <v>0.48</v>
      </c>
    </row>
    <row r="238" spans="1:6" x14ac:dyDescent="0.35">
      <c r="A238">
        <v>3</v>
      </c>
      <c r="B238">
        <v>77</v>
      </c>
      <c r="D238" s="4">
        <v>0.28000000000000003</v>
      </c>
      <c r="E238" s="4">
        <v>0.3</v>
      </c>
      <c r="F238" s="4">
        <v>0.33</v>
      </c>
    </row>
    <row r="239" spans="1:6" x14ac:dyDescent="0.35">
      <c r="A239">
        <v>3</v>
      </c>
      <c r="B239">
        <v>78</v>
      </c>
      <c r="D239" s="4">
        <v>0.26</v>
      </c>
      <c r="E239" s="4">
        <v>0.28000000000000003</v>
      </c>
      <c r="F239" s="4">
        <v>0.3</v>
      </c>
    </row>
    <row r="240" spans="1:6" x14ac:dyDescent="0.35">
      <c r="A240">
        <v>3</v>
      </c>
      <c r="B240">
        <v>79</v>
      </c>
      <c r="D240" s="4">
        <v>0.01</v>
      </c>
      <c r="E240" s="4">
        <v>0.02</v>
      </c>
      <c r="F240" s="4">
        <v>0.03</v>
      </c>
    </row>
    <row r="241" spans="1:6" x14ac:dyDescent="0.35">
      <c r="A241">
        <v>3</v>
      </c>
      <c r="B241">
        <v>80</v>
      </c>
      <c r="D241" s="4">
        <v>1E-8</v>
      </c>
      <c r="E241" s="4">
        <v>9.9999999999999995E-8</v>
      </c>
      <c r="F241" s="4">
        <v>9.9999999999999995E-7</v>
      </c>
    </row>
    <row r="242" spans="1:6" x14ac:dyDescent="0.35">
      <c r="A242">
        <v>4</v>
      </c>
      <c r="B242">
        <v>1</v>
      </c>
      <c r="D242" s="4">
        <v>11000</v>
      </c>
      <c r="E242" s="4">
        <v>12000</v>
      </c>
      <c r="F242" s="4">
        <v>13000</v>
      </c>
    </row>
    <row r="243" spans="1:6" x14ac:dyDescent="0.35">
      <c r="A243">
        <v>4</v>
      </c>
      <c r="B243">
        <v>2</v>
      </c>
      <c r="D243" s="4">
        <v>4000</v>
      </c>
      <c r="E243" s="4">
        <v>7000</v>
      </c>
      <c r="F243" s="4">
        <v>10000</v>
      </c>
    </row>
    <row r="244" spans="1:6" x14ac:dyDescent="0.35">
      <c r="A244">
        <v>4</v>
      </c>
      <c r="B244">
        <v>3</v>
      </c>
      <c r="D244" s="4">
        <v>3000</v>
      </c>
      <c r="E244" s="4">
        <v>5000</v>
      </c>
      <c r="F244" s="4">
        <v>7000</v>
      </c>
    </row>
    <row r="245" spans="1:6" x14ac:dyDescent="0.35">
      <c r="A245">
        <v>4</v>
      </c>
      <c r="B245">
        <v>4</v>
      </c>
      <c r="D245" s="4">
        <v>1000</v>
      </c>
      <c r="E245" s="4">
        <v>3000</v>
      </c>
      <c r="F245" s="4">
        <v>4000</v>
      </c>
    </row>
    <row r="246" spans="1:6" x14ac:dyDescent="0.35">
      <c r="A246">
        <v>4</v>
      </c>
      <c r="B246">
        <v>5</v>
      </c>
      <c r="D246" s="4">
        <v>0.05</v>
      </c>
      <c r="E246" s="4">
        <v>0.2</v>
      </c>
      <c r="F246" s="4">
        <v>0.35</v>
      </c>
    </row>
    <row r="247" spans="1:6" x14ac:dyDescent="0.35">
      <c r="A247">
        <v>4</v>
      </c>
      <c r="B247">
        <v>6</v>
      </c>
      <c r="D247" s="4">
        <v>100</v>
      </c>
      <c r="E247" s="4">
        <v>300</v>
      </c>
      <c r="F247" s="4">
        <v>700</v>
      </c>
    </row>
    <row r="248" spans="1:6" x14ac:dyDescent="0.35">
      <c r="A248">
        <v>4</v>
      </c>
      <c r="B248">
        <v>7</v>
      </c>
      <c r="D248" s="4">
        <v>100</v>
      </c>
      <c r="E248" s="4">
        <v>300</v>
      </c>
      <c r="F248" s="4">
        <v>500</v>
      </c>
    </row>
    <row r="249" spans="1:6" x14ac:dyDescent="0.35">
      <c r="A249">
        <v>4</v>
      </c>
      <c r="B249">
        <v>8</v>
      </c>
      <c r="D249" s="4">
        <v>1</v>
      </c>
      <c r="E249" s="4">
        <v>10</v>
      </c>
      <c r="F249" s="4">
        <v>50</v>
      </c>
    </row>
    <row r="250" spans="1:6" x14ac:dyDescent="0.35">
      <c r="A250">
        <v>4</v>
      </c>
      <c r="B250">
        <v>9</v>
      </c>
      <c r="D250" s="4">
        <v>2</v>
      </c>
      <c r="E250" s="4">
        <v>5</v>
      </c>
      <c r="F250" s="4">
        <v>9</v>
      </c>
    </row>
    <row r="251" spans="1:6" x14ac:dyDescent="0.35">
      <c r="A251">
        <v>4</v>
      </c>
      <c r="B251">
        <v>10</v>
      </c>
      <c r="D251" s="4">
        <v>0.3</v>
      </c>
      <c r="E251" s="4">
        <v>0.4</v>
      </c>
      <c r="F251" s="4">
        <v>0.55000000000000004</v>
      </c>
    </row>
    <row r="252" spans="1:6" x14ac:dyDescent="0.35">
      <c r="A252">
        <v>4</v>
      </c>
      <c r="B252">
        <v>11</v>
      </c>
      <c r="D252" s="4">
        <v>0.05</v>
      </c>
      <c r="E252" s="4">
        <v>0.12</v>
      </c>
      <c r="F252" s="4">
        <v>0.15</v>
      </c>
    </row>
    <row r="253" spans="1:6" x14ac:dyDescent="0.35">
      <c r="A253">
        <v>4</v>
      </c>
      <c r="B253">
        <v>12</v>
      </c>
      <c r="D253" s="4">
        <v>0.02</v>
      </c>
      <c r="E253" s="4">
        <v>0.05</v>
      </c>
      <c r="F253" s="4">
        <v>0.1</v>
      </c>
    </row>
    <row r="254" spans="1:6" x14ac:dyDescent="0.35">
      <c r="A254">
        <v>4</v>
      </c>
      <c r="B254">
        <v>13</v>
      </c>
      <c r="D254" s="4">
        <v>0.05</v>
      </c>
      <c r="E254" s="4">
        <v>0.25</v>
      </c>
      <c r="F254" s="4">
        <v>0.45</v>
      </c>
    </row>
    <row r="255" spans="1:6" x14ac:dyDescent="0.35">
      <c r="A255">
        <v>4</v>
      </c>
      <c r="B255">
        <v>14</v>
      </c>
      <c r="D255" s="4">
        <v>5.0000000000000001E-3</v>
      </c>
      <c r="E255" s="4">
        <v>0.03</v>
      </c>
      <c r="F255" s="4">
        <v>0.08</v>
      </c>
    </row>
    <row r="256" spans="1:6" x14ac:dyDescent="0.35">
      <c r="A256">
        <v>4</v>
      </c>
      <c r="B256">
        <v>15</v>
      </c>
      <c r="D256" s="4">
        <v>0.1</v>
      </c>
      <c r="E256" s="4">
        <v>0.27</v>
      </c>
      <c r="F256" s="4">
        <v>0.45</v>
      </c>
    </row>
    <row r="257" spans="1:6" x14ac:dyDescent="0.35">
      <c r="A257">
        <v>4</v>
      </c>
      <c r="B257">
        <v>16</v>
      </c>
      <c r="D257" s="4">
        <v>0.05</v>
      </c>
      <c r="E257" s="4">
        <v>0.12</v>
      </c>
      <c r="F257" s="4">
        <v>0.2</v>
      </c>
    </row>
    <row r="258" spans="1:6" x14ac:dyDescent="0.35">
      <c r="A258">
        <v>4</v>
      </c>
      <c r="B258">
        <v>17</v>
      </c>
      <c r="D258" s="4">
        <v>0.02</v>
      </c>
      <c r="E258" s="4">
        <v>0.06</v>
      </c>
      <c r="F258" s="4">
        <v>0.15</v>
      </c>
    </row>
    <row r="259" spans="1:6" x14ac:dyDescent="0.35">
      <c r="A259">
        <v>4</v>
      </c>
      <c r="B259">
        <v>18</v>
      </c>
      <c r="D259" s="4">
        <v>0.01</v>
      </c>
      <c r="E259" s="4">
        <v>0.05</v>
      </c>
      <c r="F259" s="4">
        <v>0.1</v>
      </c>
    </row>
    <row r="260" spans="1:6" x14ac:dyDescent="0.35">
      <c r="A260">
        <v>4</v>
      </c>
      <c r="B260">
        <v>19</v>
      </c>
      <c r="D260" s="4">
        <v>0.01</v>
      </c>
      <c r="E260" s="4">
        <v>0.05</v>
      </c>
      <c r="F260" s="4">
        <v>0.15</v>
      </c>
    </row>
    <row r="261" spans="1:6" x14ac:dyDescent="0.35">
      <c r="A261">
        <v>4</v>
      </c>
      <c r="B261">
        <v>20</v>
      </c>
      <c r="D261" s="4">
        <v>0.3</v>
      </c>
      <c r="E261" s="4">
        <v>0.35</v>
      </c>
      <c r="F261" s="4">
        <v>0.45</v>
      </c>
    </row>
    <row r="262" spans="1:6" x14ac:dyDescent="0.35">
      <c r="A262">
        <v>4</v>
      </c>
      <c r="B262">
        <v>21</v>
      </c>
      <c r="D262" s="4">
        <v>0.15</v>
      </c>
      <c r="E262" s="4">
        <v>0.2</v>
      </c>
      <c r="F262" s="4">
        <v>0.3</v>
      </c>
    </row>
    <row r="263" spans="1:6" x14ac:dyDescent="0.35">
      <c r="A263">
        <v>4</v>
      </c>
      <c r="B263">
        <v>22</v>
      </c>
      <c r="D263" s="4">
        <v>0.2</v>
      </c>
      <c r="E263" s="4">
        <v>0.25</v>
      </c>
      <c r="F263" s="4">
        <v>0.4</v>
      </c>
    </row>
    <row r="264" spans="1:6" x14ac:dyDescent="0.35">
      <c r="A264">
        <v>4</v>
      </c>
      <c r="B264">
        <v>23</v>
      </c>
      <c r="D264" s="4">
        <v>0.08</v>
      </c>
      <c r="E264" s="4">
        <v>0.1</v>
      </c>
      <c r="F264" s="4">
        <v>0.2</v>
      </c>
    </row>
    <row r="265" spans="1:6" x14ac:dyDescent="0.35">
      <c r="A265">
        <v>4</v>
      </c>
      <c r="B265">
        <v>24</v>
      </c>
      <c r="D265" s="4">
        <v>0.05</v>
      </c>
      <c r="E265" s="4">
        <v>7.0000000000000007E-2</v>
      </c>
      <c r="F265" s="4">
        <v>0.15</v>
      </c>
    </row>
    <row r="266" spans="1:6" x14ac:dyDescent="0.35">
      <c r="A266">
        <v>4</v>
      </c>
      <c r="B266">
        <v>25</v>
      </c>
      <c r="D266" s="4">
        <v>0.01</v>
      </c>
      <c r="E266" s="4">
        <v>0.03</v>
      </c>
      <c r="F266" s="4">
        <v>0.05</v>
      </c>
    </row>
    <row r="267" spans="1:6" x14ac:dyDescent="0.35">
      <c r="A267">
        <v>4</v>
      </c>
      <c r="B267">
        <v>26</v>
      </c>
      <c r="D267" s="4">
        <v>0.7</v>
      </c>
      <c r="E267" s="4">
        <v>0.8</v>
      </c>
      <c r="F267" s="4">
        <v>0.95</v>
      </c>
    </row>
    <row r="268" spans="1:6" x14ac:dyDescent="0.35">
      <c r="A268">
        <v>4</v>
      </c>
      <c r="B268">
        <v>27</v>
      </c>
      <c r="D268" s="4">
        <v>0.1</v>
      </c>
      <c r="E268" s="4">
        <v>0.2</v>
      </c>
      <c r="F268" s="4">
        <v>0.3</v>
      </c>
    </row>
    <row r="269" spans="1:6" x14ac:dyDescent="0.35">
      <c r="A269">
        <v>4</v>
      </c>
      <c r="B269">
        <v>28</v>
      </c>
      <c r="D269" s="4">
        <v>0.2</v>
      </c>
      <c r="E269" s="4">
        <v>0.26</v>
      </c>
      <c r="F269" s="4">
        <v>0.3</v>
      </c>
    </row>
    <row r="270" spans="1:6" x14ac:dyDescent="0.35">
      <c r="A270">
        <v>4</v>
      </c>
      <c r="B270">
        <v>29</v>
      </c>
      <c r="D270" s="4">
        <v>0.15</v>
      </c>
      <c r="E270" s="4">
        <v>0.35</v>
      </c>
      <c r="F270" s="4">
        <v>0.45</v>
      </c>
    </row>
    <row r="271" spans="1:6" x14ac:dyDescent="0.35">
      <c r="A271">
        <v>4</v>
      </c>
      <c r="B271">
        <v>30</v>
      </c>
      <c r="D271" s="4">
        <v>0.05</v>
      </c>
      <c r="E271" s="4">
        <v>0.17</v>
      </c>
      <c r="F271" s="4">
        <v>0.2</v>
      </c>
    </row>
    <row r="272" spans="1:6" x14ac:dyDescent="0.35">
      <c r="A272">
        <v>4</v>
      </c>
      <c r="B272">
        <v>31</v>
      </c>
      <c r="D272" s="4">
        <v>0.05</v>
      </c>
      <c r="E272" s="4">
        <v>0.11</v>
      </c>
      <c r="F272" s="4">
        <v>0.15</v>
      </c>
    </row>
    <row r="273" spans="1:6" x14ac:dyDescent="0.35">
      <c r="A273">
        <v>4</v>
      </c>
      <c r="B273">
        <v>32</v>
      </c>
      <c r="D273" s="4">
        <v>0.03</v>
      </c>
      <c r="E273" s="4">
        <v>0.1</v>
      </c>
      <c r="F273" s="4">
        <v>0.15</v>
      </c>
    </row>
    <row r="274" spans="1:6" x14ac:dyDescent="0.35">
      <c r="A274">
        <v>4</v>
      </c>
      <c r="B274">
        <v>33</v>
      </c>
      <c r="D274" s="4">
        <v>1E-8</v>
      </c>
      <c r="E274" s="4">
        <v>9.9999999999999995E-8</v>
      </c>
      <c r="F274" s="4">
        <v>9.9999999999999995E-7</v>
      </c>
    </row>
    <row r="275" spans="1:6" x14ac:dyDescent="0.35">
      <c r="A275">
        <v>4</v>
      </c>
      <c r="B275">
        <v>34</v>
      </c>
      <c r="D275" s="4">
        <v>0.6</v>
      </c>
      <c r="E275" s="4">
        <v>0.75</v>
      </c>
      <c r="F275" s="4">
        <v>0.9</v>
      </c>
    </row>
    <row r="276" spans="1:6" x14ac:dyDescent="0.35">
      <c r="A276">
        <v>4</v>
      </c>
      <c r="B276">
        <v>35</v>
      </c>
      <c r="D276" s="4">
        <v>0.05</v>
      </c>
      <c r="E276" s="4">
        <v>0.25</v>
      </c>
      <c r="F276" s="4">
        <v>0.3</v>
      </c>
    </row>
    <row r="277" spans="1:6" x14ac:dyDescent="0.35">
      <c r="A277">
        <v>4</v>
      </c>
      <c r="B277">
        <v>36</v>
      </c>
      <c r="D277" s="4">
        <v>0.75</v>
      </c>
      <c r="E277" s="4">
        <v>0.9</v>
      </c>
      <c r="F277" s="4">
        <v>0.98</v>
      </c>
    </row>
    <row r="278" spans="1:6" x14ac:dyDescent="0.35">
      <c r="A278">
        <v>4</v>
      </c>
      <c r="B278">
        <v>37</v>
      </c>
      <c r="D278" s="4">
        <v>0.01</v>
      </c>
      <c r="E278" s="4">
        <v>0.02</v>
      </c>
      <c r="F278" s="4">
        <v>0.05</v>
      </c>
    </row>
    <row r="279" spans="1:6" x14ac:dyDescent="0.35">
      <c r="A279">
        <v>4</v>
      </c>
      <c r="B279">
        <v>38</v>
      </c>
      <c r="D279" s="4">
        <v>0.03</v>
      </c>
      <c r="E279" s="4">
        <v>0.08</v>
      </c>
      <c r="F279" s="4">
        <v>0.15</v>
      </c>
    </row>
    <row r="280" spans="1:6" x14ac:dyDescent="0.35">
      <c r="A280">
        <v>4</v>
      </c>
      <c r="B280">
        <v>39</v>
      </c>
      <c r="D280" s="4">
        <v>0.7</v>
      </c>
      <c r="E280" s="4">
        <v>0.95</v>
      </c>
      <c r="F280" s="4">
        <v>0.99</v>
      </c>
    </row>
    <row r="281" spans="1:6" x14ac:dyDescent="0.35">
      <c r="A281">
        <v>4</v>
      </c>
      <c r="B281">
        <v>40</v>
      </c>
      <c r="D281" s="4">
        <v>0.01</v>
      </c>
      <c r="E281" s="4">
        <v>0.05</v>
      </c>
      <c r="F281" s="4">
        <v>0.1</v>
      </c>
    </row>
    <row r="282" spans="1:6" x14ac:dyDescent="0.35">
      <c r="A282">
        <v>4</v>
      </c>
      <c r="B282">
        <v>41</v>
      </c>
      <c r="D282" s="4">
        <v>0.5</v>
      </c>
      <c r="E282" s="4">
        <v>0.75</v>
      </c>
      <c r="F282" s="4">
        <v>0.85</v>
      </c>
    </row>
    <row r="283" spans="1:6" x14ac:dyDescent="0.35">
      <c r="A283">
        <v>4</v>
      </c>
      <c r="B283">
        <v>42</v>
      </c>
      <c r="D283" s="4">
        <v>0.05</v>
      </c>
      <c r="E283" s="4">
        <v>7.0000000000000007E-2</v>
      </c>
      <c r="F283" s="4">
        <v>0.15</v>
      </c>
    </row>
    <row r="284" spans="1:6" x14ac:dyDescent="0.35">
      <c r="A284">
        <v>4</v>
      </c>
      <c r="B284">
        <v>43</v>
      </c>
      <c r="D284" s="4">
        <v>0.05</v>
      </c>
      <c r="E284" s="4">
        <v>0.15</v>
      </c>
      <c r="F284" s="4">
        <v>0.25</v>
      </c>
    </row>
    <row r="285" spans="1:6" x14ac:dyDescent="0.35">
      <c r="A285">
        <v>4</v>
      </c>
      <c r="B285">
        <v>44</v>
      </c>
      <c r="D285" s="4">
        <v>0.01</v>
      </c>
      <c r="E285" s="4">
        <v>0.03</v>
      </c>
      <c r="F285" s="4">
        <v>0.1</v>
      </c>
    </row>
    <row r="286" spans="1:6" x14ac:dyDescent="0.35">
      <c r="A286">
        <v>4</v>
      </c>
      <c r="B286">
        <v>45</v>
      </c>
      <c r="D286" s="4">
        <v>0.7</v>
      </c>
      <c r="E286" s="4">
        <v>0.85</v>
      </c>
      <c r="F286" s="4">
        <v>0.95</v>
      </c>
    </row>
    <row r="287" spans="1:6" x14ac:dyDescent="0.35">
      <c r="A287">
        <v>4</v>
      </c>
      <c r="B287">
        <v>46</v>
      </c>
      <c r="D287" s="4">
        <v>0.05</v>
      </c>
      <c r="E287" s="4">
        <v>0.15</v>
      </c>
      <c r="F287" s="4">
        <v>0.25</v>
      </c>
    </row>
    <row r="288" spans="1:6" x14ac:dyDescent="0.35">
      <c r="A288">
        <v>4</v>
      </c>
      <c r="B288">
        <v>47</v>
      </c>
      <c r="D288" s="4">
        <v>0.15</v>
      </c>
      <c r="E288" s="4">
        <v>0.25</v>
      </c>
      <c r="F288" s="4">
        <v>0.3</v>
      </c>
    </row>
    <row r="289" spans="1:6" x14ac:dyDescent="0.35">
      <c r="A289">
        <v>4</v>
      </c>
      <c r="B289">
        <v>48</v>
      </c>
      <c r="D289" s="4">
        <v>0.2</v>
      </c>
      <c r="E289" s="4">
        <v>0.4</v>
      </c>
      <c r="F289" s="4">
        <v>0.5</v>
      </c>
    </row>
    <row r="290" spans="1:6" x14ac:dyDescent="0.35">
      <c r="A290">
        <v>4</v>
      </c>
      <c r="B290">
        <v>49</v>
      </c>
      <c r="D290" s="4">
        <v>0.15</v>
      </c>
      <c r="E290" s="4">
        <v>0.23</v>
      </c>
      <c r="F290" s="4">
        <v>0.4</v>
      </c>
    </row>
    <row r="291" spans="1:6" x14ac:dyDescent="0.35">
      <c r="A291">
        <v>4</v>
      </c>
      <c r="B291">
        <v>50</v>
      </c>
      <c r="D291" s="4">
        <v>0.03</v>
      </c>
      <c r="E291" s="4">
        <v>7.0000000000000007E-2</v>
      </c>
      <c r="F291" s="4">
        <v>0.1</v>
      </c>
    </row>
    <row r="292" spans="1:6" x14ac:dyDescent="0.35">
      <c r="A292">
        <v>4</v>
      </c>
      <c r="B292">
        <v>51</v>
      </c>
      <c r="D292" s="4">
        <v>0.02</v>
      </c>
      <c r="E292" s="4">
        <v>0.05</v>
      </c>
      <c r="F292" s="4">
        <v>0.1</v>
      </c>
    </row>
    <row r="293" spans="1:6" x14ac:dyDescent="0.35">
      <c r="A293">
        <v>4</v>
      </c>
      <c r="B293">
        <v>52</v>
      </c>
      <c r="D293" s="4">
        <v>0.75</v>
      </c>
      <c r="E293" s="4">
        <v>0.9</v>
      </c>
      <c r="F293" s="4">
        <v>0.95</v>
      </c>
    </row>
    <row r="294" spans="1:6" x14ac:dyDescent="0.35">
      <c r="A294">
        <v>4</v>
      </c>
      <c r="B294">
        <v>53</v>
      </c>
      <c r="D294" s="4">
        <v>0.02</v>
      </c>
      <c r="E294" s="4">
        <v>0.03</v>
      </c>
      <c r="F294" s="4">
        <v>0.1</v>
      </c>
    </row>
    <row r="295" spans="1:6" x14ac:dyDescent="0.35">
      <c r="A295">
        <v>4</v>
      </c>
      <c r="B295">
        <v>54</v>
      </c>
      <c r="D295" s="4">
        <v>0.03</v>
      </c>
      <c r="E295" s="4">
        <v>7.0000000000000007E-2</v>
      </c>
      <c r="F295" s="4">
        <v>0.15</v>
      </c>
    </row>
    <row r="296" spans="1:6" x14ac:dyDescent="0.35">
      <c r="A296">
        <v>4</v>
      </c>
      <c r="B296">
        <v>55</v>
      </c>
      <c r="D296" s="4">
        <v>0.75</v>
      </c>
      <c r="E296" s="4">
        <v>0.8</v>
      </c>
      <c r="F296" s="4">
        <v>0.95</v>
      </c>
    </row>
    <row r="297" spans="1:6" x14ac:dyDescent="0.35">
      <c r="A297">
        <v>4</v>
      </c>
      <c r="B297">
        <v>56</v>
      </c>
      <c r="D297" s="4">
        <v>0.15</v>
      </c>
      <c r="E297" s="4">
        <v>0.2</v>
      </c>
      <c r="F297" s="4">
        <v>0.25</v>
      </c>
    </row>
    <row r="298" spans="1:6" x14ac:dyDescent="0.35">
      <c r="A298">
        <v>4</v>
      </c>
      <c r="B298">
        <v>57</v>
      </c>
      <c r="D298" s="4">
        <v>0.3</v>
      </c>
      <c r="E298" s="4">
        <v>0.5</v>
      </c>
      <c r="F298" s="4">
        <v>0.7</v>
      </c>
    </row>
    <row r="299" spans="1:6" x14ac:dyDescent="0.35">
      <c r="A299">
        <v>4</v>
      </c>
      <c r="B299">
        <v>58</v>
      </c>
      <c r="D299" s="4">
        <v>0.05</v>
      </c>
      <c r="E299" s="4">
        <v>0.1</v>
      </c>
      <c r="F299" s="4">
        <v>0.2</v>
      </c>
    </row>
    <row r="300" spans="1:6" x14ac:dyDescent="0.35">
      <c r="A300">
        <v>4</v>
      </c>
      <c r="B300">
        <v>59</v>
      </c>
      <c r="D300" s="4">
        <v>0.1</v>
      </c>
      <c r="E300" s="4">
        <v>0.25</v>
      </c>
      <c r="F300" s="4">
        <v>0.4</v>
      </c>
    </row>
    <row r="301" spans="1:6" x14ac:dyDescent="0.35">
      <c r="A301">
        <v>4</v>
      </c>
      <c r="B301">
        <v>60</v>
      </c>
      <c r="D301" s="4">
        <v>0.1</v>
      </c>
      <c r="E301" s="4">
        <v>0.15</v>
      </c>
      <c r="F301" s="4">
        <v>0.25</v>
      </c>
    </row>
    <row r="302" spans="1:6" x14ac:dyDescent="0.35">
      <c r="A302">
        <v>4</v>
      </c>
      <c r="B302">
        <v>61</v>
      </c>
      <c r="D302" s="4">
        <v>0.7</v>
      </c>
      <c r="E302" s="4">
        <v>0.85</v>
      </c>
      <c r="F302" s="4">
        <v>0.95</v>
      </c>
    </row>
    <row r="303" spans="1:6" x14ac:dyDescent="0.35">
      <c r="A303">
        <v>4</v>
      </c>
      <c r="B303">
        <v>62</v>
      </c>
      <c r="D303" s="4">
        <v>0.05</v>
      </c>
      <c r="E303" s="4">
        <v>0.15</v>
      </c>
      <c r="F303" s="4">
        <v>0.3</v>
      </c>
    </row>
    <row r="304" spans="1:6" x14ac:dyDescent="0.35">
      <c r="A304">
        <v>4</v>
      </c>
      <c r="B304">
        <v>63</v>
      </c>
      <c r="D304" s="4">
        <v>0.2</v>
      </c>
      <c r="E304" s="4">
        <v>0.35</v>
      </c>
      <c r="F304" s="4">
        <v>0.45</v>
      </c>
    </row>
    <row r="305" spans="1:6" x14ac:dyDescent="0.35">
      <c r="A305">
        <v>4</v>
      </c>
      <c r="B305">
        <v>64</v>
      </c>
      <c r="D305" s="4">
        <v>0.2</v>
      </c>
      <c r="E305" s="4">
        <v>0.4</v>
      </c>
      <c r="F305" s="4">
        <v>0.5</v>
      </c>
    </row>
    <row r="306" spans="1:6" x14ac:dyDescent="0.35">
      <c r="A306">
        <v>4</v>
      </c>
      <c r="B306">
        <v>65</v>
      </c>
      <c r="D306" s="4">
        <v>0.1</v>
      </c>
      <c r="E306" s="4">
        <v>0.15</v>
      </c>
      <c r="F306" s="4">
        <v>0.25</v>
      </c>
    </row>
    <row r="307" spans="1:6" x14ac:dyDescent="0.35">
      <c r="A307">
        <v>4</v>
      </c>
      <c r="B307">
        <v>66</v>
      </c>
      <c r="D307" s="4">
        <v>0.01</v>
      </c>
      <c r="E307" s="4">
        <v>0.05</v>
      </c>
      <c r="F307" s="4">
        <v>0.1</v>
      </c>
    </row>
    <row r="308" spans="1:6" x14ac:dyDescent="0.35">
      <c r="A308">
        <v>4</v>
      </c>
      <c r="B308">
        <v>67</v>
      </c>
      <c r="D308" s="4">
        <v>0.02</v>
      </c>
      <c r="E308" s="4">
        <v>0.05</v>
      </c>
      <c r="F308" s="4">
        <v>0.1</v>
      </c>
    </row>
    <row r="309" spans="1:6" x14ac:dyDescent="0.35">
      <c r="A309">
        <v>4</v>
      </c>
      <c r="B309">
        <v>68</v>
      </c>
      <c r="D309" s="4">
        <v>0.6</v>
      </c>
      <c r="E309" s="4">
        <v>0.8</v>
      </c>
      <c r="F309" s="4">
        <v>0.95</v>
      </c>
    </row>
    <row r="310" spans="1:6" x14ac:dyDescent="0.35">
      <c r="A310">
        <v>4</v>
      </c>
      <c r="B310">
        <v>69</v>
      </c>
      <c r="D310" s="4">
        <v>0.1</v>
      </c>
      <c r="E310" s="4">
        <v>0.2</v>
      </c>
      <c r="F310" s="4">
        <v>0.3</v>
      </c>
    </row>
    <row r="311" spans="1:6" x14ac:dyDescent="0.35">
      <c r="A311">
        <v>4</v>
      </c>
      <c r="B311">
        <v>70</v>
      </c>
      <c r="D311" s="4">
        <v>0.3</v>
      </c>
      <c r="E311" s="4">
        <v>0.55000000000000004</v>
      </c>
      <c r="F311" s="4">
        <v>0.65</v>
      </c>
    </row>
    <row r="312" spans="1:6" x14ac:dyDescent="0.35">
      <c r="A312">
        <v>4</v>
      </c>
      <c r="B312">
        <v>71</v>
      </c>
      <c r="D312" s="4">
        <v>0.05</v>
      </c>
      <c r="E312" s="4">
        <v>0.15</v>
      </c>
      <c r="F312" s="4">
        <v>0.25</v>
      </c>
    </row>
    <row r="313" spans="1:6" x14ac:dyDescent="0.35">
      <c r="A313">
        <v>4</v>
      </c>
      <c r="B313">
        <v>72</v>
      </c>
      <c r="D313" s="4">
        <v>0.1</v>
      </c>
      <c r="E313" s="4">
        <v>0.2</v>
      </c>
      <c r="F313" s="4">
        <v>0.3</v>
      </c>
    </row>
    <row r="314" spans="1:6" x14ac:dyDescent="0.35">
      <c r="A314">
        <v>4</v>
      </c>
      <c r="B314">
        <v>73</v>
      </c>
      <c r="D314" s="4">
        <v>0.03</v>
      </c>
      <c r="E314" s="4">
        <v>0.1</v>
      </c>
      <c r="F314" s="4">
        <v>0.2</v>
      </c>
    </row>
    <row r="315" spans="1:6" x14ac:dyDescent="0.35">
      <c r="A315">
        <v>4</v>
      </c>
      <c r="B315">
        <v>74</v>
      </c>
      <c r="D315" s="4">
        <v>0.6</v>
      </c>
      <c r="E315" s="4">
        <v>0.85</v>
      </c>
      <c r="F315" s="4">
        <v>0.95</v>
      </c>
    </row>
    <row r="316" spans="1:6" x14ac:dyDescent="0.35">
      <c r="A316">
        <v>4</v>
      </c>
      <c r="B316">
        <v>75</v>
      </c>
      <c r="D316" s="4">
        <v>0.05</v>
      </c>
      <c r="E316" s="4">
        <v>0.15</v>
      </c>
      <c r="F316" s="4">
        <v>0.25</v>
      </c>
    </row>
    <row r="317" spans="1:6" x14ac:dyDescent="0.35">
      <c r="A317">
        <v>4</v>
      </c>
      <c r="B317">
        <v>76</v>
      </c>
      <c r="D317" s="4">
        <v>0.25</v>
      </c>
      <c r="E317" s="4">
        <v>0.45</v>
      </c>
      <c r="F317" s="4">
        <v>0.5</v>
      </c>
    </row>
    <row r="318" spans="1:6" x14ac:dyDescent="0.35">
      <c r="A318">
        <v>4</v>
      </c>
      <c r="B318">
        <v>77</v>
      </c>
      <c r="D318" s="4">
        <v>0.1</v>
      </c>
      <c r="E318" s="4">
        <v>0.25</v>
      </c>
      <c r="F318" s="4">
        <v>0.4</v>
      </c>
    </row>
    <row r="319" spans="1:6" x14ac:dyDescent="0.35">
      <c r="A319">
        <v>4</v>
      </c>
      <c r="B319">
        <v>78</v>
      </c>
      <c r="D319" s="4">
        <v>0.1</v>
      </c>
      <c r="E319" s="4">
        <v>0.2</v>
      </c>
      <c r="F319" s="4">
        <v>0.3</v>
      </c>
    </row>
    <row r="320" spans="1:6" x14ac:dyDescent="0.35">
      <c r="A320">
        <v>4</v>
      </c>
      <c r="B320">
        <v>79</v>
      </c>
      <c r="D320" s="4">
        <v>0.03</v>
      </c>
      <c r="E320" s="4">
        <v>7.0000000000000007E-2</v>
      </c>
      <c r="F320" s="4">
        <v>0.1</v>
      </c>
    </row>
    <row r="321" spans="1:6" x14ac:dyDescent="0.35">
      <c r="A321">
        <v>4</v>
      </c>
      <c r="B321">
        <v>80</v>
      </c>
      <c r="D321" s="4">
        <v>0.01</v>
      </c>
      <c r="E321" s="4">
        <v>0.03</v>
      </c>
      <c r="F321" s="4">
        <v>0.1</v>
      </c>
    </row>
    <row r="322" spans="1:6" x14ac:dyDescent="0.35">
      <c r="A322">
        <v>5</v>
      </c>
      <c r="B322">
        <v>1</v>
      </c>
      <c r="D322" s="4">
        <v>25000</v>
      </c>
      <c r="E322" s="4">
        <v>70000</v>
      </c>
      <c r="F322" s="4">
        <v>100000</v>
      </c>
    </row>
    <row r="323" spans="1:6" x14ac:dyDescent="0.35">
      <c r="A323">
        <v>5</v>
      </c>
      <c r="B323">
        <v>2</v>
      </c>
      <c r="D323" s="4">
        <v>5000</v>
      </c>
      <c r="E323" s="4">
        <v>10000</v>
      </c>
      <c r="F323" s="4">
        <v>15000</v>
      </c>
    </row>
    <row r="324" spans="1:6" x14ac:dyDescent="0.35">
      <c r="A324">
        <v>5</v>
      </c>
      <c r="B324">
        <v>3</v>
      </c>
      <c r="D324" s="4">
        <v>20000</v>
      </c>
      <c r="E324" s="4">
        <v>40000</v>
      </c>
      <c r="F324" s="4">
        <v>60000</v>
      </c>
    </row>
    <row r="325" spans="1:6" x14ac:dyDescent="0.35">
      <c r="A325">
        <v>5</v>
      </c>
      <c r="B325">
        <v>4</v>
      </c>
      <c r="D325" s="4">
        <v>10000</v>
      </c>
      <c r="E325" s="4">
        <v>20000</v>
      </c>
      <c r="F325" s="4">
        <v>50000</v>
      </c>
    </row>
    <row r="326" spans="1:6" x14ac:dyDescent="0.35">
      <c r="A326">
        <v>5</v>
      </c>
      <c r="B326">
        <v>5</v>
      </c>
      <c r="D326" s="4">
        <v>0.02</v>
      </c>
      <c r="E326" s="4">
        <v>0.03</v>
      </c>
      <c r="F326" s="4">
        <v>0.05</v>
      </c>
    </row>
    <row r="327" spans="1:6" x14ac:dyDescent="0.35">
      <c r="A327">
        <v>5</v>
      </c>
      <c r="B327">
        <v>6</v>
      </c>
      <c r="D327" s="4">
        <v>15</v>
      </c>
      <c r="E327" s="4">
        <v>20</v>
      </c>
      <c r="F327" s="4">
        <v>40</v>
      </c>
    </row>
    <row r="328" spans="1:6" x14ac:dyDescent="0.35">
      <c r="A328">
        <v>5</v>
      </c>
      <c r="B328">
        <v>7</v>
      </c>
      <c r="D328" s="4">
        <v>5</v>
      </c>
      <c r="E328" s="4">
        <v>15</v>
      </c>
      <c r="F328" s="4">
        <v>25</v>
      </c>
    </row>
    <row r="329" spans="1:6" x14ac:dyDescent="0.35">
      <c r="A329">
        <v>5</v>
      </c>
      <c r="B329">
        <v>8</v>
      </c>
      <c r="D329" s="4">
        <v>100</v>
      </c>
      <c r="E329" s="4">
        <v>300</v>
      </c>
      <c r="F329" s="4">
        <v>750</v>
      </c>
    </row>
    <row r="330" spans="1:6" x14ac:dyDescent="0.35">
      <c r="A330">
        <v>5</v>
      </c>
      <c r="B330">
        <v>9</v>
      </c>
      <c r="D330" s="4">
        <v>300</v>
      </c>
      <c r="E330" s="4">
        <v>359</v>
      </c>
      <c r="F330" s="4">
        <v>500</v>
      </c>
    </row>
    <row r="331" spans="1:6" x14ac:dyDescent="0.35">
      <c r="A331">
        <v>5</v>
      </c>
      <c r="B331">
        <v>10</v>
      </c>
      <c r="D331" s="4">
        <v>0.25</v>
      </c>
      <c r="E331" s="4">
        <v>0.3</v>
      </c>
      <c r="F331" s="4">
        <v>0.35</v>
      </c>
    </row>
    <row r="332" spans="1:6" x14ac:dyDescent="0.35">
      <c r="A332">
        <v>5</v>
      </c>
      <c r="B332">
        <v>11</v>
      </c>
      <c r="D332" s="4">
        <v>0.1</v>
      </c>
      <c r="E332" s="4">
        <v>0.25</v>
      </c>
      <c r="F332" s="4">
        <v>0.3</v>
      </c>
    </row>
    <row r="333" spans="1:6" x14ac:dyDescent="0.35">
      <c r="A333">
        <v>5</v>
      </c>
      <c r="B333">
        <v>12</v>
      </c>
      <c r="D333" s="4">
        <v>0.05</v>
      </c>
      <c r="E333" s="4">
        <v>7.0000000000000007E-2</v>
      </c>
      <c r="F333" s="4">
        <v>0.2</v>
      </c>
    </row>
    <row r="334" spans="1:6" x14ac:dyDescent="0.35">
      <c r="A334">
        <v>5</v>
      </c>
      <c r="B334">
        <v>13</v>
      </c>
      <c r="D334" s="4">
        <v>0.1</v>
      </c>
      <c r="E334" s="4">
        <v>0.3</v>
      </c>
      <c r="F334" s="4">
        <v>0.45</v>
      </c>
    </row>
    <row r="335" spans="1:6" x14ac:dyDescent="0.35">
      <c r="A335">
        <v>5</v>
      </c>
      <c r="B335">
        <v>14</v>
      </c>
      <c r="D335" s="4">
        <v>0.1</v>
      </c>
      <c r="E335" s="4">
        <v>0.17</v>
      </c>
      <c r="F335" s="4">
        <v>0.4</v>
      </c>
    </row>
    <row r="336" spans="1:6" x14ac:dyDescent="0.35">
      <c r="A336">
        <v>5</v>
      </c>
      <c r="B336">
        <v>15</v>
      </c>
      <c r="D336" s="4">
        <v>0.05</v>
      </c>
      <c r="E336" s="4">
        <v>0.12</v>
      </c>
      <c r="F336" s="4">
        <v>0.2</v>
      </c>
    </row>
    <row r="337" spans="1:6" x14ac:dyDescent="0.35">
      <c r="A337">
        <v>5</v>
      </c>
      <c r="B337">
        <v>16</v>
      </c>
      <c r="D337" s="4">
        <v>0.01</v>
      </c>
      <c r="E337" s="4">
        <v>0.05</v>
      </c>
      <c r="F337" s="4">
        <v>0.2</v>
      </c>
    </row>
    <row r="338" spans="1:6" x14ac:dyDescent="0.35">
      <c r="A338">
        <v>5</v>
      </c>
      <c r="B338">
        <v>17</v>
      </c>
      <c r="D338" s="4">
        <v>0.01</v>
      </c>
      <c r="E338" s="4">
        <v>0.02</v>
      </c>
      <c r="F338" s="4">
        <v>0.03</v>
      </c>
    </row>
    <row r="339" spans="1:6" x14ac:dyDescent="0.35">
      <c r="A339">
        <v>5</v>
      </c>
      <c r="B339">
        <v>18</v>
      </c>
      <c r="D339" s="4">
        <v>0.01</v>
      </c>
      <c r="E339" s="4">
        <v>0.02</v>
      </c>
      <c r="F339" s="4">
        <v>0.03</v>
      </c>
    </row>
    <row r="340" spans="1:6" x14ac:dyDescent="0.35">
      <c r="A340">
        <v>5</v>
      </c>
      <c r="B340">
        <v>19</v>
      </c>
      <c r="D340" s="4">
        <v>1E-8</v>
      </c>
      <c r="E340" s="4">
        <v>9.9999999999999995E-8</v>
      </c>
      <c r="F340" s="4">
        <v>9.9999999999999995E-7</v>
      </c>
    </row>
    <row r="341" spans="1:6" x14ac:dyDescent="0.35">
      <c r="A341">
        <v>5</v>
      </c>
      <c r="B341">
        <v>20</v>
      </c>
      <c r="D341" s="4">
        <v>0.05</v>
      </c>
      <c r="E341" s="4">
        <v>0.35</v>
      </c>
      <c r="F341" s="4">
        <v>0.5</v>
      </c>
    </row>
    <row r="342" spans="1:6" x14ac:dyDescent="0.35">
      <c r="A342">
        <v>5</v>
      </c>
      <c r="B342">
        <v>21</v>
      </c>
      <c r="D342" s="4">
        <v>0.05</v>
      </c>
      <c r="E342" s="4">
        <v>0.25</v>
      </c>
      <c r="F342" s="4">
        <v>0.3</v>
      </c>
    </row>
    <row r="343" spans="1:6" x14ac:dyDescent="0.35">
      <c r="A343">
        <v>5</v>
      </c>
      <c r="B343">
        <v>22</v>
      </c>
      <c r="D343" s="4">
        <v>0.03</v>
      </c>
      <c r="E343" s="4">
        <v>0.15</v>
      </c>
      <c r="F343" s="4">
        <v>0.2</v>
      </c>
    </row>
    <row r="344" spans="1:6" x14ac:dyDescent="0.35">
      <c r="A344">
        <v>5</v>
      </c>
      <c r="B344">
        <v>23</v>
      </c>
      <c r="D344" s="4">
        <v>0.02</v>
      </c>
      <c r="E344" s="4">
        <v>0.2</v>
      </c>
      <c r="F344" s="4">
        <v>0.25</v>
      </c>
    </row>
    <row r="345" spans="1:6" x14ac:dyDescent="0.35">
      <c r="A345">
        <v>5</v>
      </c>
      <c r="B345">
        <v>24</v>
      </c>
      <c r="D345" s="4">
        <v>0.01</v>
      </c>
      <c r="E345" s="4">
        <v>0.05</v>
      </c>
      <c r="F345" s="4">
        <v>0.15</v>
      </c>
    </row>
    <row r="346" spans="1:6" x14ac:dyDescent="0.35">
      <c r="A346">
        <v>5</v>
      </c>
      <c r="B346">
        <v>25</v>
      </c>
      <c r="D346" s="4">
        <v>1E-8</v>
      </c>
      <c r="E346" s="4">
        <v>9.9999999999999995E-8</v>
      </c>
      <c r="F346" s="4">
        <v>9.9999999999999995E-7</v>
      </c>
    </row>
    <row r="347" spans="1:6" x14ac:dyDescent="0.35">
      <c r="A347">
        <v>5</v>
      </c>
      <c r="B347">
        <v>26</v>
      </c>
      <c r="D347" s="4">
        <v>0.5</v>
      </c>
      <c r="E347" s="4">
        <v>0.6</v>
      </c>
      <c r="F347" s="4">
        <v>0.85</v>
      </c>
    </row>
    <row r="348" spans="1:6" x14ac:dyDescent="0.35">
      <c r="A348">
        <v>5</v>
      </c>
      <c r="B348">
        <v>27</v>
      </c>
      <c r="D348" s="4">
        <v>0.2</v>
      </c>
      <c r="E348" s="4">
        <v>0.3</v>
      </c>
      <c r="F348" s="4">
        <v>0.5</v>
      </c>
    </row>
    <row r="349" spans="1:6" x14ac:dyDescent="0.35">
      <c r="A349">
        <v>5</v>
      </c>
      <c r="B349">
        <v>28</v>
      </c>
      <c r="D349" s="4">
        <v>7.0000000000000007E-2</v>
      </c>
      <c r="E349" s="4">
        <v>0.4</v>
      </c>
      <c r="F349" s="4">
        <v>0.7</v>
      </c>
    </row>
    <row r="350" spans="1:6" x14ac:dyDescent="0.35">
      <c r="A350">
        <v>5</v>
      </c>
      <c r="B350">
        <v>29</v>
      </c>
      <c r="D350" s="4">
        <v>0.03</v>
      </c>
      <c r="E350" s="4">
        <v>0.3</v>
      </c>
      <c r="F350" s="4">
        <v>0.5</v>
      </c>
    </row>
    <row r="351" spans="1:6" x14ac:dyDescent="0.35">
      <c r="A351">
        <v>5</v>
      </c>
      <c r="B351">
        <v>30</v>
      </c>
      <c r="D351" s="4">
        <v>0.01</v>
      </c>
      <c r="E351" s="4">
        <v>0.1</v>
      </c>
      <c r="F351" s="4">
        <v>0.2</v>
      </c>
    </row>
    <row r="352" spans="1:6" x14ac:dyDescent="0.35">
      <c r="A352">
        <v>5</v>
      </c>
      <c r="B352">
        <v>31</v>
      </c>
      <c r="D352" s="4">
        <v>0.03</v>
      </c>
      <c r="E352" s="4">
        <v>0.15</v>
      </c>
      <c r="F352" s="4">
        <v>0.25</v>
      </c>
    </row>
    <row r="353" spans="1:6" x14ac:dyDescent="0.35">
      <c r="A353">
        <v>5</v>
      </c>
      <c r="B353">
        <v>32</v>
      </c>
      <c r="D353" s="4">
        <v>0.01</v>
      </c>
      <c r="E353" s="4">
        <v>0.05</v>
      </c>
      <c r="F353" s="4">
        <v>0.1</v>
      </c>
    </row>
    <row r="354" spans="1:6" x14ac:dyDescent="0.35">
      <c r="A354">
        <v>5</v>
      </c>
      <c r="B354">
        <v>33</v>
      </c>
      <c r="D354" s="4">
        <v>1E-8</v>
      </c>
      <c r="E354" s="4">
        <v>9.9999999999999995E-8</v>
      </c>
      <c r="F354" s="4">
        <v>9.9999999999999995E-7</v>
      </c>
    </row>
    <row r="355" spans="1:6" x14ac:dyDescent="0.35">
      <c r="A355">
        <v>5</v>
      </c>
      <c r="B355">
        <v>34</v>
      </c>
      <c r="D355" s="4">
        <v>0.2</v>
      </c>
      <c r="E355" s="4">
        <v>0.75</v>
      </c>
      <c r="F355" s="4">
        <v>0.9</v>
      </c>
    </row>
    <row r="356" spans="1:6" x14ac:dyDescent="0.35">
      <c r="A356">
        <v>5</v>
      </c>
      <c r="B356">
        <v>35</v>
      </c>
      <c r="D356" s="4">
        <v>0.1</v>
      </c>
      <c r="E356" s="4">
        <v>0.25</v>
      </c>
      <c r="F356" s="4">
        <v>0.5</v>
      </c>
    </row>
    <row r="357" spans="1:6" x14ac:dyDescent="0.35">
      <c r="A357">
        <v>5</v>
      </c>
      <c r="B357">
        <v>36</v>
      </c>
      <c r="D357" s="4">
        <v>0.1</v>
      </c>
      <c r="E357" s="4">
        <v>0.55000000000000004</v>
      </c>
      <c r="F357" s="4">
        <v>0.7</v>
      </c>
    </row>
    <row r="358" spans="1:6" x14ac:dyDescent="0.35">
      <c r="A358">
        <v>5</v>
      </c>
      <c r="B358">
        <v>37</v>
      </c>
      <c r="D358" s="4">
        <v>0.05</v>
      </c>
      <c r="E358" s="4">
        <v>0.35</v>
      </c>
      <c r="F358" s="4">
        <v>0.5</v>
      </c>
    </row>
    <row r="359" spans="1:6" x14ac:dyDescent="0.35">
      <c r="A359">
        <v>5</v>
      </c>
      <c r="B359">
        <v>38</v>
      </c>
      <c r="D359" s="4">
        <v>0.02</v>
      </c>
      <c r="E359" s="4">
        <v>0.1</v>
      </c>
      <c r="F359" s="4">
        <v>0.2</v>
      </c>
    </row>
    <row r="360" spans="1:6" x14ac:dyDescent="0.35">
      <c r="A360">
        <v>5</v>
      </c>
      <c r="B360">
        <v>39</v>
      </c>
      <c r="D360" s="4">
        <v>0.15</v>
      </c>
      <c r="E360" s="4">
        <v>0.65</v>
      </c>
      <c r="F360" s="4">
        <v>0.75</v>
      </c>
    </row>
    <row r="361" spans="1:6" x14ac:dyDescent="0.35">
      <c r="A361">
        <v>5</v>
      </c>
      <c r="B361">
        <v>40</v>
      </c>
      <c r="D361" s="4">
        <v>0.05</v>
      </c>
      <c r="E361" s="4">
        <v>0.35</v>
      </c>
      <c r="F361" s="4">
        <v>0.6</v>
      </c>
    </row>
    <row r="362" spans="1:6" x14ac:dyDescent="0.35">
      <c r="A362">
        <v>5</v>
      </c>
      <c r="B362">
        <v>41</v>
      </c>
      <c r="D362" s="4">
        <v>0.2</v>
      </c>
      <c r="E362" s="4">
        <v>0.5</v>
      </c>
      <c r="F362" s="4">
        <v>0.6</v>
      </c>
    </row>
    <row r="363" spans="1:6" x14ac:dyDescent="0.35">
      <c r="A363">
        <v>5</v>
      </c>
      <c r="B363">
        <v>42</v>
      </c>
      <c r="D363" s="4">
        <v>0.05</v>
      </c>
      <c r="E363" s="4">
        <v>0.1</v>
      </c>
      <c r="F363" s="4">
        <v>0.15</v>
      </c>
    </row>
    <row r="364" spans="1:6" x14ac:dyDescent="0.35">
      <c r="A364">
        <v>5</v>
      </c>
      <c r="B364">
        <v>43</v>
      </c>
      <c r="D364" s="4">
        <v>0.15</v>
      </c>
      <c r="E364" s="4">
        <v>0.3</v>
      </c>
      <c r="F364" s="4">
        <v>0.4</v>
      </c>
    </row>
    <row r="365" spans="1:6" x14ac:dyDescent="0.35">
      <c r="A365">
        <v>5</v>
      </c>
      <c r="B365">
        <v>44</v>
      </c>
      <c r="D365" s="4">
        <v>0.02</v>
      </c>
      <c r="E365" s="4">
        <v>0.1</v>
      </c>
      <c r="F365" s="4">
        <v>0.15</v>
      </c>
    </row>
    <row r="366" spans="1:6" x14ac:dyDescent="0.35">
      <c r="A366">
        <v>5</v>
      </c>
      <c r="B366">
        <v>45</v>
      </c>
      <c r="D366" s="4">
        <v>0.1</v>
      </c>
      <c r="E366" s="4">
        <v>0.7</v>
      </c>
      <c r="F366" s="4">
        <v>0.8</v>
      </c>
    </row>
    <row r="367" spans="1:6" x14ac:dyDescent="0.35">
      <c r="A367">
        <v>5</v>
      </c>
      <c r="B367">
        <v>46</v>
      </c>
      <c r="D367" s="4">
        <v>0.05</v>
      </c>
      <c r="E367" s="4">
        <v>0.3</v>
      </c>
      <c r="F367" s="4">
        <v>0.5</v>
      </c>
    </row>
    <row r="368" spans="1:6" x14ac:dyDescent="0.35">
      <c r="A368">
        <v>5</v>
      </c>
      <c r="B368">
        <v>47</v>
      </c>
      <c r="D368" s="4">
        <v>0.1</v>
      </c>
      <c r="E368" s="4">
        <v>0.6</v>
      </c>
      <c r="F368" s="4">
        <v>0.7</v>
      </c>
    </row>
    <row r="369" spans="1:6" x14ac:dyDescent="0.35">
      <c r="A369">
        <v>5</v>
      </c>
      <c r="B369">
        <v>48</v>
      </c>
      <c r="D369" s="4">
        <v>0.1</v>
      </c>
      <c r="E369" s="4">
        <v>0.25</v>
      </c>
      <c r="F369" s="4">
        <v>0.5</v>
      </c>
    </row>
    <row r="370" spans="1:6" x14ac:dyDescent="0.35">
      <c r="A370">
        <v>5</v>
      </c>
      <c r="B370">
        <v>49</v>
      </c>
      <c r="D370" s="4">
        <v>0.05</v>
      </c>
      <c r="E370" s="4">
        <v>0.1</v>
      </c>
      <c r="F370" s="4">
        <v>0.2</v>
      </c>
    </row>
    <row r="371" spans="1:6" x14ac:dyDescent="0.35">
      <c r="A371">
        <v>5</v>
      </c>
      <c r="B371">
        <v>50</v>
      </c>
      <c r="D371" s="4">
        <v>0.03</v>
      </c>
      <c r="E371" s="4">
        <v>0.05</v>
      </c>
      <c r="F371" s="4">
        <v>0.1</v>
      </c>
    </row>
    <row r="372" spans="1:6" x14ac:dyDescent="0.35">
      <c r="A372">
        <v>5</v>
      </c>
      <c r="B372">
        <v>51</v>
      </c>
      <c r="D372" s="4">
        <v>1E-8</v>
      </c>
      <c r="E372" s="4">
        <v>9.9999999999999995E-8</v>
      </c>
      <c r="F372" s="4">
        <v>9.9999999999999995E-7</v>
      </c>
    </row>
    <row r="373" spans="1:6" x14ac:dyDescent="0.35">
      <c r="A373">
        <v>5</v>
      </c>
      <c r="B373">
        <v>52</v>
      </c>
      <c r="D373" s="4">
        <v>0.05</v>
      </c>
      <c r="E373" s="4">
        <v>0.55000000000000004</v>
      </c>
      <c r="F373" s="4">
        <v>0.75</v>
      </c>
    </row>
    <row r="374" spans="1:6" x14ac:dyDescent="0.35">
      <c r="A374">
        <v>5</v>
      </c>
      <c r="B374">
        <v>53</v>
      </c>
      <c r="D374" s="4">
        <v>0.03</v>
      </c>
      <c r="E374" s="4">
        <v>0.35</v>
      </c>
      <c r="F374" s="4">
        <v>0.5</v>
      </c>
    </row>
    <row r="375" spans="1:6" x14ac:dyDescent="0.35">
      <c r="A375">
        <v>5</v>
      </c>
      <c r="B375">
        <v>54</v>
      </c>
      <c r="D375" s="4">
        <v>0.01</v>
      </c>
      <c r="E375" s="4">
        <v>0.1</v>
      </c>
      <c r="F375" s="4">
        <v>0.3</v>
      </c>
    </row>
    <row r="376" spans="1:6" x14ac:dyDescent="0.35">
      <c r="A376">
        <v>5</v>
      </c>
      <c r="B376">
        <v>55</v>
      </c>
      <c r="D376" s="4">
        <v>0.05</v>
      </c>
      <c r="E376" s="4">
        <v>0.6</v>
      </c>
      <c r="F376" s="4">
        <v>0.8</v>
      </c>
    </row>
    <row r="377" spans="1:6" x14ac:dyDescent="0.35">
      <c r="A377">
        <v>5</v>
      </c>
      <c r="B377">
        <v>56</v>
      </c>
      <c r="D377" s="4">
        <v>0.01</v>
      </c>
      <c r="E377" s="4">
        <v>0.4</v>
      </c>
      <c r="F377" s="4">
        <v>0.5</v>
      </c>
    </row>
    <row r="378" spans="1:6" x14ac:dyDescent="0.35">
      <c r="A378">
        <v>5</v>
      </c>
      <c r="B378">
        <v>57</v>
      </c>
      <c r="D378" s="4">
        <v>0.15</v>
      </c>
      <c r="E378" s="4">
        <v>0.5</v>
      </c>
      <c r="F378" s="4">
        <v>0.8</v>
      </c>
    </row>
    <row r="379" spans="1:6" x14ac:dyDescent="0.35">
      <c r="A379">
        <v>5</v>
      </c>
      <c r="B379">
        <v>58</v>
      </c>
      <c r="D379" s="4">
        <v>0.01</v>
      </c>
      <c r="E379" s="4">
        <v>0.1</v>
      </c>
      <c r="F379" s="4">
        <v>0.15</v>
      </c>
    </row>
    <row r="380" spans="1:6" x14ac:dyDescent="0.35">
      <c r="A380">
        <v>5</v>
      </c>
      <c r="B380">
        <v>59</v>
      </c>
      <c r="D380" s="4">
        <v>0.05</v>
      </c>
      <c r="E380" s="4">
        <v>0.35</v>
      </c>
      <c r="F380" s="4">
        <v>0.5</v>
      </c>
    </row>
    <row r="381" spans="1:6" x14ac:dyDescent="0.35">
      <c r="A381">
        <v>5</v>
      </c>
      <c r="B381">
        <v>60</v>
      </c>
      <c r="D381" s="4">
        <v>0.01</v>
      </c>
      <c r="E381" s="4">
        <v>0.05</v>
      </c>
      <c r="F381" s="4">
        <v>0.1</v>
      </c>
    </row>
    <row r="382" spans="1:6" x14ac:dyDescent="0.35">
      <c r="A382">
        <v>5</v>
      </c>
      <c r="B382">
        <v>61</v>
      </c>
      <c r="D382" s="4">
        <v>0.05</v>
      </c>
      <c r="E382" s="4">
        <v>0.8</v>
      </c>
      <c r="F382" s="4">
        <v>0.9</v>
      </c>
    </row>
    <row r="383" spans="1:6" x14ac:dyDescent="0.35">
      <c r="A383">
        <v>5</v>
      </c>
      <c r="B383">
        <v>62</v>
      </c>
      <c r="D383" s="4">
        <v>0.01</v>
      </c>
      <c r="E383" s="4">
        <v>0.2</v>
      </c>
      <c r="F383" s="4">
        <v>0.5</v>
      </c>
    </row>
    <row r="384" spans="1:6" x14ac:dyDescent="0.35">
      <c r="A384">
        <v>5</v>
      </c>
      <c r="B384">
        <v>63</v>
      </c>
      <c r="D384" s="4">
        <v>0.05</v>
      </c>
      <c r="E384" s="4">
        <v>0.6</v>
      </c>
      <c r="F384" s="4">
        <v>0.8</v>
      </c>
    </row>
    <row r="385" spans="1:6" x14ac:dyDescent="0.35">
      <c r="A385">
        <v>5</v>
      </c>
      <c r="B385">
        <v>64</v>
      </c>
      <c r="D385" s="4">
        <v>0.05</v>
      </c>
      <c r="E385" s="4">
        <v>0.25</v>
      </c>
      <c r="F385" s="4">
        <v>0.5</v>
      </c>
    </row>
    <row r="386" spans="1:6" x14ac:dyDescent="0.35">
      <c r="A386">
        <v>5</v>
      </c>
      <c r="B386">
        <v>65</v>
      </c>
      <c r="D386" s="4">
        <v>0.03</v>
      </c>
      <c r="E386" s="4">
        <v>0.1</v>
      </c>
      <c r="F386" s="4">
        <v>0.2</v>
      </c>
    </row>
    <row r="387" spans="1:6" x14ac:dyDescent="0.35">
      <c r="A387">
        <v>5</v>
      </c>
      <c r="B387">
        <v>66</v>
      </c>
      <c r="D387" s="4">
        <v>0.01</v>
      </c>
      <c r="E387" s="4">
        <v>0.05</v>
      </c>
      <c r="F387" s="4">
        <v>0.1</v>
      </c>
    </row>
    <row r="388" spans="1:6" x14ac:dyDescent="0.35">
      <c r="A388">
        <v>5</v>
      </c>
      <c r="B388">
        <v>67</v>
      </c>
      <c r="D388" s="4">
        <v>1E-8</v>
      </c>
      <c r="E388" s="4">
        <v>9.9999999999999995E-8</v>
      </c>
      <c r="F388" s="4">
        <v>9.9999999999999995E-7</v>
      </c>
    </row>
    <row r="389" spans="1:6" x14ac:dyDescent="0.35">
      <c r="A389">
        <v>5</v>
      </c>
      <c r="B389">
        <v>68</v>
      </c>
      <c r="D389" s="4">
        <v>0.15</v>
      </c>
      <c r="E389" s="4">
        <v>0.65</v>
      </c>
      <c r="F389" s="4">
        <v>0.8</v>
      </c>
    </row>
    <row r="390" spans="1:6" x14ac:dyDescent="0.35">
      <c r="A390">
        <v>5</v>
      </c>
      <c r="B390">
        <v>69</v>
      </c>
      <c r="D390" s="4">
        <v>0.05</v>
      </c>
      <c r="E390" s="4">
        <v>0.35</v>
      </c>
      <c r="F390" s="4">
        <v>0.6</v>
      </c>
    </row>
    <row r="391" spans="1:6" x14ac:dyDescent="0.35">
      <c r="A391">
        <v>5</v>
      </c>
      <c r="B391">
        <v>70</v>
      </c>
      <c r="D391" s="4">
        <v>0.3</v>
      </c>
      <c r="E391" s="4">
        <v>0.6</v>
      </c>
      <c r="F391" s="4">
        <v>0.85</v>
      </c>
    </row>
    <row r="392" spans="1:6" x14ac:dyDescent="0.35">
      <c r="A392">
        <v>5</v>
      </c>
      <c r="B392">
        <v>71</v>
      </c>
      <c r="D392" s="4">
        <v>0.03</v>
      </c>
      <c r="E392" s="4">
        <v>0.08</v>
      </c>
      <c r="F392" s="4">
        <v>0.15</v>
      </c>
    </row>
    <row r="393" spans="1:6" x14ac:dyDescent="0.35">
      <c r="A393">
        <v>5</v>
      </c>
      <c r="B393">
        <v>72</v>
      </c>
      <c r="D393" s="4">
        <v>0.1</v>
      </c>
      <c r="E393" s="4">
        <v>0.3</v>
      </c>
      <c r="F393" s="4">
        <v>0.6</v>
      </c>
    </row>
    <row r="394" spans="1:6" x14ac:dyDescent="0.35">
      <c r="A394">
        <v>5</v>
      </c>
      <c r="B394">
        <v>73</v>
      </c>
      <c r="D394" s="4">
        <v>0.01</v>
      </c>
      <c r="E394" s="4">
        <v>0.02</v>
      </c>
      <c r="F394" s="4">
        <v>0.05</v>
      </c>
    </row>
    <row r="395" spans="1:6" x14ac:dyDescent="0.35">
      <c r="A395">
        <v>5</v>
      </c>
      <c r="B395">
        <v>74</v>
      </c>
      <c r="D395" s="4">
        <v>0.15</v>
      </c>
      <c r="E395" s="4">
        <v>0.75</v>
      </c>
      <c r="F395" s="4">
        <v>0.9</v>
      </c>
    </row>
    <row r="396" spans="1:6" x14ac:dyDescent="0.35">
      <c r="A396">
        <v>5</v>
      </c>
      <c r="B396">
        <v>75</v>
      </c>
      <c r="D396" s="4">
        <v>0.02</v>
      </c>
      <c r="E396" s="4">
        <v>0.25</v>
      </c>
      <c r="F396" s="4">
        <v>0.5</v>
      </c>
    </row>
    <row r="397" spans="1:6" x14ac:dyDescent="0.35">
      <c r="A397">
        <v>5</v>
      </c>
      <c r="B397">
        <v>76</v>
      </c>
      <c r="D397" s="4">
        <v>0.2</v>
      </c>
      <c r="E397" s="4">
        <v>0.55000000000000004</v>
      </c>
      <c r="F397" s="4">
        <v>0.8</v>
      </c>
    </row>
    <row r="398" spans="1:6" x14ac:dyDescent="0.35">
      <c r="A398">
        <v>5</v>
      </c>
      <c r="B398">
        <v>77</v>
      </c>
      <c r="D398" s="4">
        <v>0.15</v>
      </c>
      <c r="E398" s="4">
        <v>0.25</v>
      </c>
      <c r="F398" s="4">
        <v>0.4</v>
      </c>
    </row>
    <row r="399" spans="1:6" x14ac:dyDescent="0.35">
      <c r="A399">
        <v>5</v>
      </c>
      <c r="B399">
        <v>78</v>
      </c>
      <c r="D399" s="4">
        <v>0.05</v>
      </c>
      <c r="E399" s="4">
        <v>0.15</v>
      </c>
      <c r="F399" s="4">
        <v>0.2</v>
      </c>
    </row>
    <row r="400" spans="1:6" x14ac:dyDescent="0.35">
      <c r="A400">
        <v>5</v>
      </c>
      <c r="B400">
        <v>79</v>
      </c>
      <c r="D400" s="4">
        <v>0.01</v>
      </c>
      <c r="E400" s="4">
        <v>0.05</v>
      </c>
      <c r="F400" s="4">
        <v>0.1</v>
      </c>
    </row>
    <row r="401" spans="1:6" x14ac:dyDescent="0.35">
      <c r="A401">
        <v>5</v>
      </c>
      <c r="B401">
        <v>80</v>
      </c>
      <c r="D401" s="4">
        <v>1E-8</v>
      </c>
      <c r="E401" s="4">
        <v>9.9999999999999995E-8</v>
      </c>
      <c r="F401" s="4">
        <v>9.9999999999999995E-7</v>
      </c>
    </row>
    <row r="402" spans="1:6" x14ac:dyDescent="0.35">
      <c r="A402">
        <v>6</v>
      </c>
      <c r="B402">
        <v>1</v>
      </c>
      <c r="D402" s="4">
        <v>2500</v>
      </c>
      <c r="E402" s="4">
        <v>4500</v>
      </c>
      <c r="F402" s="4">
        <v>6000</v>
      </c>
    </row>
    <row r="403" spans="1:6" x14ac:dyDescent="0.35">
      <c r="A403">
        <v>6</v>
      </c>
      <c r="B403">
        <v>2</v>
      </c>
      <c r="D403" s="4">
        <v>2400</v>
      </c>
      <c r="E403" s="4">
        <v>4000</v>
      </c>
      <c r="F403" s="4">
        <v>5800</v>
      </c>
    </row>
    <row r="404" spans="1:6" x14ac:dyDescent="0.35">
      <c r="A404">
        <v>6</v>
      </c>
      <c r="B404">
        <v>3</v>
      </c>
      <c r="D404" s="4">
        <v>450</v>
      </c>
      <c r="E404" s="4">
        <v>800</v>
      </c>
      <c r="F404" s="4">
        <v>2000</v>
      </c>
    </row>
    <row r="405" spans="1:6" x14ac:dyDescent="0.35">
      <c r="A405">
        <v>6</v>
      </c>
      <c r="B405">
        <v>4</v>
      </c>
      <c r="D405" s="4">
        <v>400</v>
      </c>
      <c r="E405" s="4">
        <v>1100</v>
      </c>
      <c r="F405" s="4">
        <v>1500</v>
      </c>
    </row>
    <row r="406" spans="1:6" x14ac:dyDescent="0.35">
      <c r="A406">
        <v>6</v>
      </c>
      <c r="B406">
        <v>5</v>
      </c>
      <c r="D406" s="4">
        <v>0.1</v>
      </c>
      <c r="E406" s="4">
        <v>0.15</v>
      </c>
      <c r="F406" s="4">
        <v>0.3</v>
      </c>
    </row>
    <row r="407" spans="1:6" x14ac:dyDescent="0.35">
      <c r="A407">
        <v>6</v>
      </c>
      <c r="B407">
        <v>6</v>
      </c>
      <c r="D407" s="4">
        <v>150</v>
      </c>
      <c r="E407" s="4">
        <v>250</v>
      </c>
      <c r="F407" s="4">
        <v>450</v>
      </c>
    </row>
    <row r="408" spans="1:6" x14ac:dyDescent="0.35">
      <c r="A408">
        <v>6</v>
      </c>
      <c r="B408">
        <v>7</v>
      </c>
      <c r="D408" s="4">
        <v>450</v>
      </c>
      <c r="E408" s="4">
        <v>750</v>
      </c>
      <c r="F408" s="4">
        <v>1200</v>
      </c>
    </row>
    <row r="409" spans="1:6" x14ac:dyDescent="0.35">
      <c r="A409">
        <v>6</v>
      </c>
      <c r="B409">
        <v>8</v>
      </c>
      <c r="D409" s="4">
        <v>80</v>
      </c>
      <c r="E409" s="4">
        <v>100</v>
      </c>
      <c r="F409" s="4">
        <v>120</v>
      </c>
    </row>
    <row r="410" spans="1:6" x14ac:dyDescent="0.35">
      <c r="A410">
        <v>6</v>
      </c>
      <c r="B410">
        <v>9</v>
      </c>
      <c r="D410" s="4">
        <v>800</v>
      </c>
      <c r="E410" s="4">
        <v>1300</v>
      </c>
      <c r="F410" s="4">
        <v>2000</v>
      </c>
    </row>
    <row r="411" spans="1:6" x14ac:dyDescent="0.35">
      <c r="A411">
        <v>6</v>
      </c>
      <c r="B411">
        <v>10</v>
      </c>
      <c r="D411" s="4">
        <v>0.05</v>
      </c>
      <c r="E411" s="4">
        <v>0.2</v>
      </c>
      <c r="F411" s="4">
        <v>0.3</v>
      </c>
    </row>
    <row r="412" spans="1:6" x14ac:dyDescent="0.35">
      <c r="A412">
        <v>6</v>
      </c>
      <c r="B412">
        <v>11</v>
      </c>
      <c r="D412" s="4">
        <v>0.04</v>
      </c>
      <c r="E412" s="4">
        <v>0.1</v>
      </c>
      <c r="F412" s="4">
        <v>0.15</v>
      </c>
    </row>
    <row r="413" spans="1:6" x14ac:dyDescent="0.35">
      <c r="A413">
        <v>6</v>
      </c>
      <c r="B413">
        <v>12</v>
      </c>
      <c r="D413" s="4">
        <v>0.02</v>
      </c>
      <c r="E413" s="4">
        <v>0.05</v>
      </c>
      <c r="F413" s="4">
        <v>0.08</v>
      </c>
    </row>
    <row r="414" spans="1:6" x14ac:dyDescent="0.35">
      <c r="A414">
        <v>6</v>
      </c>
      <c r="B414">
        <v>13</v>
      </c>
      <c r="D414" s="4">
        <v>0.03</v>
      </c>
      <c r="E414" s="4">
        <v>0.1</v>
      </c>
      <c r="F414" s="4">
        <v>0.15</v>
      </c>
    </row>
    <row r="415" spans="1:6" x14ac:dyDescent="0.35">
      <c r="A415">
        <v>6</v>
      </c>
      <c r="B415">
        <v>14</v>
      </c>
      <c r="D415" s="4">
        <v>5.0000000000000001E-3</v>
      </c>
      <c r="E415" s="4">
        <v>0.02</v>
      </c>
      <c r="F415" s="4">
        <v>0.04</v>
      </c>
    </row>
    <row r="416" spans="1:6" x14ac:dyDescent="0.35">
      <c r="A416">
        <v>6</v>
      </c>
      <c r="B416">
        <v>15</v>
      </c>
      <c r="D416" s="4">
        <v>0.05</v>
      </c>
      <c r="E416" s="4">
        <v>0.4</v>
      </c>
      <c r="F416" s="4">
        <v>0.5</v>
      </c>
    </row>
    <row r="417" spans="1:6" x14ac:dyDescent="0.35">
      <c r="A417">
        <v>6</v>
      </c>
      <c r="B417">
        <v>16</v>
      </c>
      <c r="D417" s="4">
        <v>0.1</v>
      </c>
      <c r="E417" s="4">
        <v>0.3</v>
      </c>
      <c r="F417" s="4">
        <v>0.4</v>
      </c>
    </row>
    <row r="418" spans="1:6" x14ac:dyDescent="0.35">
      <c r="A418">
        <v>6</v>
      </c>
      <c r="B418">
        <v>17</v>
      </c>
      <c r="D418" s="4">
        <v>5.0000000000000001E-3</v>
      </c>
      <c r="E418" s="4">
        <v>0.01</v>
      </c>
      <c r="F418" s="4">
        <v>0.03</v>
      </c>
    </row>
    <row r="419" spans="1:6" x14ac:dyDescent="0.35">
      <c r="A419">
        <v>6</v>
      </c>
      <c r="B419">
        <v>18</v>
      </c>
      <c r="D419" s="4">
        <v>5.0000000000000001E-3</v>
      </c>
      <c r="E419" s="4">
        <v>0.02</v>
      </c>
      <c r="F419" s="4">
        <v>0.04</v>
      </c>
    </row>
    <row r="420" spans="1:6" x14ac:dyDescent="0.35">
      <c r="A420">
        <v>6</v>
      </c>
      <c r="B420">
        <v>19</v>
      </c>
      <c r="D420" s="4">
        <v>1E-8</v>
      </c>
      <c r="E420" s="4">
        <v>9.9999999999999995E-8</v>
      </c>
      <c r="F420" s="4">
        <v>9.9999999999999995E-7</v>
      </c>
    </row>
    <row r="421" spans="1:6" x14ac:dyDescent="0.35">
      <c r="A421">
        <v>6</v>
      </c>
      <c r="B421">
        <v>20</v>
      </c>
      <c r="D421" s="4">
        <v>0.05</v>
      </c>
      <c r="E421" s="4">
        <v>0.3</v>
      </c>
      <c r="F421" s="4">
        <v>0.5</v>
      </c>
    </row>
    <row r="422" spans="1:6" x14ac:dyDescent="0.35">
      <c r="A422">
        <v>6</v>
      </c>
      <c r="B422">
        <v>21</v>
      </c>
      <c r="D422" s="4">
        <v>0.3</v>
      </c>
      <c r="E422" s="4">
        <v>0.4</v>
      </c>
      <c r="F422" s="4">
        <v>0.5</v>
      </c>
    </row>
    <row r="423" spans="1:6" x14ac:dyDescent="0.35">
      <c r="A423">
        <v>6</v>
      </c>
      <c r="B423">
        <v>22</v>
      </c>
      <c r="D423" s="4">
        <v>0.05</v>
      </c>
      <c r="E423" s="4">
        <v>0.2</v>
      </c>
      <c r="F423" s="4">
        <v>0.4</v>
      </c>
    </row>
    <row r="424" spans="1:6" x14ac:dyDescent="0.35">
      <c r="A424">
        <v>6</v>
      </c>
      <c r="B424">
        <v>23</v>
      </c>
      <c r="D424" s="4">
        <v>0.01</v>
      </c>
      <c r="E424" s="4">
        <v>0.05</v>
      </c>
      <c r="F424" s="4">
        <v>0.1</v>
      </c>
    </row>
    <row r="425" spans="1:6" x14ac:dyDescent="0.35">
      <c r="A425">
        <v>6</v>
      </c>
      <c r="B425">
        <v>24</v>
      </c>
      <c r="D425" s="4">
        <v>5.0000000000000001E-3</v>
      </c>
      <c r="E425" s="4">
        <v>0.05</v>
      </c>
      <c r="F425" s="4">
        <v>0.1</v>
      </c>
    </row>
    <row r="426" spans="1:6" x14ac:dyDescent="0.35">
      <c r="A426">
        <v>6</v>
      </c>
      <c r="B426">
        <v>25</v>
      </c>
      <c r="D426" s="4">
        <v>1E-8</v>
      </c>
      <c r="E426" s="4">
        <v>9.9999999999999995E-8</v>
      </c>
      <c r="F426" s="4">
        <v>9.9999999999999995E-7</v>
      </c>
    </row>
    <row r="427" spans="1:6" x14ac:dyDescent="0.35">
      <c r="A427">
        <v>6</v>
      </c>
      <c r="B427">
        <v>26</v>
      </c>
      <c r="D427" s="4">
        <v>0.2</v>
      </c>
      <c r="E427" s="4">
        <v>0.8</v>
      </c>
      <c r="F427" s="4">
        <v>1</v>
      </c>
    </row>
    <row r="428" spans="1:6" x14ac:dyDescent="0.35">
      <c r="A428">
        <v>6</v>
      </c>
      <c r="B428">
        <v>27</v>
      </c>
      <c r="D428" s="4">
        <v>0.01</v>
      </c>
      <c r="E428" s="4">
        <v>0.2</v>
      </c>
      <c r="F428" s="4">
        <v>0.3</v>
      </c>
    </row>
    <row r="429" spans="1:6" x14ac:dyDescent="0.35">
      <c r="A429">
        <v>6</v>
      </c>
      <c r="B429">
        <v>28</v>
      </c>
      <c r="D429" s="4">
        <v>0.05</v>
      </c>
      <c r="E429" s="4">
        <v>0.3</v>
      </c>
      <c r="F429" s="4">
        <v>0.5</v>
      </c>
    </row>
    <row r="430" spans="1:6" x14ac:dyDescent="0.35">
      <c r="A430">
        <v>6</v>
      </c>
      <c r="B430">
        <v>29</v>
      </c>
      <c r="D430" s="4">
        <v>0.3</v>
      </c>
      <c r="E430" s="4">
        <v>0.4</v>
      </c>
      <c r="F430" s="4">
        <v>0.5</v>
      </c>
    </row>
    <row r="431" spans="1:6" x14ac:dyDescent="0.35">
      <c r="A431">
        <v>6</v>
      </c>
      <c r="B431">
        <v>30</v>
      </c>
      <c r="D431" s="4">
        <v>0.05</v>
      </c>
      <c r="E431" s="4">
        <v>0.2</v>
      </c>
      <c r="F431" s="4">
        <v>0.4</v>
      </c>
    </row>
    <row r="432" spans="1:6" x14ac:dyDescent="0.35">
      <c r="A432">
        <v>6</v>
      </c>
      <c r="B432">
        <v>31</v>
      </c>
      <c r="D432" s="4">
        <v>0.01</v>
      </c>
      <c r="E432" s="4">
        <v>0.05</v>
      </c>
      <c r="F432" s="4">
        <v>0.1</v>
      </c>
    </row>
    <row r="433" spans="1:6" x14ac:dyDescent="0.35">
      <c r="A433">
        <v>6</v>
      </c>
      <c r="B433">
        <v>32</v>
      </c>
      <c r="D433" s="4">
        <v>5.0000000000000001E-3</v>
      </c>
      <c r="E433" s="4">
        <v>0.05</v>
      </c>
      <c r="F433" s="4">
        <v>0.1</v>
      </c>
    </row>
    <row r="434" spans="1:6" x14ac:dyDescent="0.35">
      <c r="A434">
        <v>6</v>
      </c>
      <c r="B434">
        <v>33</v>
      </c>
      <c r="D434" s="4">
        <v>1E-8</v>
      </c>
      <c r="E434" s="4">
        <v>9.9999999999999995E-8</v>
      </c>
      <c r="F434" s="4">
        <v>9.9999999999999995E-7</v>
      </c>
    </row>
    <row r="435" spans="1:6" x14ac:dyDescent="0.35">
      <c r="A435">
        <v>6</v>
      </c>
      <c r="B435">
        <v>34</v>
      </c>
      <c r="D435" s="4">
        <v>0.2</v>
      </c>
      <c r="E435" s="4">
        <v>0.8</v>
      </c>
      <c r="F435" s="4">
        <v>1</v>
      </c>
    </row>
    <row r="436" spans="1:6" x14ac:dyDescent="0.35">
      <c r="A436">
        <v>6</v>
      </c>
      <c r="B436">
        <v>35</v>
      </c>
      <c r="D436" s="4">
        <v>0.01</v>
      </c>
      <c r="E436" s="4">
        <v>0.2</v>
      </c>
      <c r="F436" s="4">
        <v>0.3</v>
      </c>
    </row>
    <row r="437" spans="1:6" x14ac:dyDescent="0.35">
      <c r="A437">
        <v>6</v>
      </c>
      <c r="B437">
        <v>36</v>
      </c>
      <c r="D437" s="4">
        <v>0.1</v>
      </c>
      <c r="E437" s="4">
        <v>0.6</v>
      </c>
      <c r="F437" s="4">
        <v>0.8</v>
      </c>
    </row>
    <row r="438" spans="1:6" x14ac:dyDescent="0.35">
      <c r="A438">
        <v>6</v>
      </c>
      <c r="B438">
        <v>37</v>
      </c>
      <c r="D438" s="4">
        <v>0.01</v>
      </c>
      <c r="E438" s="4">
        <v>0.1</v>
      </c>
      <c r="F438" s="4">
        <v>0.2</v>
      </c>
    </row>
    <row r="439" spans="1:6" x14ac:dyDescent="0.35">
      <c r="A439">
        <v>6</v>
      </c>
      <c r="B439">
        <v>38</v>
      </c>
      <c r="D439" s="4">
        <v>0.05</v>
      </c>
      <c r="E439" s="4">
        <v>0.3</v>
      </c>
      <c r="F439" s="4">
        <v>0.5</v>
      </c>
    </row>
    <row r="440" spans="1:6" x14ac:dyDescent="0.35">
      <c r="A440">
        <v>6</v>
      </c>
      <c r="B440">
        <v>39</v>
      </c>
      <c r="D440" s="4">
        <v>0.01</v>
      </c>
      <c r="E440" s="4">
        <v>0.4</v>
      </c>
      <c r="F440" s="4">
        <v>0.9</v>
      </c>
    </row>
    <row r="441" spans="1:6" x14ac:dyDescent="0.35">
      <c r="A441">
        <v>6</v>
      </c>
      <c r="B441">
        <v>40</v>
      </c>
      <c r="D441" s="4">
        <v>0.01</v>
      </c>
      <c r="E441" s="4">
        <v>0.6</v>
      </c>
      <c r="F441" s="4">
        <v>0.9</v>
      </c>
    </row>
    <row r="442" spans="1:6" x14ac:dyDescent="0.35">
      <c r="A442">
        <v>6</v>
      </c>
      <c r="B442">
        <v>41</v>
      </c>
      <c r="D442" s="4">
        <v>0.05</v>
      </c>
      <c r="E442" s="4">
        <v>0.5</v>
      </c>
      <c r="F442" s="4">
        <v>0.8</v>
      </c>
    </row>
    <row r="443" spans="1:6" x14ac:dyDescent="0.35">
      <c r="A443">
        <v>6</v>
      </c>
      <c r="B443">
        <v>42</v>
      </c>
      <c r="D443" s="4">
        <v>0.01</v>
      </c>
      <c r="E443" s="4">
        <v>0.15</v>
      </c>
      <c r="F443" s="4">
        <v>0.4</v>
      </c>
    </row>
    <row r="444" spans="1:6" x14ac:dyDescent="0.35">
      <c r="A444">
        <v>6</v>
      </c>
      <c r="B444">
        <v>43</v>
      </c>
      <c r="D444" s="4">
        <v>0.05</v>
      </c>
      <c r="E444" s="4">
        <v>0.3</v>
      </c>
      <c r="F444" s="4">
        <v>0.6</v>
      </c>
    </row>
    <row r="445" spans="1:6" x14ac:dyDescent="0.35">
      <c r="A445">
        <v>6</v>
      </c>
      <c r="B445">
        <v>44</v>
      </c>
      <c r="D445" s="4">
        <v>0.01</v>
      </c>
      <c r="E445" s="4">
        <v>0.05</v>
      </c>
      <c r="F445" s="4">
        <v>0.2</v>
      </c>
    </row>
    <row r="446" spans="1:6" x14ac:dyDescent="0.35">
      <c r="A446">
        <v>6</v>
      </c>
      <c r="B446">
        <v>45</v>
      </c>
      <c r="D446" s="4">
        <v>0.2</v>
      </c>
      <c r="E446" s="4">
        <v>0.8</v>
      </c>
      <c r="F446" s="4">
        <v>1</v>
      </c>
    </row>
    <row r="447" spans="1:6" x14ac:dyDescent="0.35">
      <c r="A447">
        <v>6</v>
      </c>
      <c r="B447">
        <v>46</v>
      </c>
      <c r="D447" s="4">
        <v>0.05</v>
      </c>
      <c r="E447" s="4">
        <v>0.2</v>
      </c>
      <c r="F447" s="4">
        <v>0.3</v>
      </c>
    </row>
    <row r="448" spans="1:6" x14ac:dyDescent="0.35">
      <c r="A448">
        <v>6</v>
      </c>
      <c r="B448">
        <v>47</v>
      </c>
      <c r="D448" s="4">
        <v>0.3</v>
      </c>
      <c r="E448" s="4">
        <v>0.6</v>
      </c>
      <c r="F448" s="4">
        <v>0.9</v>
      </c>
    </row>
    <row r="449" spans="1:6" x14ac:dyDescent="0.35">
      <c r="A449">
        <v>6</v>
      </c>
      <c r="B449">
        <v>48</v>
      </c>
      <c r="D449" s="4">
        <v>0.05</v>
      </c>
      <c r="E449" s="4">
        <v>0.2</v>
      </c>
      <c r="F449" s="4">
        <v>0.4</v>
      </c>
    </row>
    <row r="450" spans="1:6" x14ac:dyDescent="0.35">
      <c r="A450">
        <v>6</v>
      </c>
      <c r="B450">
        <v>49</v>
      </c>
      <c r="D450" s="4">
        <v>0.01</v>
      </c>
      <c r="E450" s="4">
        <v>0.1</v>
      </c>
      <c r="F450" s="4">
        <v>0.25</v>
      </c>
    </row>
    <row r="451" spans="1:6" x14ac:dyDescent="0.35">
      <c r="A451">
        <v>6</v>
      </c>
      <c r="B451">
        <v>50</v>
      </c>
      <c r="D451" s="4">
        <v>0.01</v>
      </c>
      <c r="E451" s="4">
        <v>0.05</v>
      </c>
      <c r="F451" s="4">
        <v>0.15</v>
      </c>
    </row>
    <row r="452" spans="1:6" x14ac:dyDescent="0.35">
      <c r="A452">
        <v>6</v>
      </c>
      <c r="B452">
        <v>51</v>
      </c>
      <c r="D452" s="4">
        <v>1E-8</v>
      </c>
      <c r="E452" s="4">
        <v>9.9999999999999995E-8</v>
      </c>
      <c r="F452" s="4">
        <v>9.9999999999999995E-7</v>
      </c>
    </row>
    <row r="453" spans="1:6" x14ac:dyDescent="0.35">
      <c r="A453">
        <v>6</v>
      </c>
      <c r="B453">
        <v>52</v>
      </c>
      <c r="D453" s="4">
        <v>0.1</v>
      </c>
      <c r="E453" s="4">
        <v>0.6</v>
      </c>
      <c r="F453" s="4">
        <v>0.8</v>
      </c>
    </row>
    <row r="454" spans="1:6" x14ac:dyDescent="0.35">
      <c r="A454">
        <v>6</v>
      </c>
      <c r="B454">
        <v>53</v>
      </c>
      <c r="D454" s="4">
        <v>0.01</v>
      </c>
      <c r="E454" s="4">
        <v>0.1</v>
      </c>
      <c r="F454" s="4">
        <v>0.2</v>
      </c>
    </row>
    <row r="455" spans="1:6" x14ac:dyDescent="0.35">
      <c r="A455">
        <v>6</v>
      </c>
      <c r="B455">
        <v>54</v>
      </c>
      <c r="D455" s="4">
        <v>0.05</v>
      </c>
      <c r="E455" s="4">
        <v>0.3</v>
      </c>
      <c r="F455" s="4">
        <v>0.5</v>
      </c>
    </row>
    <row r="456" spans="1:6" x14ac:dyDescent="0.35">
      <c r="A456">
        <v>6</v>
      </c>
      <c r="B456">
        <v>55</v>
      </c>
      <c r="D456" s="4">
        <v>0.01</v>
      </c>
      <c r="E456" s="4">
        <v>0.4</v>
      </c>
      <c r="F456" s="4">
        <v>0.9</v>
      </c>
    </row>
    <row r="457" spans="1:6" x14ac:dyDescent="0.35">
      <c r="A457">
        <v>6</v>
      </c>
      <c r="B457">
        <v>56</v>
      </c>
      <c r="D457" s="4">
        <v>0.01</v>
      </c>
      <c r="E457" s="4">
        <v>0.6</v>
      </c>
      <c r="F457" s="4">
        <v>0.9</v>
      </c>
    </row>
    <row r="458" spans="1:6" x14ac:dyDescent="0.35">
      <c r="A458">
        <v>6</v>
      </c>
      <c r="B458">
        <v>57</v>
      </c>
      <c r="D458" s="4">
        <v>0.05</v>
      </c>
      <c r="E458" s="4">
        <v>0.5</v>
      </c>
      <c r="F458" s="4">
        <v>0.8</v>
      </c>
    </row>
    <row r="459" spans="1:6" x14ac:dyDescent="0.35">
      <c r="A459">
        <v>6</v>
      </c>
      <c r="B459">
        <v>58</v>
      </c>
      <c r="D459" s="4">
        <v>0.01</v>
      </c>
      <c r="E459" s="4">
        <v>0.15</v>
      </c>
      <c r="F459" s="4">
        <v>0.4</v>
      </c>
    </row>
    <row r="460" spans="1:6" x14ac:dyDescent="0.35">
      <c r="A460">
        <v>6</v>
      </c>
      <c r="B460">
        <v>59</v>
      </c>
      <c r="D460" s="4">
        <v>0.05</v>
      </c>
      <c r="E460" s="4">
        <v>0.3</v>
      </c>
      <c r="F460" s="4">
        <v>0.6</v>
      </c>
    </row>
    <row r="461" spans="1:6" x14ac:dyDescent="0.35">
      <c r="A461">
        <v>6</v>
      </c>
      <c r="B461">
        <v>60</v>
      </c>
      <c r="D461" s="4">
        <v>0.01</v>
      </c>
      <c r="E461" s="4">
        <v>0.05</v>
      </c>
      <c r="F461" s="4">
        <v>0.2</v>
      </c>
    </row>
    <row r="462" spans="1:6" x14ac:dyDescent="0.35">
      <c r="A462">
        <v>6</v>
      </c>
      <c r="B462">
        <v>61</v>
      </c>
      <c r="D462" s="4">
        <v>0.2</v>
      </c>
      <c r="E462" s="4">
        <v>0.8</v>
      </c>
      <c r="F462" s="4">
        <v>1</v>
      </c>
    </row>
    <row r="463" spans="1:6" x14ac:dyDescent="0.35">
      <c r="A463">
        <v>6</v>
      </c>
      <c r="B463">
        <v>62</v>
      </c>
      <c r="D463" s="4">
        <v>0.05</v>
      </c>
      <c r="E463" s="4">
        <v>0.2</v>
      </c>
      <c r="F463" s="4">
        <v>0.3</v>
      </c>
    </row>
    <row r="464" spans="1:6" x14ac:dyDescent="0.35">
      <c r="A464">
        <v>6</v>
      </c>
      <c r="B464">
        <v>63</v>
      </c>
      <c r="D464" s="4">
        <v>0.3</v>
      </c>
      <c r="E464" s="4">
        <v>0.6</v>
      </c>
      <c r="F464" s="4">
        <v>0.9</v>
      </c>
    </row>
    <row r="465" spans="1:6" x14ac:dyDescent="0.35">
      <c r="A465">
        <v>6</v>
      </c>
      <c r="B465">
        <v>64</v>
      </c>
      <c r="D465" s="4">
        <v>0.05</v>
      </c>
      <c r="E465" s="4">
        <v>0.2</v>
      </c>
      <c r="F465" s="4">
        <v>0.4</v>
      </c>
    </row>
    <row r="466" spans="1:6" x14ac:dyDescent="0.35">
      <c r="A466">
        <v>6</v>
      </c>
      <c r="B466">
        <v>65</v>
      </c>
      <c r="D466" s="4">
        <v>0.01</v>
      </c>
      <c r="E466" s="4">
        <v>0.1</v>
      </c>
      <c r="F466" s="4">
        <v>0.25</v>
      </c>
    </row>
    <row r="467" spans="1:6" x14ac:dyDescent="0.35">
      <c r="A467">
        <v>6</v>
      </c>
      <c r="B467">
        <v>66</v>
      </c>
      <c r="D467" s="4">
        <v>0.01</v>
      </c>
      <c r="E467" s="4">
        <v>0.05</v>
      </c>
      <c r="F467" s="4">
        <v>0.15</v>
      </c>
    </row>
    <row r="468" spans="1:6" x14ac:dyDescent="0.35">
      <c r="A468">
        <v>6</v>
      </c>
      <c r="B468">
        <v>67</v>
      </c>
      <c r="D468" s="4">
        <v>1E-8</v>
      </c>
      <c r="E468" s="4">
        <v>9.9999999999999995E-8</v>
      </c>
      <c r="F468" s="4">
        <v>9.9999999999999995E-7</v>
      </c>
    </row>
    <row r="469" spans="1:6" x14ac:dyDescent="0.35">
      <c r="A469">
        <v>6</v>
      </c>
      <c r="B469">
        <v>68</v>
      </c>
      <c r="D469" s="4">
        <v>0.01</v>
      </c>
      <c r="E469" s="4">
        <v>0.4</v>
      </c>
      <c r="F469" s="4">
        <v>0.9</v>
      </c>
    </row>
    <row r="470" spans="1:6" x14ac:dyDescent="0.35">
      <c r="A470">
        <v>6</v>
      </c>
      <c r="B470">
        <v>69</v>
      </c>
      <c r="D470" s="4">
        <v>0.01</v>
      </c>
      <c r="E470" s="4">
        <v>0.6</v>
      </c>
      <c r="F470" s="4">
        <v>0.9</v>
      </c>
    </row>
    <row r="471" spans="1:6" x14ac:dyDescent="0.35">
      <c r="A471">
        <v>6</v>
      </c>
      <c r="B471">
        <v>70</v>
      </c>
      <c r="D471" s="4">
        <v>0.05</v>
      </c>
      <c r="E471" s="4">
        <v>0.5</v>
      </c>
      <c r="F471" s="4">
        <v>0.8</v>
      </c>
    </row>
    <row r="472" spans="1:6" x14ac:dyDescent="0.35">
      <c r="A472">
        <v>6</v>
      </c>
      <c r="B472">
        <v>71</v>
      </c>
      <c r="D472" s="4">
        <v>0.01</v>
      </c>
      <c r="E472" s="4">
        <v>0.15</v>
      </c>
      <c r="F472" s="4">
        <v>0.4</v>
      </c>
    </row>
    <row r="473" spans="1:6" x14ac:dyDescent="0.35">
      <c r="A473">
        <v>6</v>
      </c>
      <c r="B473">
        <v>72</v>
      </c>
      <c r="D473" s="4">
        <v>0.05</v>
      </c>
      <c r="E473" s="4">
        <v>0.3</v>
      </c>
      <c r="F473" s="4">
        <v>0.6</v>
      </c>
    </row>
    <row r="474" spans="1:6" x14ac:dyDescent="0.35">
      <c r="A474">
        <v>6</v>
      </c>
      <c r="B474">
        <v>73</v>
      </c>
      <c r="D474" s="4">
        <v>0.01</v>
      </c>
      <c r="E474" s="4">
        <v>0.05</v>
      </c>
      <c r="F474" s="4">
        <v>0.2</v>
      </c>
    </row>
    <row r="475" spans="1:6" x14ac:dyDescent="0.35">
      <c r="A475">
        <v>6</v>
      </c>
      <c r="B475">
        <v>74</v>
      </c>
      <c r="D475" s="4">
        <v>0.2</v>
      </c>
      <c r="E475" s="4">
        <v>0.8</v>
      </c>
      <c r="F475" s="4">
        <v>1</v>
      </c>
    </row>
    <row r="476" spans="1:6" x14ac:dyDescent="0.35">
      <c r="A476">
        <v>6</v>
      </c>
      <c r="B476">
        <v>75</v>
      </c>
      <c r="D476" s="4">
        <v>0.05</v>
      </c>
      <c r="E476" s="4">
        <v>0.2</v>
      </c>
      <c r="F476" s="4">
        <v>0.3</v>
      </c>
    </row>
    <row r="477" spans="1:6" x14ac:dyDescent="0.35">
      <c r="A477">
        <v>6</v>
      </c>
      <c r="B477">
        <v>76</v>
      </c>
      <c r="D477" s="4">
        <v>0.3</v>
      </c>
      <c r="E477" s="4">
        <v>0.6</v>
      </c>
      <c r="F477" s="4">
        <v>0.9</v>
      </c>
    </row>
    <row r="478" spans="1:6" x14ac:dyDescent="0.35">
      <c r="A478">
        <v>6</v>
      </c>
      <c r="B478">
        <v>77</v>
      </c>
      <c r="D478" s="4">
        <v>0.05</v>
      </c>
      <c r="E478" s="4">
        <v>0.2</v>
      </c>
      <c r="F478" s="4">
        <v>0.4</v>
      </c>
    </row>
    <row r="479" spans="1:6" x14ac:dyDescent="0.35">
      <c r="A479">
        <v>6</v>
      </c>
      <c r="B479">
        <v>78</v>
      </c>
      <c r="D479" s="4">
        <v>0.01</v>
      </c>
      <c r="E479" s="4">
        <v>0.1</v>
      </c>
      <c r="F479" s="4">
        <v>0.25</v>
      </c>
    </row>
    <row r="480" spans="1:6" x14ac:dyDescent="0.35">
      <c r="A480">
        <v>6</v>
      </c>
      <c r="B480">
        <v>79</v>
      </c>
      <c r="D480" s="4">
        <v>0.01</v>
      </c>
      <c r="E480" s="4">
        <v>0.05</v>
      </c>
      <c r="F480" s="4">
        <v>0.15</v>
      </c>
    </row>
    <row r="481" spans="1:6" x14ac:dyDescent="0.35">
      <c r="A481">
        <v>6</v>
      </c>
      <c r="B481">
        <v>80</v>
      </c>
      <c r="D481" s="4">
        <v>1E-8</v>
      </c>
      <c r="E481" s="4">
        <v>9.9999999999999995E-8</v>
      </c>
      <c r="F481" s="4">
        <v>9.9999999999999995E-7</v>
      </c>
    </row>
    <row r="482" spans="1:6" x14ac:dyDescent="0.35">
      <c r="A482">
        <v>7</v>
      </c>
      <c r="B482">
        <v>1</v>
      </c>
      <c r="D482" s="4">
        <v>7000</v>
      </c>
      <c r="E482" s="4">
        <v>11000</v>
      </c>
      <c r="F482" s="4">
        <v>15000</v>
      </c>
    </row>
    <row r="483" spans="1:6" x14ac:dyDescent="0.35">
      <c r="A483">
        <v>7</v>
      </c>
      <c r="B483">
        <v>2</v>
      </c>
      <c r="D483" s="4">
        <v>5000</v>
      </c>
      <c r="E483" s="4">
        <v>7000</v>
      </c>
      <c r="F483" s="4">
        <v>11000</v>
      </c>
    </row>
    <row r="484" spans="1:6" x14ac:dyDescent="0.35">
      <c r="A484">
        <v>7</v>
      </c>
      <c r="B484">
        <v>3</v>
      </c>
      <c r="D484" s="4">
        <v>1000</v>
      </c>
      <c r="E484" s="4">
        <v>2500</v>
      </c>
      <c r="F484" s="4">
        <v>5000</v>
      </c>
    </row>
    <row r="485" spans="1:6" x14ac:dyDescent="0.35">
      <c r="A485">
        <v>7</v>
      </c>
      <c r="B485">
        <v>4</v>
      </c>
      <c r="D485" s="4">
        <v>100</v>
      </c>
      <c r="E485" s="4">
        <v>500</v>
      </c>
      <c r="F485" s="4">
        <v>1000</v>
      </c>
    </row>
    <row r="486" spans="1:6" x14ac:dyDescent="0.35">
      <c r="A486">
        <v>7</v>
      </c>
      <c r="B486">
        <v>5</v>
      </c>
      <c r="D486" s="4">
        <v>0.01</v>
      </c>
      <c r="E486" s="4">
        <v>0.02</v>
      </c>
      <c r="F486" s="4">
        <v>0.05</v>
      </c>
    </row>
    <row r="487" spans="1:6" x14ac:dyDescent="0.35">
      <c r="A487">
        <v>7</v>
      </c>
      <c r="B487">
        <v>6</v>
      </c>
      <c r="D487" s="4">
        <v>100</v>
      </c>
      <c r="E487" s="4">
        <v>150</v>
      </c>
      <c r="F487" s="4">
        <v>200</v>
      </c>
    </row>
    <row r="488" spans="1:6" x14ac:dyDescent="0.35">
      <c r="A488">
        <v>7</v>
      </c>
      <c r="B488">
        <v>7</v>
      </c>
      <c r="D488" s="4">
        <v>1000</v>
      </c>
      <c r="E488" s="4">
        <v>1500</v>
      </c>
      <c r="F488" s="4">
        <v>2000</v>
      </c>
    </row>
    <row r="489" spans="1:6" x14ac:dyDescent="0.35">
      <c r="A489">
        <v>7</v>
      </c>
      <c r="B489">
        <v>8</v>
      </c>
      <c r="D489" s="4">
        <v>20</v>
      </c>
      <c r="E489" s="4">
        <v>50</v>
      </c>
      <c r="F489" s="4">
        <v>100</v>
      </c>
    </row>
    <row r="490" spans="1:6" x14ac:dyDescent="0.35">
      <c r="A490">
        <v>7</v>
      </c>
      <c r="B490">
        <v>9</v>
      </c>
      <c r="D490" s="4">
        <v>1000</v>
      </c>
      <c r="E490" s="4">
        <v>1500</v>
      </c>
      <c r="F490" s="4">
        <v>2000</v>
      </c>
    </row>
    <row r="491" spans="1:6" x14ac:dyDescent="0.35">
      <c r="A491">
        <v>7</v>
      </c>
      <c r="B491">
        <v>10</v>
      </c>
      <c r="D491" s="4">
        <v>0.05</v>
      </c>
      <c r="E491" s="4">
        <v>0.1</v>
      </c>
      <c r="F491" s="4">
        <v>0.2</v>
      </c>
    </row>
    <row r="492" spans="1:6" x14ac:dyDescent="0.35">
      <c r="A492">
        <v>7</v>
      </c>
      <c r="B492">
        <v>11</v>
      </c>
      <c r="D492" s="4">
        <v>0.1</v>
      </c>
      <c r="E492" s="4">
        <v>0.2</v>
      </c>
      <c r="F492" s="4">
        <v>0.3</v>
      </c>
    </row>
    <row r="493" spans="1:6" x14ac:dyDescent="0.35">
      <c r="A493">
        <v>7</v>
      </c>
      <c r="B493">
        <v>12</v>
      </c>
      <c r="D493" s="4">
        <v>0.1</v>
      </c>
      <c r="E493" s="4">
        <v>0.15</v>
      </c>
      <c r="F493" s="4">
        <v>0.2</v>
      </c>
    </row>
    <row r="494" spans="1:6" x14ac:dyDescent="0.35">
      <c r="A494">
        <v>7</v>
      </c>
      <c r="B494">
        <v>13</v>
      </c>
      <c r="D494" s="4">
        <v>0.05</v>
      </c>
      <c r="E494" s="4">
        <v>0.12</v>
      </c>
      <c r="F494" s="4">
        <v>0.15</v>
      </c>
    </row>
    <row r="495" spans="1:6" x14ac:dyDescent="0.35">
      <c r="A495">
        <v>7</v>
      </c>
      <c r="B495">
        <v>14</v>
      </c>
      <c r="D495" s="4">
        <v>0.1</v>
      </c>
      <c r="E495" s="4">
        <v>0.27</v>
      </c>
      <c r="F495" s="4">
        <v>0.4</v>
      </c>
    </row>
    <row r="496" spans="1:6" x14ac:dyDescent="0.35">
      <c r="A496">
        <v>7</v>
      </c>
      <c r="B496">
        <v>15</v>
      </c>
      <c r="D496" s="4">
        <v>0.15</v>
      </c>
      <c r="E496" s="4">
        <v>0.2</v>
      </c>
      <c r="F496" s="4">
        <v>0.4</v>
      </c>
    </row>
    <row r="497" spans="1:6" x14ac:dyDescent="0.35">
      <c r="A497">
        <v>7</v>
      </c>
      <c r="B497">
        <v>16</v>
      </c>
      <c r="D497" s="4">
        <v>0.01</v>
      </c>
      <c r="E497" s="4">
        <v>0.02</v>
      </c>
      <c r="F497" s="4">
        <v>0.05</v>
      </c>
    </row>
    <row r="498" spans="1:6" x14ac:dyDescent="0.35">
      <c r="A498">
        <v>7</v>
      </c>
      <c r="B498">
        <v>17</v>
      </c>
      <c r="D498" s="4">
        <v>0.01</v>
      </c>
      <c r="E498" s="4">
        <v>0.02</v>
      </c>
      <c r="F498" s="4">
        <v>0.03</v>
      </c>
    </row>
    <row r="499" spans="1:6" x14ac:dyDescent="0.35">
      <c r="A499">
        <v>7</v>
      </c>
      <c r="B499">
        <v>18</v>
      </c>
      <c r="D499" s="4">
        <v>0.01</v>
      </c>
      <c r="E499" s="4">
        <v>0.02</v>
      </c>
      <c r="F499" s="4">
        <v>0.03</v>
      </c>
    </row>
    <row r="500" spans="1:6" x14ac:dyDescent="0.35">
      <c r="A500">
        <v>7</v>
      </c>
      <c r="B500">
        <v>19</v>
      </c>
      <c r="D500" s="4">
        <v>1E-8</v>
      </c>
      <c r="E500" s="4">
        <v>9.9999999999999995E-8</v>
      </c>
      <c r="F500" s="4">
        <v>9.9999999999999995E-7</v>
      </c>
    </row>
    <row r="501" spans="1:6" x14ac:dyDescent="0.35">
      <c r="A501">
        <v>7</v>
      </c>
      <c r="B501">
        <v>20</v>
      </c>
      <c r="D501" s="4">
        <v>0.2</v>
      </c>
      <c r="E501" s="4">
        <v>0.4</v>
      </c>
      <c r="F501" s="4">
        <v>0.5</v>
      </c>
    </row>
    <row r="502" spans="1:6" x14ac:dyDescent="0.35">
      <c r="A502">
        <v>7</v>
      </c>
      <c r="B502">
        <v>21</v>
      </c>
      <c r="D502" s="4">
        <v>0.2</v>
      </c>
      <c r="E502" s="4">
        <v>0.3</v>
      </c>
      <c r="F502" s="4">
        <v>0.4</v>
      </c>
    </row>
    <row r="503" spans="1:6" x14ac:dyDescent="0.35">
      <c r="A503">
        <v>7</v>
      </c>
      <c r="B503">
        <v>22</v>
      </c>
      <c r="D503" s="4">
        <v>0.1</v>
      </c>
      <c r="E503" s="4">
        <v>0.2</v>
      </c>
      <c r="F503" s="4">
        <v>0.3</v>
      </c>
    </row>
    <row r="504" spans="1:6" x14ac:dyDescent="0.35">
      <c r="A504">
        <v>7</v>
      </c>
      <c r="B504">
        <v>23</v>
      </c>
      <c r="D504" s="4">
        <v>0.03</v>
      </c>
      <c r="E504" s="4">
        <v>0.05</v>
      </c>
      <c r="F504" s="4">
        <v>0.1</v>
      </c>
    </row>
    <row r="505" spans="1:6" x14ac:dyDescent="0.35">
      <c r="A505">
        <v>7</v>
      </c>
      <c r="B505">
        <v>24</v>
      </c>
      <c r="D505" s="4">
        <v>0.02</v>
      </c>
      <c r="E505" s="4">
        <v>0.05</v>
      </c>
      <c r="F505" s="4">
        <v>0.1</v>
      </c>
    </row>
    <row r="506" spans="1:6" x14ac:dyDescent="0.35">
      <c r="A506">
        <v>7</v>
      </c>
      <c r="B506">
        <v>25</v>
      </c>
      <c r="D506" s="4">
        <v>1E-8</v>
      </c>
      <c r="E506" s="4">
        <v>9.9999999999999995E-8</v>
      </c>
      <c r="F506" s="4">
        <v>9.9999999999999995E-7</v>
      </c>
    </row>
    <row r="507" spans="1:6" x14ac:dyDescent="0.35">
      <c r="A507">
        <v>7</v>
      </c>
      <c r="B507">
        <v>26</v>
      </c>
      <c r="D507" s="4">
        <v>0.8</v>
      </c>
      <c r="E507" s="4">
        <v>0.9</v>
      </c>
      <c r="F507" s="4">
        <v>1</v>
      </c>
    </row>
    <row r="508" spans="1:6" x14ac:dyDescent="0.35">
      <c r="A508">
        <v>7</v>
      </c>
      <c r="B508">
        <v>27</v>
      </c>
      <c r="D508" s="4">
        <v>0.05</v>
      </c>
      <c r="E508" s="4">
        <v>0.1</v>
      </c>
      <c r="F508" s="4">
        <v>0.2</v>
      </c>
    </row>
    <row r="509" spans="1:6" x14ac:dyDescent="0.35">
      <c r="A509">
        <v>7</v>
      </c>
      <c r="B509">
        <v>28</v>
      </c>
      <c r="D509" s="4">
        <v>0.2</v>
      </c>
      <c r="E509" s="4">
        <v>0.3</v>
      </c>
      <c r="F509" s="4">
        <v>0.4</v>
      </c>
    </row>
    <row r="510" spans="1:6" x14ac:dyDescent="0.35">
      <c r="A510">
        <v>7</v>
      </c>
      <c r="B510">
        <v>29</v>
      </c>
      <c r="D510" s="4">
        <v>0.2</v>
      </c>
      <c r="E510" s="4">
        <v>0.3</v>
      </c>
      <c r="F510" s="4">
        <v>0.4</v>
      </c>
    </row>
    <row r="511" spans="1:6" x14ac:dyDescent="0.35">
      <c r="A511">
        <v>7</v>
      </c>
      <c r="B511">
        <v>30</v>
      </c>
      <c r="D511" s="4">
        <v>0.1</v>
      </c>
      <c r="E511" s="4">
        <v>0.2</v>
      </c>
      <c r="F511" s="4">
        <v>0.3</v>
      </c>
    </row>
    <row r="512" spans="1:6" x14ac:dyDescent="0.35">
      <c r="A512">
        <v>7</v>
      </c>
      <c r="B512">
        <v>31</v>
      </c>
      <c r="D512" s="4">
        <v>0.05</v>
      </c>
      <c r="E512" s="4">
        <v>0.1</v>
      </c>
      <c r="F512" s="4">
        <v>0.15</v>
      </c>
    </row>
    <row r="513" spans="1:6" x14ac:dyDescent="0.35">
      <c r="A513">
        <v>7</v>
      </c>
      <c r="B513">
        <v>32</v>
      </c>
      <c r="D513" s="4">
        <v>0.05</v>
      </c>
      <c r="E513" s="4">
        <v>0.1</v>
      </c>
      <c r="F513" s="4">
        <v>0.15</v>
      </c>
    </row>
    <row r="514" spans="1:6" x14ac:dyDescent="0.35">
      <c r="A514">
        <v>7</v>
      </c>
      <c r="B514">
        <v>33</v>
      </c>
      <c r="D514" s="4">
        <v>1E-8</v>
      </c>
      <c r="E514" s="4">
        <v>9.9999999999999995E-8</v>
      </c>
      <c r="F514" s="4">
        <v>9.9999999999999995E-7</v>
      </c>
    </row>
    <row r="515" spans="1:6" x14ac:dyDescent="0.35">
      <c r="A515">
        <v>7</v>
      </c>
      <c r="B515">
        <v>34</v>
      </c>
      <c r="D515" s="4">
        <v>0.6</v>
      </c>
      <c r="E515" s="4">
        <v>0.8</v>
      </c>
      <c r="F515" s="4">
        <v>1</v>
      </c>
    </row>
    <row r="516" spans="1:6" x14ac:dyDescent="0.35">
      <c r="A516">
        <v>7</v>
      </c>
      <c r="B516">
        <v>35</v>
      </c>
      <c r="D516" s="4">
        <v>0.1</v>
      </c>
      <c r="E516" s="4">
        <v>0.2</v>
      </c>
      <c r="F516" s="4">
        <v>0.3</v>
      </c>
    </row>
    <row r="517" spans="1:6" x14ac:dyDescent="0.35">
      <c r="A517">
        <v>7</v>
      </c>
      <c r="B517">
        <v>36</v>
      </c>
      <c r="D517" s="4">
        <v>0.2</v>
      </c>
      <c r="E517" s="4">
        <v>0.35</v>
      </c>
      <c r="F517" s="4">
        <v>0.5</v>
      </c>
    </row>
    <row r="518" spans="1:6" x14ac:dyDescent="0.35">
      <c r="A518">
        <v>7</v>
      </c>
      <c r="B518">
        <v>37</v>
      </c>
      <c r="D518" s="4">
        <v>0.2</v>
      </c>
      <c r="E518" s="4">
        <v>0.25</v>
      </c>
      <c r="F518" s="4">
        <v>0.4</v>
      </c>
    </row>
    <row r="519" spans="1:6" x14ac:dyDescent="0.35">
      <c r="A519">
        <v>7</v>
      </c>
      <c r="B519">
        <v>38</v>
      </c>
      <c r="D519" s="4">
        <v>0.2</v>
      </c>
      <c r="E519" s="4">
        <v>0.4</v>
      </c>
      <c r="F519" s="4">
        <v>0.6</v>
      </c>
    </row>
    <row r="520" spans="1:6" x14ac:dyDescent="0.35">
      <c r="A520">
        <v>7</v>
      </c>
      <c r="B520">
        <v>39</v>
      </c>
      <c r="D520" s="4">
        <v>0.3</v>
      </c>
      <c r="E520" s="4">
        <v>0.4</v>
      </c>
      <c r="F520" s="4">
        <v>0.5</v>
      </c>
    </row>
    <row r="521" spans="1:6" x14ac:dyDescent="0.35">
      <c r="A521">
        <v>7</v>
      </c>
      <c r="B521">
        <v>40</v>
      </c>
      <c r="D521" s="4">
        <v>0.4</v>
      </c>
      <c r="E521" s="4">
        <v>0.6</v>
      </c>
      <c r="F521" s="4">
        <v>0.7</v>
      </c>
    </row>
    <row r="522" spans="1:6" x14ac:dyDescent="0.35">
      <c r="A522">
        <v>7</v>
      </c>
      <c r="B522">
        <v>41</v>
      </c>
      <c r="D522" s="4">
        <v>0.6</v>
      </c>
      <c r="E522" s="4">
        <v>0.7</v>
      </c>
      <c r="F522" s="4">
        <v>0.8</v>
      </c>
    </row>
    <row r="523" spans="1:6" x14ac:dyDescent="0.35">
      <c r="A523">
        <v>7</v>
      </c>
      <c r="B523">
        <v>42</v>
      </c>
      <c r="D523" s="4">
        <v>0.05</v>
      </c>
      <c r="E523" s="4">
        <v>0.1</v>
      </c>
      <c r="F523" s="4">
        <v>0.2</v>
      </c>
    </row>
    <row r="524" spans="1:6" x14ac:dyDescent="0.35">
      <c r="A524">
        <v>7</v>
      </c>
      <c r="B524">
        <v>43</v>
      </c>
      <c r="D524" s="4">
        <v>0.1</v>
      </c>
      <c r="E524" s="4">
        <v>0.15</v>
      </c>
      <c r="F524" s="4">
        <v>0.2</v>
      </c>
    </row>
    <row r="525" spans="1:6" x14ac:dyDescent="0.35">
      <c r="A525">
        <v>7</v>
      </c>
      <c r="B525">
        <v>44</v>
      </c>
      <c r="D525" s="4">
        <v>0.02</v>
      </c>
      <c r="E525" s="4">
        <v>0.05</v>
      </c>
      <c r="F525" s="4">
        <v>0.1</v>
      </c>
    </row>
    <row r="526" spans="1:6" x14ac:dyDescent="0.35">
      <c r="A526">
        <v>7</v>
      </c>
      <c r="B526">
        <v>45</v>
      </c>
      <c r="D526" s="4">
        <v>0.3</v>
      </c>
      <c r="E526" s="4">
        <v>0.55000000000000004</v>
      </c>
      <c r="F526" s="4">
        <v>0.7</v>
      </c>
    </row>
    <row r="527" spans="1:6" x14ac:dyDescent="0.35">
      <c r="A527">
        <v>7</v>
      </c>
      <c r="B527">
        <v>46</v>
      </c>
      <c r="D527" s="4">
        <v>0.25</v>
      </c>
      <c r="E527" s="4">
        <v>0.45</v>
      </c>
      <c r="F527" s="4">
        <v>0.65</v>
      </c>
    </row>
    <row r="528" spans="1:6" x14ac:dyDescent="0.35">
      <c r="A528">
        <v>7</v>
      </c>
      <c r="B528">
        <v>47</v>
      </c>
      <c r="D528" s="4">
        <v>0.1</v>
      </c>
      <c r="E528" s="4">
        <v>0.45</v>
      </c>
      <c r="F528" s="4">
        <v>0.5</v>
      </c>
    </row>
    <row r="529" spans="1:6" x14ac:dyDescent="0.35">
      <c r="A529">
        <v>7</v>
      </c>
      <c r="B529">
        <v>48</v>
      </c>
      <c r="D529" s="4">
        <v>0.1</v>
      </c>
      <c r="E529" s="4">
        <v>0.3</v>
      </c>
      <c r="F529" s="4">
        <v>0.4</v>
      </c>
    </row>
    <row r="530" spans="1:6" x14ac:dyDescent="0.35">
      <c r="A530">
        <v>7</v>
      </c>
      <c r="B530">
        <v>49</v>
      </c>
      <c r="D530" s="4">
        <v>0.05</v>
      </c>
      <c r="E530" s="4">
        <v>0.2</v>
      </c>
      <c r="F530" s="4">
        <v>0.3</v>
      </c>
    </row>
    <row r="531" spans="1:6" x14ac:dyDescent="0.35">
      <c r="A531">
        <v>7</v>
      </c>
      <c r="B531">
        <v>50</v>
      </c>
      <c r="D531" s="4">
        <v>0.01</v>
      </c>
      <c r="E531" s="4">
        <v>0.05</v>
      </c>
      <c r="F531" s="4">
        <v>0.1</v>
      </c>
    </row>
    <row r="532" spans="1:6" x14ac:dyDescent="0.35">
      <c r="A532">
        <v>7</v>
      </c>
      <c r="B532">
        <v>51</v>
      </c>
      <c r="D532" s="4">
        <v>1E-8</v>
      </c>
      <c r="E532" s="4">
        <v>9.9999999999999995E-8</v>
      </c>
      <c r="F532" s="4">
        <v>9.9999999999999995E-7</v>
      </c>
    </row>
    <row r="533" spans="1:6" x14ac:dyDescent="0.35">
      <c r="A533">
        <v>7</v>
      </c>
      <c r="B533">
        <v>52</v>
      </c>
      <c r="D533" s="4">
        <v>0.3</v>
      </c>
      <c r="E533" s="4">
        <v>0.35</v>
      </c>
      <c r="F533" s="4">
        <v>0.6</v>
      </c>
    </row>
    <row r="534" spans="1:6" x14ac:dyDescent="0.35">
      <c r="A534">
        <v>7</v>
      </c>
      <c r="B534">
        <v>53</v>
      </c>
      <c r="D534" s="4">
        <v>0.2</v>
      </c>
      <c r="E534" s="4">
        <v>0.25</v>
      </c>
      <c r="F534" s="4">
        <v>0.3</v>
      </c>
    </row>
    <row r="535" spans="1:6" x14ac:dyDescent="0.35">
      <c r="A535">
        <v>7</v>
      </c>
      <c r="B535">
        <v>54</v>
      </c>
      <c r="D535" s="4">
        <v>0.2</v>
      </c>
      <c r="E535" s="4">
        <v>0.4</v>
      </c>
      <c r="F535" s="4">
        <v>0.7</v>
      </c>
    </row>
    <row r="536" spans="1:6" x14ac:dyDescent="0.35">
      <c r="A536">
        <v>7</v>
      </c>
      <c r="B536">
        <v>55</v>
      </c>
      <c r="D536" s="4">
        <v>0.4</v>
      </c>
      <c r="E536" s="4">
        <v>0.6</v>
      </c>
      <c r="F536" s="4">
        <v>0.7</v>
      </c>
    </row>
    <row r="537" spans="1:6" x14ac:dyDescent="0.35">
      <c r="A537">
        <v>7</v>
      </c>
      <c r="B537">
        <v>56</v>
      </c>
      <c r="D537" s="4">
        <v>0.2</v>
      </c>
      <c r="E537" s="4">
        <v>0.4</v>
      </c>
      <c r="F537" s="4">
        <v>0.5</v>
      </c>
    </row>
    <row r="538" spans="1:6" x14ac:dyDescent="0.35">
      <c r="A538">
        <v>7</v>
      </c>
      <c r="B538">
        <v>57</v>
      </c>
      <c r="D538" s="4">
        <v>0.5</v>
      </c>
      <c r="E538" s="4">
        <v>0.7</v>
      </c>
      <c r="F538" s="4">
        <v>0.8</v>
      </c>
    </row>
    <row r="539" spans="1:6" x14ac:dyDescent="0.35">
      <c r="A539">
        <v>7</v>
      </c>
      <c r="B539">
        <v>58</v>
      </c>
      <c r="D539" s="4">
        <v>0.05</v>
      </c>
      <c r="E539" s="4">
        <v>0.1</v>
      </c>
      <c r="F539" s="4">
        <v>0.2</v>
      </c>
    </row>
    <row r="540" spans="1:6" x14ac:dyDescent="0.35">
      <c r="A540">
        <v>7</v>
      </c>
      <c r="B540">
        <v>59</v>
      </c>
      <c r="D540" s="4">
        <v>0.1</v>
      </c>
      <c r="E540" s="4">
        <v>0.15</v>
      </c>
      <c r="F540" s="4">
        <v>0.2</v>
      </c>
    </row>
    <row r="541" spans="1:6" x14ac:dyDescent="0.35">
      <c r="A541">
        <v>7</v>
      </c>
      <c r="B541">
        <v>60</v>
      </c>
      <c r="D541" s="4">
        <v>0.01</v>
      </c>
      <c r="E541" s="4">
        <v>0.05</v>
      </c>
      <c r="F541" s="4">
        <v>0.1</v>
      </c>
    </row>
    <row r="542" spans="1:6" x14ac:dyDescent="0.35">
      <c r="A542">
        <v>7</v>
      </c>
      <c r="B542">
        <v>61</v>
      </c>
      <c r="D542" s="4">
        <v>0.3</v>
      </c>
      <c r="E542" s="4">
        <v>0.6</v>
      </c>
      <c r="F542" s="4">
        <v>0.7</v>
      </c>
    </row>
    <row r="543" spans="1:6" x14ac:dyDescent="0.35">
      <c r="A543">
        <v>7</v>
      </c>
      <c r="B543">
        <v>62</v>
      </c>
      <c r="D543" s="4">
        <v>0.3</v>
      </c>
      <c r="E543" s="4">
        <v>0.4</v>
      </c>
      <c r="F543" s="4">
        <v>0.5</v>
      </c>
    </row>
    <row r="544" spans="1:6" x14ac:dyDescent="0.35">
      <c r="A544">
        <v>7</v>
      </c>
      <c r="B544">
        <v>63</v>
      </c>
      <c r="D544" s="4">
        <v>0.3</v>
      </c>
      <c r="E544" s="4">
        <v>0.5</v>
      </c>
      <c r="F544" s="4">
        <v>0.6</v>
      </c>
    </row>
    <row r="545" spans="1:6" x14ac:dyDescent="0.35">
      <c r="A545">
        <v>7</v>
      </c>
      <c r="B545">
        <v>64</v>
      </c>
      <c r="D545" s="4">
        <v>0.15</v>
      </c>
      <c r="E545" s="4">
        <v>0.25</v>
      </c>
      <c r="F545" s="4">
        <v>0.3</v>
      </c>
    </row>
    <row r="546" spans="1:6" x14ac:dyDescent="0.35">
      <c r="A546">
        <v>7</v>
      </c>
      <c r="B546">
        <v>65</v>
      </c>
      <c r="D546" s="4">
        <v>0.1</v>
      </c>
      <c r="E546" s="4">
        <v>0.2</v>
      </c>
      <c r="F546" s="4">
        <v>0.3</v>
      </c>
    </row>
    <row r="547" spans="1:6" x14ac:dyDescent="0.35">
      <c r="A547">
        <v>7</v>
      </c>
      <c r="B547">
        <v>66</v>
      </c>
      <c r="D547" s="4">
        <v>0.02</v>
      </c>
      <c r="E547" s="4">
        <v>0.05</v>
      </c>
      <c r="F547" s="4">
        <v>0.1</v>
      </c>
    </row>
    <row r="548" spans="1:6" x14ac:dyDescent="0.35">
      <c r="A548">
        <v>7</v>
      </c>
      <c r="B548">
        <v>67</v>
      </c>
      <c r="D548" s="4">
        <v>1E-8</v>
      </c>
      <c r="E548" s="4">
        <v>9.9999999999999995E-8</v>
      </c>
      <c r="F548" s="4">
        <v>9.9999999999999995E-7</v>
      </c>
    </row>
    <row r="549" spans="1:6" x14ac:dyDescent="0.35">
      <c r="A549">
        <v>7</v>
      </c>
      <c r="B549">
        <v>68</v>
      </c>
      <c r="D549" s="4">
        <v>0.2</v>
      </c>
      <c r="E549" s="4">
        <v>0.4</v>
      </c>
      <c r="F549" s="4">
        <v>0.6</v>
      </c>
    </row>
    <row r="550" spans="1:6" x14ac:dyDescent="0.35">
      <c r="A550">
        <v>7</v>
      </c>
      <c r="B550">
        <v>69</v>
      </c>
      <c r="D550" s="4">
        <v>0.3</v>
      </c>
      <c r="E550" s="4">
        <v>0.6</v>
      </c>
      <c r="F550" s="4">
        <v>0.7</v>
      </c>
    </row>
    <row r="551" spans="1:6" x14ac:dyDescent="0.35">
      <c r="A551">
        <v>7</v>
      </c>
      <c r="B551">
        <v>70</v>
      </c>
      <c r="D551" s="4">
        <v>0.3</v>
      </c>
      <c r="E551" s="4">
        <v>0.5</v>
      </c>
      <c r="F551" s="4">
        <v>0.6</v>
      </c>
    </row>
    <row r="552" spans="1:6" x14ac:dyDescent="0.35">
      <c r="A552">
        <v>7</v>
      </c>
      <c r="B552">
        <v>71</v>
      </c>
      <c r="D552" s="4">
        <v>0.05</v>
      </c>
      <c r="E552" s="4">
        <v>0.1</v>
      </c>
      <c r="F552" s="4">
        <v>0.2</v>
      </c>
    </row>
    <row r="553" spans="1:6" x14ac:dyDescent="0.35">
      <c r="A553">
        <v>7</v>
      </c>
      <c r="B553">
        <v>72</v>
      </c>
      <c r="D553" s="4">
        <v>0.1</v>
      </c>
      <c r="E553" s="4">
        <v>0.3</v>
      </c>
      <c r="F553" s="4">
        <v>0.5</v>
      </c>
    </row>
    <row r="554" spans="1:6" x14ac:dyDescent="0.35">
      <c r="A554">
        <v>7</v>
      </c>
      <c r="B554">
        <v>73</v>
      </c>
      <c r="D554" s="4">
        <v>0.05</v>
      </c>
      <c r="E554" s="4">
        <v>0.1</v>
      </c>
      <c r="F554" s="4">
        <v>0.2</v>
      </c>
    </row>
    <row r="555" spans="1:6" x14ac:dyDescent="0.35">
      <c r="A555">
        <v>7</v>
      </c>
      <c r="B555">
        <v>74</v>
      </c>
      <c r="D555" s="4">
        <v>0.2</v>
      </c>
      <c r="E555" s="4">
        <v>0.5</v>
      </c>
      <c r="F555" s="4">
        <v>0.6</v>
      </c>
    </row>
    <row r="556" spans="1:6" x14ac:dyDescent="0.35">
      <c r="A556">
        <v>7</v>
      </c>
      <c r="B556">
        <v>75</v>
      </c>
      <c r="D556" s="4">
        <v>0.2</v>
      </c>
      <c r="E556" s="4">
        <v>0.5</v>
      </c>
      <c r="F556" s="4">
        <v>0.6</v>
      </c>
    </row>
    <row r="557" spans="1:6" x14ac:dyDescent="0.35">
      <c r="A557">
        <v>7</v>
      </c>
      <c r="B557">
        <v>76</v>
      </c>
      <c r="D557" s="4">
        <v>0.2</v>
      </c>
      <c r="E557" s="4">
        <v>0.4</v>
      </c>
      <c r="F557" s="4">
        <v>0.6</v>
      </c>
    </row>
    <row r="558" spans="1:6" x14ac:dyDescent="0.35">
      <c r="A558">
        <v>7</v>
      </c>
      <c r="B558">
        <v>77</v>
      </c>
      <c r="D558" s="4">
        <v>0.1</v>
      </c>
      <c r="E558" s="4">
        <v>0.2</v>
      </c>
      <c r="F558" s="4">
        <v>0.3</v>
      </c>
    </row>
    <row r="559" spans="1:6" x14ac:dyDescent="0.35">
      <c r="A559">
        <v>7</v>
      </c>
      <c r="B559">
        <v>78</v>
      </c>
      <c r="D559" s="4">
        <v>0.1</v>
      </c>
      <c r="E559" s="4">
        <v>0.3</v>
      </c>
      <c r="F559" s="4">
        <v>0.4</v>
      </c>
    </row>
    <row r="560" spans="1:6" x14ac:dyDescent="0.35">
      <c r="A560">
        <v>7</v>
      </c>
      <c r="B560">
        <v>79</v>
      </c>
      <c r="D560" s="4">
        <v>0.01</v>
      </c>
      <c r="E560" s="4">
        <v>0.1</v>
      </c>
      <c r="F560" s="4">
        <v>0.15</v>
      </c>
    </row>
    <row r="561" spans="1:6" x14ac:dyDescent="0.35">
      <c r="A561">
        <v>7</v>
      </c>
      <c r="B561">
        <v>80</v>
      </c>
      <c r="D561" s="4">
        <v>1E-8</v>
      </c>
      <c r="E561" s="4">
        <v>9.9999999999999995E-8</v>
      </c>
      <c r="F561" s="4">
        <v>9.9999999999999995E-7</v>
      </c>
    </row>
    <row r="562" spans="1:6" x14ac:dyDescent="0.35">
      <c r="A562">
        <v>8</v>
      </c>
      <c r="B562">
        <v>1</v>
      </c>
      <c r="D562" s="4">
        <v>700000</v>
      </c>
      <c r="E562" s="4">
        <v>850000</v>
      </c>
      <c r="F562" s="4">
        <v>1000000</v>
      </c>
    </row>
    <row r="563" spans="1:6" x14ac:dyDescent="0.35">
      <c r="A563">
        <v>8</v>
      </c>
      <c r="B563">
        <v>2</v>
      </c>
      <c r="D563" s="4">
        <v>250000</v>
      </c>
      <c r="E563" s="4">
        <v>450000</v>
      </c>
      <c r="F563" s="4">
        <v>600000</v>
      </c>
    </row>
    <row r="564" spans="1:6" x14ac:dyDescent="0.35">
      <c r="A564">
        <v>8</v>
      </c>
      <c r="B564">
        <v>3</v>
      </c>
      <c r="D564" s="4">
        <v>120000</v>
      </c>
      <c r="E564" s="4">
        <v>180000</v>
      </c>
      <c r="F564" s="4">
        <v>250000</v>
      </c>
    </row>
    <row r="565" spans="1:6" x14ac:dyDescent="0.35">
      <c r="A565">
        <v>8</v>
      </c>
      <c r="B565">
        <v>4</v>
      </c>
      <c r="D565" s="4">
        <v>300</v>
      </c>
      <c r="E565" s="4">
        <v>1000</v>
      </c>
      <c r="F565" s="4">
        <v>2000</v>
      </c>
    </row>
    <row r="566" spans="1:6" x14ac:dyDescent="0.35">
      <c r="A566">
        <v>8</v>
      </c>
      <c r="B566">
        <v>5</v>
      </c>
      <c r="D566" s="4">
        <v>0.35</v>
      </c>
      <c r="E566" s="4">
        <v>0.55000000000000004</v>
      </c>
      <c r="F566" s="4">
        <v>0.6</v>
      </c>
    </row>
    <row r="567" spans="1:6" x14ac:dyDescent="0.35">
      <c r="A567">
        <v>8</v>
      </c>
      <c r="B567">
        <v>6</v>
      </c>
      <c r="D567" s="4">
        <v>12</v>
      </c>
      <c r="E567" s="4">
        <v>20</v>
      </c>
      <c r="F567" s="4">
        <v>30</v>
      </c>
    </row>
    <row r="568" spans="1:6" x14ac:dyDescent="0.35">
      <c r="A568">
        <v>8</v>
      </c>
      <c r="B568">
        <v>7</v>
      </c>
      <c r="D568" s="4">
        <v>100</v>
      </c>
      <c r="E568" s="4">
        <v>600</v>
      </c>
      <c r="F568" s="4">
        <v>1200</v>
      </c>
    </row>
    <row r="569" spans="1:6" x14ac:dyDescent="0.35">
      <c r="A569">
        <v>8</v>
      </c>
      <c r="B569">
        <v>8</v>
      </c>
      <c r="D569" s="4">
        <v>45</v>
      </c>
      <c r="E569" s="4">
        <v>60</v>
      </c>
      <c r="F569" s="4">
        <v>120</v>
      </c>
    </row>
    <row r="570" spans="1:6" x14ac:dyDescent="0.35">
      <c r="A570">
        <v>8</v>
      </c>
      <c r="B570">
        <v>9</v>
      </c>
      <c r="D570" s="4">
        <v>450</v>
      </c>
      <c r="E570" s="4">
        <v>620</v>
      </c>
      <c r="F570" s="4">
        <v>800</v>
      </c>
    </row>
    <row r="571" spans="1:6" x14ac:dyDescent="0.35">
      <c r="A571">
        <v>8</v>
      </c>
      <c r="B571">
        <v>10</v>
      </c>
      <c r="D571" s="4">
        <v>0.15</v>
      </c>
      <c r="E571" s="4">
        <v>0.23</v>
      </c>
      <c r="F571" s="4">
        <v>0.35</v>
      </c>
    </row>
    <row r="572" spans="1:6" x14ac:dyDescent="0.35">
      <c r="A572">
        <v>8</v>
      </c>
      <c r="B572">
        <v>11</v>
      </c>
      <c r="D572" s="4">
        <v>0.06</v>
      </c>
      <c r="E572" s="4">
        <v>0.1</v>
      </c>
      <c r="F572" s="4">
        <v>0.4</v>
      </c>
    </row>
    <row r="573" spans="1:6" x14ac:dyDescent="0.35">
      <c r="A573">
        <v>8</v>
      </c>
      <c r="B573">
        <v>12</v>
      </c>
      <c r="D573" s="4">
        <v>0.06</v>
      </c>
      <c r="E573" s="4">
        <v>0.1</v>
      </c>
      <c r="F573" s="4">
        <v>0.3</v>
      </c>
    </row>
    <row r="574" spans="1:6" x14ac:dyDescent="0.35">
      <c r="A574">
        <v>8</v>
      </c>
      <c r="B574">
        <v>13</v>
      </c>
      <c r="D574" s="4">
        <v>1E-3</v>
      </c>
      <c r="E574" s="4">
        <v>0.08</v>
      </c>
      <c r="F574" s="4">
        <v>0.15</v>
      </c>
    </row>
    <row r="575" spans="1:6" x14ac:dyDescent="0.35">
      <c r="A575">
        <v>8</v>
      </c>
      <c r="B575">
        <v>14</v>
      </c>
      <c r="D575" s="4">
        <v>0.05</v>
      </c>
      <c r="E575" s="4">
        <v>0.08</v>
      </c>
      <c r="F575" s="4">
        <v>0.2</v>
      </c>
    </row>
    <row r="576" spans="1:6" x14ac:dyDescent="0.35">
      <c r="A576">
        <v>8</v>
      </c>
      <c r="B576">
        <v>15</v>
      </c>
      <c r="D576" s="4">
        <v>0.4</v>
      </c>
      <c r="E576" s="4">
        <v>0.5</v>
      </c>
      <c r="F576" s="4">
        <v>0.8</v>
      </c>
    </row>
    <row r="577" spans="1:6" x14ac:dyDescent="0.35">
      <c r="A577">
        <v>8</v>
      </c>
      <c r="B577">
        <v>16</v>
      </c>
      <c r="D577" s="4">
        <v>0.1</v>
      </c>
      <c r="E577" s="4">
        <v>0.15</v>
      </c>
      <c r="F577" s="4">
        <v>0.4</v>
      </c>
    </row>
    <row r="578" spans="1:6" x14ac:dyDescent="0.35">
      <c r="A578">
        <v>8</v>
      </c>
      <c r="B578">
        <v>17</v>
      </c>
      <c r="D578" s="4">
        <v>1E-3</v>
      </c>
      <c r="E578" s="4">
        <v>0.01</v>
      </c>
      <c r="F578" s="4">
        <v>0.02</v>
      </c>
    </row>
    <row r="579" spans="1:6" x14ac:dyDescent="0.35">
      <c r="A579">
        <v>8</v>
      </c>
      <c r="B579">
        <v>18</v>
      </c>
      <c r="D579" s="4">
        <v>1E-3</v>
      </c>
      <c r="E579" s="4">
        <v>2E-3</v>
      </c>
      <c r="F579" s="4">
        <v>3.0000000000000001E-3</v>
      </c>
    </row>
    <row r="580" spans="1:6" x14ac:dyDescent="0.35">
      <c r="A580">
        <v>8</v>
      </c>
      <c r="B580">
        <v>19</v>
      </c>
      <c r="D580" s="4">
        <v>1E-8</v>
      </c>
      <c r="E580" s="4">
        <v>9.9999999999999995E-8</v>
      </c>
      <c r="F580" s="4">
        <v>9.9999999999999995E-7</v>
      </c>
    </row>
    <row r="581" spans="1:6" x14ac:dyDescent="0.35">
      <c r="A581">
        <v>8</v>
      </c>
      <c r="B581">
        <v>20</v>
      </c>
      <c r="D581" s="4">
        <v>0.15</v>
      </c>
      <c r="E581" s="4">
        <v>0.25</v>
      </c>
      <c r="F581" s="4">
        <v>0.5</v>
      </c>
    </row>
    <row r="582" spans="1:6" x14ac:dyDescent="0.35">
      <c r="A582">
        <v>8</v>
      </c>
      <c r="B582">
        <v>21</v>
      </c>
      <c r="D582" s="4">
        <v>0.02</v>
      </c>
      <c r="E582" s="4">
        <v>0.1</v>
      </c>
      <c r="F582" s="4">
        <v>0.15</v>
      </c>
    </row>
    <row r="583" spans="1:6" x14ac:dyDescent="0.35">
      <c r="A583">
        <v>8</v>
      </c>
      <c r="B583">
        <v>22</v>
      </c>
      <c r="D583" s="4">
        <v>0.02</v>
      </c>
      <c r="E583" s="4">
        <v>0.15</v>
      </c>
      <c r="F583" s="4">
        <v>0.25</v>
      </c>
    </row>
    <row r="584" spans="1:6" x14ac:dyDescent="0.35">
      <c r="A584">
        <v>8</v>
      </c>
      <c r="B584">
        <v>23</v>
      </c>
      <c r="D584" s="4">
        <v>0.1</v>
      </c>
      <c r="E584" s="4">
        <v>0.25</v>
      </c>
      <c r="F584" s="4">
        <v>0.4</v>
      </c>
    </row>
    <row r="585" spans="1:6" x14ac:dyDescent="0.35">
      <c r="A585">
        <v>8</v>
      </c>
      <c r="B585">
        <v>24</v>
      </c>
      <c r="D585" s="4">
        <v>0.1</v>
      </c>
      <c r="E585" s="4">
        <v>0.25</v>
      </c>
      <c r="F585" s="4">
        <v>0.5</v>
      </c>
    </row>
    <row r="586" spans="1:6" x14ac:dyDescent="0.35">
      <c r="A586">
        <v>8</v>
      </c>
      <c r="B586">
        <v>25</v>
      </c>
      <c r="D586" s="4">
        <v>1E-8</v>
      </c>
      <c r="E586" s="4">
        <v>9.9999999999999995E-8</v>
      </c>
      <c r="F586" s="4">
        <v>9.9999999999999995E-7</v>
      </c>
    </row>
    <row r="587" spans="1:6" x14ac:dyDescent="0.35">
      <c r="A587">
        <v>8</v>
      </c>
      <c r="B587">
        <v>26</v>
      </c>
      <c r="D587" s="4">
        <v>0.7</v>
      </c>
      <c r="E587" s="4">
        <v>0.9</v>
      </c>
      <c r="F587" s="4">
        <v>1</v>
      </c>
    </row>
    <row r="588" spans="1:6" x14ac:dyDescent="0.35">
      <c r="A588">
        <v>8</v>
      </c>
      <c r="B588">
        <v>27</v>
      </c>
      <c r="D588" s="4">
        <v>5.0000000000000001E-3</v>
      </c>
      <c r="E588" s="4">
        <v>0.1</v>
      </c>
      <c r="F588" s="4">
        <v>0.3</v>
      </c>
    </row>
    <row r="589" spans="1:6" x14ac:dyDescent="0.35">
      <c r="A589">
        <v>8</v>
      </c>
      <c r="B589">
        <v>28</v>
      </c>
      <c r="D589" s="4">
        <v>0.2</v>
      </c>
      <c r="E589" s="4">
        <v>0.35</v>
      </c>
      <c r="F589" s="4">
        <v>0.45</v>
      </c>
    </row>
    <row r="590" spans="1:6" x14ac:dyDescent="0.35">
      <c r="A590">
        <v>8</v>
      </c>
      <c r="B590">
        <v>29</v>
      </c>
      <c r="D590" s="4">
        <v>0.02</v>
      </c>
      <c r="E590" s="4">
        <v>0.1</v>
      </c>
      <c r="F590" s="4">
        <v>0.3</v>
      </c>
    </row>
    <row r="591" spans="1:6" x14ac:dyDescent="0.35">
      <c r="A591">
        <v>8</v>
      </c>
      <c r="B591">
        <v>30</v>
      </c>
      <c r="D591" s="4">
        <v>0.15</v>
      </c>
      <c r="E591" s="4">
        <v>0.25</v>
      </c>
      <c r="F591" s="4">
        <v>0.45</v>
      </c>
    </row>
    <row r="592" spans="1:6" x14ac:dyDescent="0.35">
      <c r="A592">
        <v>8</v>
      </c>
      <c r="B592">
        <v>31</v>
      </c>
      <c r="D592" s="4">
        <v>0.05</v>
      </c>
      <c r="E592" s="4">
        <v>0.2</v>
      </c>
      <c r="F592" s="4">
        <v>0.25</v>
      </c>
    </row>
    <row r="593" spans="1:6" x14ac:dyDescent="0.35">
      <c r="A593">
        <v>8</v>
      </c>
      <c r="B593">
        <v>32</v>
      </c>
      <c r="D593" s="4">
        <v>0.02</v>
      </c>
      <c r="E593" s="4">
        <v>0.1</v>
      </c>
      <c r="F593" s="4">
        <v>0.3</v>
      </c>
    </row>
    <row r="594" spans="1:6" x14ac:dyDescent="0.35">
      <c r="A594">
        <v>8</v>
      </c>
      <c r="B594">
        <v>33</v>
      </c>
      <c r="D594" s="4">
        <v>1E-8</v>
      </c>
      <c r="E594" s="4">
        <v>9.9999999999999995E-8</v>
      </c>
      <c r="F594" s="4">
        <v>9.9999999999999995E-7</v>
      </c>
    </row>
    <row r="595" spans="1:6" x14ac:dyDescent="0.35">
      <c r="A595">
        <v>8</v>
      </c>
      <c r="B595">
        <v>34</v>
      </c>
      <c r="D595" s="4">
        <v>0.7</v>
      </c>
      <c r="E595" s="4">
        <v>0.85</v>
      </c>
      <c r="F595" s="4">
        <v>1</v>
      </c>
    </row>
    <row r="596" spans="1:6" x14ac:dyDescent="0.35">
      <c r="A596">
        <v>8</v>
      </c>
      <c r="B596">
        <v>35</v>
      </c>
      <c r="D596" s="4">
        <v>0.1</v>
      </c>
      <c r="E596" s="4">
        <v>0.15</v>
      </c>
      <c r="F596" s="4">
        <v>0.5</v>
      </c>
    </row>
    <row r="597" spans="1:6" x14ac:dyDescent="0.35">
      <c r="A597">
        <v>8</v>
      </c>
      <c r="B597">
        <v>36</v>
      </c>
      <c r="D597" s="4">
        <v>0.05</v>
      </c>
      <c r="E597" s="4">
        <v>0.1</v>
      </c>
      <c r="F597" s="4">
        <v>0.3</v>
      </c>
    </row>
    <row r="598" spans="1:6" x14ac:dyDescent="0.35">
      <c r="A598">
        <v>8</v>
      </c>
      <c r="B598">
        <v>37</v>
      </c>
      <c r="D598" s="4">
        <v>0.25</v>
      </c>
      <c r="E598" s="4">
        <v>0.35</v>
      </c>
      <c r="F598" s="4">
        <v>0.5</v>
      </c>
    </row>
    <row r="599" spans="1:6" x14ac:dyDescent="0.35">
      <c r="A599">
        <v>8</v>
      </c>
      <c r="B599">
        <v>38</v>
      </c>
      <c r="D599" s="4">
        <v>0.4</v>
      </c>
      <c r="E599" s="4">
        <v>0.55000000000000004</v>
      </c>
      <c r="F599" s="4">
        <v>0.75</v>
      </c>
    </row>
    <row r="600" spans="1:6" x14ac:dyDescent="0.35">
      <c r="A600">
        <v>8</v>
      </c>
      <c r="B600">
        <v>39</v>
      </c>
      <c r="D600" s="4">
        <v>0.2</v>
      </c>
      <c r="E600" s="4">
        <v>0.4</v>
      </c>
      <c r="F600" s="4">
        <v>0.8</v>
      </c>
    </row>
    <row r="601" spans="1:6" x14ac:dyDescent="0.35">
      <c r="A601">
        <v>8</v>
      </c>
      <c r="B601">
        <v>40</v>
      </c>
      <c r="D601" s="4">
        <v>0.2</v>
      </c>
      <c r="E601" s="4">
        <v>0.6</v>
      </c>
      <c r="F601" s="4">
        <v>0.8</v>
      </c>
    </row>
    <row r="602" spans="1:6" x14ac:dyDescent="0.35">
      <c r="A602">
        <v>8</v>
      </c>
      <c r="B602">
        <v>41</v>
      </c>
      <c r="D602" s="4">
        <v>0.1</v>
      </c>
      <c r="E602" s="4">
        <v>0.15</v>
      </c>
      <c r="F602" s="4">
        <v>0.4</v>
      </c>
    </row>
    <row r="603" spans="1:6" x14ac:dyDescent="0.35">
      <c r="A603">
        <v>8</v>
      </c>
      <c r="B603">
        <v>42</v>
      </c>
      <c r="D603" s="4">
        <v>0.1</v>
      </c>
      <c r="E603" s="4">
        <v>0.5</v>
      </c>
      <c r="F603" s="4">
        <v>0.8</v>
      </c>
    </row>
    <row r="604" spans="1:6" x14ac:dyDescent="0.35">
      <c r="A604">
        <v>8</v>
      </c>
      <c r="B604">
        <v>43</v>
      </c>
      <c r="D604" s="4">
        <v>0.1</v>
      </c>
      <c r="E604" s="4">
        <v>0.25</v>
      </c>
      <c r="F604" s="4">
        <v>0.8</v>
      </c>
    </row>
    <row r="605" spans="1:6" x14ac:dyDescent="0.35">
      <c r="A605">
        <v>8</v>
      </c>
      <c r="B605">
        <v>44</v>
      </c>
      <c r="D605" s="4">
        <v>0.02</v>
      </c>
      <c r="E605" s="4">
        <v>0.1</v>
      </c>
      <c r="F605" s="4">
        <v>0.2</v>
      </c>
    </row>
    <row r="606" spans="1:6" x14ac:dyDescent="0.35">
      <c r="A606">
        <v>8</v>
      </c>
      <c r="B606">
        <v>45</v>
      </c>
      <c r="D606" s="4">
        <v>0.2</v>
      </c>
      <c r="E606" s="4">
        <v>0.5</v>
      </c>
      <c r="F606" s="4">
        <v>0.7</v>
      </c>
    </row>
    <row r="607" spans="1:6" x14ac:dyDescent="0.35">
      <c r="A607">
        <v>8</v>
      </c>
      <c r="B607">
        <v>46</v>
      </c>
      <c r="D607" s="4">
        <v>0.2</v>
      </c>
      <c r="E607" s="4">
        <v>0.5</v>
      </c>
      <c r="F607" s="4">
        <v>0.7</v>
      </c>
    </row>
    <row r="608" spans="1:6" x14ac:dyDescent="0.35">
      <c r="A608">
        <v>8</v>
      </c>
      <c r="B608">
        <v>47</v>
      </c>
      <c r="D608" s="4">
        <v>0.01</v>
      </c>
      <c r="E608" s="4">
        <v>7.0000000000000007E-2</v>
      </c>
      <c r="F608" s="4">
        <v>0.15</v>
      </c>
    </row>
    <row r="609" spans="1:6" x14ac:dyDescent="0.35">
      <c r="A609">
        <v>8</v>
      </c>
      <c r="B609">
        <v>48</v>
      </c>
      <c r="D609" s="4">
        <v>0.4</v>
      </c>
      <c r="E609" s="4">
        <v>0.6</v>
      </c>
      <c r="F609" s="4">
        <v>0.9</v>
      </c>
    </row>
    <row r="610" spans="1:6" x14ac:dyDescent="0.35">
      <c r="A610">
        <v>8</v>
      </c>
      <c r="B610">
        <v>49</v>
      </c>
      <c r="D610" s="4">
        <v>0.15</v>
      </c>
      <c r="E610" s="4">
        <v>0.3</v>
      </c>
      <c r="F610" s="4">
        <v>0.5</v>
      </c>
    </row>
    <row r="611" spans="1:6" x14ac:dyDescent="0.35">
      <c r="A611">
        <v>8</v>
      </c>
      <c r="B611">
        <v>50</v>
      </c>
      <c r="D611" s="4">
        <v>1E-3</v>
      </c>
      <c r="E611" s="4">
        <v>0.02</v>
      </c>
      <c r="F611" s="4">
        <v>0.06</v>
      </c>
    </row>
    <row r="612" spans="1:6" x14ac:dyDescent="0.35">
      <c r="A612">
        <v>8</v>
      </c>
      <c r="B612">
        <v>51</v>
      </c>
      <c r="D612" s="4">
        <v>1E-8</v>
      </c>
      <c r="E612" s="4">
        <v>9.9999999999999995E-8</v>
      </c>
      <c r="F612" s="4">
        <v>9.9999999999999995E-7</v>
      </c>
    </row>
    <row r="613" spans="1:6" x14ac:dyDescent="0.35">
      <c r="A613">
        <v>8</v>
      </c>
      <c r="B613">
        <v>52</v>
      </c>
      <c r="D613" s="4">
        <v>0.25</v>
      </c>
      <c r="E613" s="4">
        <v>0.3</v>
      </c>
      <c r="F613" s="4">
        <v>0.5</v>
      </c>
    </row>
    <row r="614" spans="1:6" x14ac:dyDescent="0.35">
      <c r="A614">
        <v>8</v>
      </c>
      <c r="B614">
        <v>53</v>
      </c>
      <c r="D614" s="4">
        <v>0.25</v>
      </c>
      <c r="E614" s="4">
        <v>0.4</v>
      </c>
      <c r="F614" s="4">
        <v>0.6</v>
      </c>
    </row>
    <row r="615" spans="1:6" x14ac:dyDescent="0.35">
      <c r="A615">
        <v>8</v>
      </c>
      <c r="B615">
        <v>54</v>
      </c>
      <c r="D615" s="4">
        <v>0.2</v>
      </c>
      <c r="E615" s="4">
        <v>0.3</v>
      </c>
      <c r="F615" s="4">
        <v>0.4</v>
      </c>
    </row>
    <row r="616" spans="1:6" x14ac:dyDescent="0.35">
      <c r="A616">
        <v>8</v>
      </c>
      <c r="B616">
        <v>55</v>
      </c>
      <c r="D616" s="4">
        <v>0.6</v>
      </c>
      <c r="E616" s="4">
        <v>0.9</v>
      </c>
      <c r="F616" s="4">
        <v>0.95</v>
      </c>
    </row>
    <row r="617" spans="1:6" x14ac:dyDescent="0.35">
      <c r="A617">
        <v>8</v>
      </c>
      <c r="B617">
        <v>56</v>
      </c>
      <c r="D617" s="4">
        <v>0.05</v>
      </c>
      <c r="E617" s="4">
        <v>0.1</v>
      </c>
      <c r="F617" s="4">
        <v>0.3</v>
      </c>
    </row>
    <row r="618" spans="1:6" x14ac:dyDescent="0.35">
      <c r="A618">
        <v>8</v>
      </c>
      <c r="B618">
        <v>57</v>
      </c>
      <c r="D618" s="4">
        <v>0.7</v>
      </c>
      <c r="E618" s="4">
        <v>0.75</v>
      </c>
      <c r="F618" s="4">
        <v>0.95</v>
      </c>
    </row>
    <row r="619" spans="1:6" x14ac:dyDescent="0.35">
      <c r="A619">
        <v>8</v>
      </c>
      <c r="B619">
        <v>58</v>
      </c>
      <c r="D619" s="4">
        <v>2E-3</v>
      </c>
      <c r="E619" s="4">
        <v>0.05</v>
      </c>
      <c r="F619" s="4">
        <v>0.1</v>
      </c>
    </row>
    <row r="620" spans="1:6" x14ac:dyDescent="0.35">
      <c r="A620">
        <v>8</v>
      </c>
      <c r="B620">
        <v>59</v>
      </c>
      <c r="D620" s="4">
        <v>0.1</v>
      </c>
      <c r="E620" s="4">
        <v>0.2</v>
      </c>
      <c r="F620" s="4">
        <v>0.4</v>
      </c>
    </row>
    <row r="621" spans="1:6" x14ac:dyDescent="0.35">
      <c r="A621">
        <v>8</v>
      </c>
      <c r="B621">
        <v>60</v>
      </c>
      <c r="D621" s="4">
        <v>1E-3</v>
      </c>
      <c r="E621" s="4">
        <v>5.0000000000000001E-3</v>
      </c>
      <c r="F621" s="4">
        <v>0.06</v>
      </c>
    </row>
    <row r="622" spans="1:6" x14ac:dyDescent="0.35">
      <c r="A622">
        <v>8</v>
      </c>
      <c r="B622">
        <v>61</v>
      </c>
      <c r="D622" s="4">
        <v>0.3</v>
      </c>
      <c r="E622" s="4">
        <v>0.6</v>
      </c>
      <c r="F622" s="4">
        <v>0.9</v>
      </c>
    </row>
    <row r="623" spans="1:6" x14ac:dyDescent="0.35">
      <c r="A623">
        <v>8</v>
      </c>
      <c r="B623">
        <v>62</v>
      </c>
      <c r="D623" s="4">
        <v>0.3</v>
      </c>
      <c r="E623" s="4">
        <v>0.4</v>
      </c>
      <c r="F623" s="4">
        <v>0.6</v>
      </c>
    </row>
    <row r="624" spans="1:6" x14ac:dyDescent="0.35">
      <c r="A624">
        <v>8</v>
      </c>
      <c r="B624">
        <v>63</v>
      </c>
      <c r="D624" s="4">
        <v>0.3</v>
      </c>
      <c r="E624" s="4">
        <v>0.45</v>
      </c>
      <c r="F624" s="4">
        <v>0.6</v>
      </c>
    </row>
    <row r="625" spans="1:6" x14ac:dyDescent="0.35">
      <c r="A625">
        <v>8</v>
      </c>
      <c r="B625">
        <v>64</v>
      </c>
      <c r="D625" s="4">
        <v>0.05</v>
      </c>
      <c r="E625" s="4">
        <v>0.2</v>
      </c>
      <c r="F625" s="4">
        <v>0.25</v>
      </c>
    </row>
    <row r="626" spans="1:6" x14ac:dyDescent="0.35">
      <c r="A626">
        <v>8</v>
      </c>
      <c r="B626">
        <v>65</v>
      </c>
      <c r="D626" s="4">
        <v>0.15</v>
      </c>
      <c r="E626" s="4">
        <v>0.35</v>
      </c>
      <c r="F626" s="4">
        <v>0.5</v>
      </c>
    </row>
    <row r="627" spans="1:6" x14ac:dyDescent="0.35">
      <c r="A627">
        <v>8</v>
      </c>
      <c r="B627">
        <v>66</v>
      </c>
      <c r="D627" s="4">
        <v>1E-3</v>
      </c>
      <c r="E627" s="4">
        <v>0.02</v>
      </c>
      <c r="F627" s="4">
        <v>0.05</v>
      </c>
    </row>
    <row r="628" spans="1:6" x14ac:dyDescent="0.35">
      <c r="A628">
        <v>8</v>
      </c>
      <c r="B628">
        <v>67</v>
      </c>
      <c r="D628" s="4">
        <v>1E-8</v>
      </c>
      <c r="E628" s="4">
        <v>9.9999999999999995E-8</v>
      </c>
      <c r="F628" s="4">
        <v>9.9999999999999995E-7</v>
      </c>
    </row>
    <row r="629" spans="1:6" x14ac:dyDescent="0.35">
      <c r="A629">
        <v>8</v>
      </c>
      <c r="B629">
        <v>68</v>
      </c>
      <c r="D629" s="4">
        <v>0.5</v>
      </c>
      <c r="E629" s="4">
        <v>0.6</v>
      </c>
      <c r="F629" s="4">
        <v>0.8</v>
      </c>
    </row>
    <row r="630" spans="1:6" x14ac:dyDescent="0.35">
      <c r="A630">
        <v>8</v>
      </c>
      <c r="B630">
        <v>69</v>
      </c>
      <c r="D630" s="4">
        <v>0.2</v>
      </c>
      <c r="E630" s="4">
        <v>0.4</v>
      </c>
      <c r="F630" s="4">
        <v>0.5</v>
      </c>
    </row>
    <row r="631" spans="1:6" x14ac:dyDescent="0.35">
      <c r="A631">
        <v>8</v>
      </c>
      <c r="B631">
        <v>70</v>
      </c>
      <c r="D631" s="4">
        <v>0.2</v>
      </c>
      <c r="E631" s="4">
        <v>0.25</v>
      </c>
      <c r="F631" s="4">
        <v>0.55000000000000004</v>
      </c>
    </row>
    <row r="632" spans="1:6" x14ac:dyDescent="0.35">
      <c r="A632">
        <v>8</v>
      </c>
      <c r="B632">
        <v>71</v>
      </c>
      <c r="D632" s="4">
        <v>0.1</v>
      </c>
      <c r="E632" s="4">
        <v>0.25</v>
      </c>
      <c r="F632" s="4">
        <v>0.6</v>
      </c>
    </row>
    <row r="633" spans="1:6" x14ac:dyDescent="0.35">
      <c r="A633">
        <v>8</v>
      </c>
      <c r="B633">
        <v>72</v>
      </c>
      <c r="D633" s="4">
        <v>0.25</v>
      </c>
      <c r="E633" s="4">
        <v>0.35</v>
      </c>
      <c r="F633" s="4">
        <v>0.5</v>
      </c>
    </row>
    <row r="634" spans="1:6" x14ac:dyDescent="0.35">
      <c r="A634">
        <v>8</v>
      </c>
      <c r="B634">
        <v>73</v>
      </c>
      <c r="D634" s="4">
        <v>0.05</v>
      </c>
      <c r="E634" s="4">
        <v>0.15</v>
      </c>
      <c r="F634" s="4">
        <v>0.2</v>
      </c>
    </row>
    <row r="635" spans="1:6" x14ac:dyDescent="0.35">
      <c r="A635">
        <v>8</v>
      </c>
      <c r="B635">
        <v>74</v>
      </c>
      <c r="D635" s="4">
        <v>0.65</v>
      </c>
      <c r="E635" s="4">
        <v>0.75</v>
      </c>
      <c r="F635" s="4">
        <v>0.8</v>
      </c>
    </row>
    <row r="636" spans="1:6" x14ac:dyDescent="0.35">
      <c r="A636">
        <v>8</v>
      </c>
      <c r="B636">
        <v>75</v>
      </c>
      <c r="D636" s="4">
        <v>0.2</v>
      </c>
      <c r="E636" s="4">
        <v>0.25</v>
      </c>
      <c r="F636" s="4">
        <v>0.35</v>
      </c>
    </row>
    <row r="637" spans="1:6" x14ac:dyDescent="0.35">
      <c r="A637">
        <v>8</v>
      </c>
      <c r="B637">
        <v>76</v>
      </c>
      <c r="D637" s="4">
        <v>0.18</v>
      </c>
      <c r="E637" s="4">
        <v>0.2</v>
      </c>
      <c r="F637" s="4">
        <v>0.3</v>
      </c>
    </row>
    <row r="638" spans="1:6" x14ac:dyDescent="0.35">
      <c r="A638">
        <v>8</v>
      </c>
      <c r="B638">
        <v>77</v>
      </c>
      <c r="D638" s="4">
        <v>0.2</v>
      </c>
      <c r="E638" s="4">
        <v>0.35</v>
      </c>
      <c r="F638" s="4">
        <v>0.45</v>
      </c>
    </row>
    <row r="639" spans="1:6" x14ac:dyDescent="0.35">
      <c r="A639">
        <v>8</v>
      </c>
      <c r="B639">
        <v>78</v>
      </c>
      <c r="D639" s="4">
        <v>0.2</v>
      </c>
      <c r="E639" s="4">
        <v>0.35</v>
      </c>
      <c r="F639" s="4">
        <v>0.45</v>
      </c>
    </row>
    <row r="640" spans="1:6" x14ac:dyDescent="0.35">
      <c r="A640">
        <v>8</v>
      </c>
      <c r="B640">
        <v>79</v>
      </c>
      <c r="D640" s="4">
        <v>0.02</v>
      </c>
      <c r="E640" s="4">
        <v>0.1</v>
      </c>
      <c r="F640" s="4">
        <v>0.12</v>
      </c>
    </row>
    <row r="641" spans="1:6" x14ac:dyDescent="0.35">
      <c r="A641">
        <v>8</v>
      </c>
      <c r="B641">
        <v>80</v>
      </c>
      <c r="D641" s="4">
        <v>1E-8</v>
      </c>
      <c r="E641" s="4">
        <v>9.9999999999999995E-8</v>
      </c>
      <c r="F641" s="4">
        <v>9.9999999999999995E-7</v>
      </c>
    </row>
    <row r="642" spans="1:6" x14ac:dyDescent="0.35">
      <c r="A642">
        <v>9</v>
      </c>
      <c r="B642">
        <v>1</v>
      </c>
      <c r="D642" s="4">
        <v>9000</v>
      </c>
      <c r="E642" s="4">
        <v>12000</v>
      </c>
      <c r="F642" s="4">
        <v>15000</v>
      </c>
    </row>
    <row r="643" spans="1:6" x14ac:dyDescent="0.35">
      <c r="A643">
        <v>9</v>
      </c>
      <c r="B643">
        <v>2</v>
      </c>
      <c r="D643" s="4">
        <v>6000</v>
      </c>
      <c r="E643" s="4">
        <v>10250</v>
      </c>
      <c r="F643" s="4">
        <v>14500</v>
      </c>
    </row>
    <row r="644" spans="1:6" x14ac:dyDescent="0.35">
      <c r="A644">
        <v>9</v>
      </c>
      <c r="B644">
        <v>3</v>
      </c>
      <c r="D644" s="4">
        <v>2000</v>
      </c>
      <c r="E644" s="4">
        <v>3500</v>
      </c>
      <c r="F644" s="4">
        <v>5000</v>
      </c>
    </row>
    <row r="645" spans="1:6" x14ac:dyDescent="0.35">
      <c r="A645">
        <v>9</v>
      </c>
      <c r="B645">
        <v>4</v>
      </c>
      <c r="D645" s="4">
        <v>1000</v>
      </c>
      <c r="E645" s="4">
        <v>12000</v>
      </c>
      <c r="F645" s="4">
        <v>20000</v>
      </c>
    </row>
    <row r="646" spans="1:6" x14ac:dyDescent="0.35">
      <c r="A646">
        <v>9</v>
      </c>
      <c r="B646">
        <v>5</v>
      </c>
      <c r="D646" s="4">
        <v>3.0000000000000001E-3</v>
      </c>
      <c r="E646" s="4">
        <v>0.05</v>
      </c>
      <c r="F646" s="4">
        <v>0.1</v>
      </c>
    </row>
    <row r="647" spans="1:6" x14ac:dyDescent="0.35">
      <c r="A647">
        <v>9</v>
      </c>
      <c r="B647">
        <v>6</v>
      </c>
      <c r="D647" s="4">
        <v>100</v>
      </c>
      <c r="E647" s="4">
        <v>600</v>
      </c>
      <c r="F647" s="4">
        <v>1200</v>
      </c>
    </row>
    <row r="648" spans="1:6" x14ac:dyDescent="0.35">
      <c r="A648">
        <v>9</v>
      </c>
      <c r="B648">
        <v>7</v>
      </c>
      <c r="D648" s="4">
        <v>30</v>
      </c>
      <c r="E648" s="4">
        <v>70</v>
      </c>
      <c r="F648" s="4">
        <v>150</v>
      </c>
    </row>
    <row r="649" spans="1:6" x14ac:dyDescent="0.35">
      <c r="A649">
        <v>9</v>
      </c>
      <c r="B649">
        <v>8</v>
      </c>
      <c r="D649" s="4">
        <v>15</v>
      </c>
      <c r="E649" s="4">
        <v>60</v>
      </c>
      <c r="F649" s="4">
        <v>150</v>
      </c>
    </row>
    <row r="650" spans="1:6" x14ac:dyDescent="0.35">
      <c r="A650">
        <v>9</v>
      </c>
      <c r="B650">
        <v>9</v>
      </c>
      <c r="D650" s="4">
        <v>200</v>
      </c>
      <c r="E650" s="4">
        <v>850</v>
      </c>
      <c r="F650" s="4">
        <v>1200</v>
      </c>
    </row>
    <row r="651" spans="1:6" x14ac:dyDescent="0.35">
      <c r="A651">
        <v>9</v>
      </c>
      <c r="B651">
        <v>10</v>
      </c>
      <c r="D651" s="4">
        <v>0.05</v>
      </c>
      <c r="E651" s="4">
        <v>0.2</v>
      </c>
      <c r="F651" s="4">
        <v>0.4</v>
      </c>
    </row>
    <row r="652" spans="1:6" x14ac:dyDescent="0.35">
      <c r="A652">
        <v>9</v>
      </c>
      <c r="B652">
        <v>11</v>
      </c>
      <c r="D652" s="4">
        <v>0.05</v>
      </c>
      <c r="E652" s="4">
        <v>0.15</v>
      </c>
      <c r="F652" s="4">
        <v>0.2</v>
      </c>
    </row>
    <row r="653" spans="1:6" x14ac:dyDescent="0.35">
      <c r="A653">
        <v>9</v>
      </c>
      <c r="B653">
        <v>12</v>
      </c>
      <c r="D653" s="4">
        <v>0.04</v>
      </c>
      <c r="E653" s="4">
        <v>0.125</v>
      </c>
      <c r="F653" s="4">
        <v>0.3</v>
      </c>
    </row>
    <row r="654" spans="1:6" x14ac:dyDescent="0.35">
      <c r="A654">
        <v>9</v>
      </c>
      <c r="B654">
        <v>13</v>
      </c>
      <c r="D654" s="4">
        <v>0.05</v>
      </c>
      <c r="E654" s="4">
        <v>0.15</v>
      </c>
      <c r="F654" s="4">
        <v>0.2</v>
      </c>
    </row>
    <row r="655" spans="1:6" x14ac:dyDescent="0.35">
      <c r="A655">
        <v>9</v>
      </c>
      <c r="B655">
        <v>14</v>
      </c>
      <c r="D655" s="4">
        <v>0.1</v>
      </c>
      <c r="E655" s="4">
        <v>0.2</v>
      </c>
      <c r="F655" s="4">
        <v>0.5</v>
      </c>
    </row>
    <row r="656" spans="1:6" x14ac:dyDescent="0.35">
      <c r="A656">
        <v>9</v>
      </c>
      <c r="B656">
        <v>15</v>
      </c>
      <c r="D656" s="4">
        <v>0.15</v>
      </c>
      <c r="E656" s="4">
        <v>0.25</v>
      </c>
      <c r="F656" s="4">
        <v>0.6</v>
      </c>
    </row>
    <row r="657" spans="1:6" x14ac:dyDescent="0.35">
      <c r="A657">
        <v>9</v>
      </c>
      <c r="B657">
        <v>16</v>
      </c>
      <c r="D657" s="4">
        <v>0.01</v>
      </c>
      <c r="E657" s="4">
        <v>7.4999999999999997E-2</v>
      </c>
      <c r="F657" s="4">
        <v>0.2</v>
      </c>
    </row>
    <row r="658" spans="1:6" x14ac:dyDescent="0.35">
      <c r="A658">
        <v>9</v>
      </c>
      <c r="B658">
        <v>17</v>
      </c>
      <c r="D658" s="4">
        <v>1E-3</v>
      </c>
      <c r="E658" s="4">
        <v>2.5000000000000001E-2</v>
      </c>
      <c r="F658" s="4">
        <v>0.1</v>
      </c>
    </row>
    <row r="659" spans="1:6" x14ac:dyDescent="0.35">
      <c r="A659">
        <v>9</v>
      </c>
      <c r="B659">
        <v>18</v>
      </c>
      <c r="D659" s="4">
        <v>1E-3</v>
      </c>
      <c r="E659" s="4">
        <v>2.5000000000000001E-2</v>
      </c>
      <c r="F659" s="4">
        <v>0.1</v>
      </c>
    </row>
    <row r="660" spans="1:6" x14ac:dyDescent="0.35">
      <c r="A660">
        <v>9</v>
      </c>
      <c r="B660">
        <v>19</v>
      </c>
      <c r="D660" s="4">
        <v>1E-8</v>
      </c>
      <c r="E660" s="4">
        <v>9.9999999999999995E-8</v>
      </c>
      <c r="F660" s="4">
        <v>9.9999999999999995E-7</v>
      </c>
    </row>
    <row r="661" spans="1:6" x14ac:dyDescent="0.35">
      <c r="A661">
        <v>9</v>
      </c>
      <c r="B661">
        <v>20</v>
      </c>
      <c r="D661" s="4">
        <v>0.1</v>
      </c>
      <c r="E661" s="4">
        <v>0.5</v>
      </c>
      <c r="F661" s="4">
        <v>0.75</v>
      </c>
    </row>
    <row r="662" spans="1:6" x14ac:dyDescent="0.35">
      <c r="A662">
        <v>9</v>
      </c>
      <c r="B662">
        <v>21</v>
      </c>
      <c r="D662" s="4">
        <v>0.05</v>
      </c>
      <c r="E662" s="4">
        <v>0.2</v>
      </c>
      <c r="F662" s="4">
        <v>0.3</v>
      </c>
    </row>
    <row r="663" spans="1:6" x14ac:dyDescent="0.35">
      <c r="A663">
        <v>9</v>
      </c>
      <c r="B663">
        <v>22</v>
      </c>
      <c r="D663" s="4">
        <v>0.02</v>
      </c>
      <c r="E663" s="4">
        <v>0.15</v>
      </c>
      <c r="F663" s="4">
        <v>0.25</v>
      </c>
    </row>
    <row r="664" spans="1:6" x14ac:dyDescent="0.35">
      <c r="A664">
        <v>9</v>
      </c>
      <c r="B664">
        <v>23</v>
      </c>
      <c r="D664" s="4">
        <v>0.01</v>
      </c>
      <c r="E664" s="4">
        <v>0.1</v>
      </c>
      <c r="F664" s="4">
        <v>0.15</v>
      </c>
    </row>
    <row r="665" spans="1:6" x14ac:dyDescent="0.35">
      <c r="A665">
        <v>9</v>
      </c>
      <c r="B665">
        <v>24</v>
      </c>
      <c r="D665" s="4">
        <v>1E-3</v>
      </c>
      <c r="E665" s="4">
        <v>2.5000000000000001E-2</v>
      </c>
      <c r="F665" s="4">
        <v>0.1</v>
      </c>
    </row>
    <row r="666" spans="1:6" x14ac:dyDescent="0.35">
      <c r="A666">
        <v>9</v>
      </c>
      <c r="B666">
        <v>25</v>
      </c>
      <c r="D666" s="4">
        <v>1E-3</v>
      </c>
      <c r="E666" s="4">
        <v>2.5000000000000001E-2</v>
      </c>
      <c r="F666" s="4">
        <v>0.1</v>
      </c>
    </row>
    <row r="667" spans="1:6" x14ac:dyDescent="0.35">
      <c r="A667">
        <v>9</v>
      </c>
      <c r="B667">
        <v>26</v>
      </c>
      <c r="D667" s="4">
        <v>0.1</v>
      </c>
      <c r="E667" s="4">
        <v>0.8</v>
      </c>
      <c r="F667" s="4">
        <v>0.95</v>
      </c>
    </row>
    <row r="668" spans="1:6" x14ac:dyDescent="0.35">
      <c r="A668">
        <v>9</v>
      </c>
      <c r="B668">
        <v>27</v>
      </c>
      <c r="D668" s="4">
        <v>0.05</v>
      </c>
      <c r="E668" s="4">
        <v>0.2</v>
      </c>
      <c r="F668" s="4">
        <v>0.4</v>
      </c>
    </row>
    <row r="669" spans="1:6" x14ac:dyDescent="0.35">
      <c r="A669">
        <v>9</v>
      </c>
      <c r="B669">
        <v>28</v>
      </c>
      <c r="D669" s="4">
        <v>0.05</v>
      </c>
      <c r="E669" s="4">
        <v>0.4</v>
      </c>
      <c r="F669" s="4">
        <v>0.9</v>
      </c>
    </row>
    <row r="670" spans="1:6" x14ac:dyDescent="0.35">
      <c r="A670">
        <v>9</v>
      </c>
      <c r="B670">
        <v>29</v>
      </c>
      <c r="D670" s="4">
        <v>0.05</v>
      </c>
      <c r="E670" s="4">
        <v>0.2</v>
      </c>
      <c r="F670" s="4">
        <v>0.5</v>
      </c>
    </row>
    <row r="671" spans="1:6" x14ac:dyDescent="0.35">
      <c r="A671">
        <v>9</v>
      </c>
      <c r="B671">
        <v>30</v>
      </c>
      <c r="D671" s="4">
        <v>0.05</v>
      </c>
      <c r="E671" s="4">
        <v>0.15</v>
      </c>
      <c r="F671" s="4">
        <v>0.5</v>
      </c>
    </row>
    <row r="672" spans="1:6" x14ac:dyDescent="0.35">
      <c r="A672">
        <v>9</v>
      </c>
      <c r="B672">
        <v>31</v>
      </c>
      <c r="D672" s="4">
        <v>0.02</v>
      </c>
      <c r="E672" s="4">
        <v>0.1</v>
      </c>
      <c r="F672" s="4">
        <v>0.45</v>
      </c>
    </row>
    <row r="673" spans="1:6" x14ac:dyDescent="0.35">
      <c r="A673">
        <v>9</v>
      </c>
      <c r="B673">
        <v>32</v>
      </c>
      <c r="D673" s="4">
        <v>0.02</v>
      </c>
      <c r="E673" s="4">
        <v>0.1</v>
      </c>
      <c r="F673" s="4">
        <v>0.45</v>
      </c>
    </row>
    <row r="674" spans="1:6" x14ac:dyDescent="0.35">
      <c r="A674">
        <v>9</v>
      </c>
      <c r="B674">
        <v>33</v>
      </c>
      <c r="D674" s="4">
        <v>5.0000000000000001E-3</v>
      </c>
      <c r="E674" s="4">
        <v>0.05</v>
      </c>
      <c r="F674" s="4">
        <v>0.2</v>
      </c>
    </row>
    <row r="675" spans="1:6" x14ac:dyDescent="0.35">
      <c r="A675">
        <v>9</v>
      </c>
      <c r="B675">
        <v>34</v>
      </c>
      <c r="D675" s="4">
        <v>0.15</v>
      </c>
      <c r="E675" s="4">
        <v>0.75</v>
      </c>
      <c r="F675" s="4">
        <v>0.95</v>
      </c>
    </row>
    <row r="676" spans="1:6" x14ac:dyDescent="0.35">
      <c r="A676">
        <v>9</v>
      </c>
      <c r="B676">
        <v>35</v>
      </c>
      <c r="D676" s="4">
        <v>0.05</v>
      </c>
      <c r="E676" s="4">
        <v>0.25</v>
      </c>
      <c r="F676" s="4">
        <v>0.75</v>
      </c>
    </row>
    <row r="677" spans="1:6" x14ac:dyDescent="0.35">
      <c r="A677">
        <v>9</v>
      </c>
      <c r="B677">
        <v>36</v>
      </c>
      <c r="D677" s="4">
        <v>0.15</v>
      </c>
      <c r="E677" s="4">
        <v>0.5</v>
      </c>
      <c r="F677" s="4">
        <v>0.65</v>
      </c>
    </row>
    <row r="678" spans="1:6" x14ac:dyDescent="0.35">
      <c r="A678">
        <v>9</v>
      </c>
      <c r="B678">
        <v>37</v>
      </c>
      <c r="D678" s="4">
        <v>0.1</v>
      </c>
      <c r="E678" s="4">
        <v>0.3</v>
      </c>
      <c r="F678" s="4">
        <v>0.5</v>
      </c>
    </row>
    <row r="679" spans="1:6" x14ac:dyDescent="0.35">
      <c r="A679">
        <v>9</v>
      </c>
      <c r="B679">
        <v>38</v>
      </c>
      <c r="D679" s="4">
        <v>0.05</v>
      </c>
      <c r="E679" s="4">
        <v>0.2</v>
      </c>
      <c r="F679" s="4">
        <v>0.45</v>
      </c>
    </row>
    <row r="680" spans="1:6" x14ac:dyDescent="0.35">
      <c r="A680">
        <v>9</v>
      </c>
      <c r="B680">
        <v>39</v>
      </c>
      <c r="D680" s="4">
        <v>0.2</v>
      </c>
      <c r="E680" s="4">
        <v>0.6</v>
      </c>
      <c r="F680" s="4">
        <v>0.75</v>
      </c>
    </row>
    <row r="681" spans="1:6" x14ac:dyDescent="0.35">
      <c r="A681">
        <v>9</v>
      </c>
      <c r="B681">
        <v>40</v>
      </c>
      <c r="D681" s="4">
        <v>0.15</v>
      </c>
      <c r="E681" s="4">
        <v>0.4</v>
      </c>
      <c r="F681" s="4">
        <v>0.6</v>
      </c>
    </row>
    <row r="682" spans="1:6" x14ac:dyDescent="0.35">
      <c r="A682">
        <v>9</v>
      </c>
      <c r="B682">
        <v>41</v>
      </c>
      <c r="D682" s="4">
        <v>0.1</v>
      </c>
      <c r="E682" s="4">
        <v>0.625</v>
      </c>
      <c r="F682" s="4">
        <v>0.9</v>
      </c>
    </row>
    <row r="683" spans="1:6" x14ac:dyDescent="0.35">
      <c r="A683">
        <v>9</v>
      </c>
      <c r="B683">
        <v>42</v>
      </c>
      <c r="D683" s="4">
        <v>0.02</v>
      </c>
      <c r="E683" s="4">
        <v>0.11</v>
      </c>
      <c r="F683" s="4">
        <v>0.5</v>
      </c>
    </row>
    <row r="684" spans="1:6" x14ac:dyDescent="0.35">
      <c r="A684">
        <v>9</v>
      </c>
      <c r="B684">
        <v>43</v>
      </c>
      <c r="D684" s="4">
        <v>0.05</v>
      </c>
      <c r="E684" s="4">
        <v>0.25</v>
      </c>
      <c r="F684" s="4">
        <v>0.8</v>
      </c>
    </row>
    <row r="685" spans="1:6" x14ac:dyDescent="0.35">
      <c r="A685">
        <v>9</v>
      </c>
      <c r="B685">
        <v>44</v>
      </c>
      <c r="D685" s="4">
        <v>1E-3</v>
      </c>
      <c r="E685" s="4">
        <v>0.01</v>
      </c>
      <c r="F685" s="4">
        <v>0.15</v>
      </c>
    </row>
    <row r="686" spans="1:6" x14ac:dyDescent="0.35">
      <c r="A686">
        <v>9</v>
      </c>
      <c r="B686">
        <v>45</v>
      </c>
      <c r="D686" s="4">
        <v>0.2</v>
      </c>
      <c r="E686" s="4">
        <v>0.7</v>
      </c>
      <c r="F686" s="4">
        <v>0.95</v>
      </c>
    </row>
    <row r="687" spans="1:6" x14ac:dyDescent="0.35">
      <c r="A687">
        <v>9</v>
      </c>
      <c r="B687">
        <v>46</v>
      </c>
      <c r="D687" s="4">
        <v>0.1</v>
      </c>
      <c r="E687" s="4">
        <v>0.3</v>
      </c>
      <c r="F687" s="4">
        <v>0.75</v>
      </c>
    </row>
    <row r="688" spans="1:6" x14ac:dyDescent="0.35">
      <c r="A688">
        <v>9</v>
      </c>
      <c r="B688">
        <v>47</v>
      </c>
      <c r="D688" s="4">
        <v>0.15</v>
      </c>
      <c r="E688" s="4">
        <v>0.6</v>
      </c>
      <c r="F688" s="4">
        <v>0.95</v>
      </c>
    </row>
    <row r="689" spans="1:6" x14ac:dyDescent="0.35">
      <c r="A689">
        <v>9</v>
      </c>
      <c r="B689">
        <v>48</v>
      </c>
      <c r="D689" s="4">
        <v>0.02</v>
      </c>
      <c r="E689" s="4">
        <v>0.125</v>
      </c>
      <c r="F689" s="4">
        <v>0.5</v>
      </c>
    </row>
    <row r="690" spans="1:6" x14ac:dyDescent="0.35">
      <c r="A690">
        <v>9</v>
      </c>
      <c r="B690">
        <v>49</v>
      </c>
      <c r="D690" s="4">
        <v>0.02</v>
      </c>
      <c r="E690" s="4">
        <v>0.125</v>
      </c>
      <c r="F690" s="4">
        <v>0.5</v>
      </c>
    </row>
    <row r="691" spans="1:6" x14ac:dyDescent="0.35">
      <c r="A691">
        <v>9</v>
      </c>
      <c r="B691">
        <v>50</v>
      </c>
      <c r="D691" s="4">
        <v>0.03</v>
      </c>
      <c r="E691" s="4">
        <v>0.15</v>
      </c>
      <c r="F691" s="4">
        <v>0.6</v>
      </c>
    </row>
    <row r="692" spans="1:6" x14ac:dyDescent="0.35">
      <c r="A692">
        <v>9</v>
      </c>
      <c r="B692">
        <v>51</v>
      </c>
      <c r="D692" s="4">
        <v>1E-8</v>
      </c>
      <c r="E692" s="4">
        <v>9.9999999999999995E-8</v>
      </c>
      <c r="F692" s="4">
        <v>9.9999999999999995E-7</v>
      </c>
    </row>
    <row r="693" spans="1:6" x14ac:dyDescent="0.35">
      <c r="A693">
        <v>9</v>
      </c>
      <c r="B693">
        <v>52</v>
      </c>
      <c r="D693" s="4">
        <v>0.1</v>
      </c>
      <c r="E693" s="4">
        <v>0.5</v>
      </c>
      <c r="F693" s="4">
        <v>0.9</v>
      </c>
    </row>
    <row r="694" spans="1:6" x14ac:dyDescent="0.35">
      <c r="A694">
        <v>9</v>
      </c>
      <c r="B694">
        <v>53</v>
      </c>
      <c r="D694" s="4">
        <v>0.04</v>
      </c>
      <c r="E694" s="4">
        <v>0.3</v>
      </c>
      <c r="F694" s="4">
        <v>0.7</v>
      </c>
    </row>
    <row r="695" spans="1:6" x14ac:dyDescent="0.35">
      <c r="A695">
        <v>9</v>
      </c>
      <c r="B695">
        <v>54</v>
      </c>
      <c r="D695" s="4">
        <v>0.02</v>
      </c>
      <c r="E695" s="4">
        <v>0.2</v>
      </c>
      <c r="F695" s="4">
        <v>0.55000000000000004</v>
      </c>
    </row>
    <row r="696" spans="1:6" x14ac:dyDescent="0.35">
      <c r="A696">
        <v>9</v>
      </c>
      <c r="B696">
        <v>55</v>
      </c>
      <c r="D696" s="4">
        <v>0.1</v>
      </c>
      <c r="E696" s="4">
        <v>0.75</v>
      </c>
      <c r="F696" s="4">
        <v>0.95</v>
      </c>
    </row>
    <row r="697" spans="1:6" x14ac:dyDescent="0.35">
      <c r="A697">
        <v>9</v>
      </c>
      <c r="B697">
        <v>56</v>
      </c>
      <c r="D697" s="4">
        <v>0.05</v>
      </c>
      <c r="E697" s="4">
        <v>0.25</v>
      </c>
      <c r="F697" s="4">
        <v>0.6</v>
      </c>
    </row>
    <row r="698" spans="1:6" x14ac:dyDescent="0.35">
      <c r="A698">
        <v>9</v>
      </c>
      <c r="B698">
        <v>57</v>
      </c>
      <c r="D698" s="4">
        <v>0.1</v>
      </c>
      <c r="E698" s="4">
        <v>0.69</v>
      </c>
      <c r="F698" s="4">
        <v>0.95</v>
      </c>
    </row>
    <row r="699" spans="1:6" x14ac:dyDescent="0.35">
      <c r="A699">
        <v>9</v>
      </c>
      <c r="B699">
        <v>58</v>
      </c>
      <c r="D699" s="4">
        <v>0.01</v>
      </c>
      <c r="E699" s="4">
        <v>0.08</v>
      </c>
      <c r="F699" s="4">
        <v>0.3</v>
      </c>
    </row>
    <row r="700" spans="1:6" x14ac:dyDescent="0.35">
      <c r="A700">
        <v>9</v>
      </c>
      <c r="B700">
        <v>59</v>
      </c>
      <c r="D700" s="4">
        <v>0.02</v>
      </c>
      <c r="E700" s="4">
        <v>0.15</v>
      </c>
      <c r="F700" s="4">
        <v>0.6</v>
      </c>
    </row>
    <row r="701" spans="1:6" x14ac:dyDescent="0.35">
      <c r="A701">
        <v>9</v>
      </c>
      <c r="B701">
        <v>60</v>
      </c>
      <c r="D701" s="4">
        <v>0.01</v>
      </c>
      <c r="E701" s="4">
        <v>0.08</v>
      </c>
      <c r="F701" s="4">
        <v>0.3</v>
      </c>
    </row>
    <row r="702" spans="1:6" x14ac:dyDescent="0.35">
      <c r="A702">
        <v>9</v>
      </c>
      <c r="B702">
        <v>61</v>
      </c>
      <c r="D702" s="4">
        <v>0.15</v>
      </c>
      <c r="E702" s="4">
        <v>0.7</v>
      </c>
      <c r="F702" s="4">
        <v>0.95</v>
      </c>
    </row>
    <row r="703" spans="1:6" x14ac:dyDescent="0.35">
      <c r="A703">
        <v>9</v>
      </c>
      <c r="B703">
        <v>62</v>
      </c>
      <c r="D703" s="4">
        <v>0.06</v>
      </c>
      <c r="E703" s="4">
        <v>0.3</v>
      </c>
      <c r="F703" s="4">
        <v>0.75</v>
      </c>
    </row>
    <row r="704" spans="1:6" x14ac:dyDescent="0.35">
      <c r="A704">
        <v>9</v>
      </c>
      <c r="B704">
        <v>63</v>
      </c>
      <c r="D704" s="4">
        <v>0.25</v>
      </c>
      <c r="E704" s="4">
        <v>0.8</v>
      </c>
      <c r="F704" s="4">
        <v>0.95</v>
      </c>
    </row>
    <row r="705" spans="1:6" x14ac:dyDescent="0.35">
      <c r="A705">
        <v>9</v>
      </c>
      <c r="B705">
        <v>64</v>
      </c>
      <c r="D705" s="4">
        <v>5.0000000000000001E-3</v>
      </c>
      <c r="E705" s="4">
        <v>0.06</v>
      </c>
      <c r="F705" s="4">
        <v>0.3</v>
      </c>
    </row>
    <row r="706" spans="1:6" x14ac:dyDescent="0.35">
      <c r="A706">
        <v>9</v>
      </c>
      <c r="B706">
        <v>65</v>
      </c>
      <c r="D706" s="4">
        <v>0.01</v>
      </c>
      <c r="E706" s="4">
        <v>0.08</v>
      </c>
      <c r="F706" s="4">
        <v>0.5</v>
      </c>
    </row>
    <row r="707" spans="1:6" x14ac:dyDescent="0.35">
      <c r="A707">
        <v>9</v>
      </c>
      <c r="B707">
        <v>66</v>
      </c>
      <c r="D707" s="4">
        <v>5.0000000000000001E-3</v>
      </c>
      <c r="E707" s="4">
        <v>0.06</v>
      </c>
      <c r="F707" s="4">
        <v>0.3</v>
      </c>
    </row>
    <row r="708" spans="1:6" x14ac:dyDescent="0.35">
      <c r="A708">
        <v>9</v>
      </c>
      <c r="B708">
        <v>67</v>
      </c>
      <c r="D708" s="4">
        <v>1E-8</v>
      </c>
      <c r="E708" s="4">
        <v>9.9999999999999995E-8</v>
      </c>
      <c r="F708" s="4">
        <v>9.9999999999999995E-7</v>
      </c>
    </row>
    <row r="709" spans="1:6" x14ac:dyDescent="0.35">
      <c r="A709">
        <v>9</v>
      </c>
      <c r="B709">
        <v>68</v>
      </c>
      <c r="D709" s="4">
        <v>0.05</v>
      </c>
      <c r="E709" s="4">
        <v>0.65</v>
      </c>
      <c r="F709" s="4">
        <v>0.9</v>
      </c>
    </row>
    <row r="710" spans="1:6" x14ac:dyDescent="0.35">
      <c r="A710">
        <v>9</v>
      </c>
      <c r="B710">
        <v>69</v>
      </c>
      <c r="D710" s="4">
        <v>0.1</v>
      </c>
      <c r="E710" s="4">
        <v>0.35</v>
      </c>
      <c r="F710" s="4">
        <v>0.7</v>
      </c>
    </row>
    <row r="711" spans="1:6" x14ac:dyDescent="0.35">
      <c r="A711">
        <v>9</v>
      </c>
      <c r="B711">
        <v>70</v>
      </c>
      <c r="D711" s="4">
        <v>0.1</v>
      </c>
      <c r="E711" s="4">
        <v>0.75</v>
      </c>
      <c r="F711" s="4">
        <v>0.9</v>
      </c>
    </row>
    <row r="712" spans="1:6" x14ac:dyDescent="0.35">
      <c r="A712">
        <v>9</v>
      </c>
      <c r="B712">
        <v>71</v>
      </c>
      <c r="D712" s="4">
        <v>0.01</v>
      </c>
      <c r="E712" s="4">
        <v>0.05</v>
      </c>
      <c r="F712" s="4">
        <v>0.3</v>
      </c>
    </row>
    <row r="713" spans="1:6" x14ac:dyDescent="0.35">
      <c r="A713">
        <v>9</v>
      </c>
      <c r="B713">
        <v>72</v>
      </c>
      <c r="D713" s="4">
        <v>0.02</v>
      </c>
      <c r="E713" s="4">
        <v>0.18</v>
      </c>
      <c r="F713" s="4">
        <v>0.65</v>
      </c>
    </row>
    <row r="714" spans="1:6" x14ac:dyDescent="0.35">
      <c r="A714">
        <v>9</v>
      </c>
      <c r="B714">
        <v>73</v>
      </c>
      <c r="D714" s="4">
        <v>5.0000000000000001E-4</v>
      </c>
      <c r="E714" s="4">
        <v>0.02</v>
      </c>
      <c r="F714" s="4">
        <v>0.2</v>
      </c>
    </row>
    <row r="715" spans="1:6" x14ac:dyDescent="0.35">
      <c r="A715">
        <v>9</v>
      </c>
      <c r="B715">
        <v>74</v>
      </c>
      <c r="D715" s="4">
        <v>0.05</v>
      </c>
      <c r="E715" s="4">
        <v>0.65</v>
      </c>
      <c r="F715" s="4">
        <v>0.9</v>
      </c>
    </row>
    <row r="716" spans="1:6" x14ac:dyDescent="0.35">
      <c r="A716">
        <v>9</v>
      </c>
      <c r="B716">
        <v>75</v>
      </c>
      <c r="D716" s="4">
        <v>0.03</v>
      </c>
      <c r="E716" s="4">
        <v>0.35</v>
      </c>
      <c r="F716" s="4">
        <v>0.75</v>
      </c>
    </row>
    <row r="717" spans="1:6" x14ac:dyDescent="0.35">
      <c r="A717">
        <v>9</v>
      </c>
      <c r="B717">
        <v>76</v>
      </c>
      <c r="D717" s="4">
        <v>0.1</v>
      </c>
      <c r="E717" s="4">
        <v>0.7</v>
      </c>
      <c r="F717" s="4">
        <v>0.95</v>
      </c>
    </row>
    <row r="718" spans="1:6" x14ac:dyDescent="0.35">
      <c r="A718">
        <v>9</v>
      </c>
      <c r="B718">
        <v>77</v>
      </c>
      <c r="D718" s="4">
        <v>0.01</v>
      </c>
      <c r="E718" s="4">
        <v>0.12</v>
      </c>
      <c r="F718" s="4">
        <v>0.6</v>
      </c>
    </row>
    <row r="719" spans="1:6" x14ac:dyDescent="0.35">
      <c r="A719">
        <v>9</v>
      </c>
      <c r="B719">
        <v>78</v>
      </c>
      <c r="D719" s="4">
        <v>0.01</v>
      </c>
      <c r="E719" s="4">
        <v>0.12</v>
      </c>
      <c r="F719" s="4">
        <v>0.6</v>
      </c>
    </row>
    <row r="720" spans="1:6" x14ac:dyDescent="0.35">
      <c r="A720">
        <v>9</v>
      </c>
      <c r="B720">
        <v>79</v>
      </c>
      <c r="D720" s="4">
        <v>0.02</v>
      </c>
      <c r="E720" s="4">
        <v>0.06</v>
      </c>
      <c r="F720" s="4">
        <v>0.5</v>
      </c>
    </row>
    <row r="721" spans="1:6" x14ac:dyDescent="0.35">
      <c r="A721">
        <v>9</v>
      </c>
      <c r="B721">
        <v>80</v>
      </c>
      <c r="D721" s="4">
        <v>1E-8</v>
      </c>
      <c r="E721" s="4">
        <v>9.9999999999999995E-8</v>
      </c>
      <c r="F721" s="4">
        <v>9.9999999999999995E-7</v>
      </c>
    </row>
    <row r="722" spans="1:6" x14ac:dyDescent="0.35">
      <c r="A722">
        <v>10</v>
      </c>
      <c r="B722">
        <v>1</v>
      </c>
      <c r="D722" s="4">
        <v>25000</v>
      </c>
      <c r="E722" s="4">
        <v>30000</v>
      </c>
      <c r="F722" s="4">
        <v>50000</v>
      </c>
    </row>
    <row r="723" spans="1:6" x14ac:dyDescent="0.35">
      <c r="A723">
        <v>10</v>
      </c>
      <c r="B723">
        <v>2</v>
      </c>
      <c r="D723" s="4">
        <v>70000</v>
      </c>
      <c r="E723" s="4">
        <v>80000</v>
      </c>
      <c r="F723" s="4">
        <v>90000</v>
      </c>
    </row>
    <row r="724" spans="1:6" x14ac:dyDescent="0.35">
      <c r="A724">
        <v>10</v>
      </c>
      <c r="B724">
        <v>3</v>
      </c>
      <c r="D724" s="4">
        <v>1000</v>
      </c>
      <c r="E724" s="4">
        <v>8000</v>
      </c>
      <c r="F724" s="4">
        <v>9000</v>
      </c>
    </row>
    <row r="725" spans="1:6" x14ac:dyDescent="0.35">
      <c r="A725">
        <v>10</v>
      </c>
      <c r="B725">
        <v>4</v>
      </c>
      <c r="D725" s="4">
        <v>1000</v>
      </c>
      <c r="E725" s="4">
        <v>6000</v>
      </c>
      <c r="F725" s="4">
        <v>15000</v>
      </c>
    </row>
    <row r="726" spans="1:6" x14ac:dyDescent="0.35">
      <c r="A726">
        <v>10</v>
      </c>
      <c r="B726">
        <v>5</v>
      </c>
      <c r="D726" s="4">
        <v>0.2</v>
      </c>
      <c r="E726" s="4">
        <v>0.4</v>
      </c>
      <c r="F726" s="4">
        <v>0.5</v>
      </c>
    </row>
    <row r="727" spans="1:6" x14ac:dyDescent="0.35">
      <c r="A727">
        <v>10</v>
      </c>
      <c r="B727">
        <v>6</v>
      </c>
      <c r="D727" s="4">
        <v>500</v>
      </c>
      <c r="E727" s="4">
        <v>800</v>
      </c>
      <c r="F727" s="4">
        <v>1000</v>
      </c>
    </row>
    <row r="728" spans="1:6" x14ac:dyDescent="0.35">
      <c r="A728">
        <v>10</v>
      </c>
      <c r="B728">
        <v>7</v>
      </c>
      <c r="D728" s="4">
        <v>2000</v>
      </c>
      <c r="E728" s="4">
        <v>3000</v>
      </c>
      <c r="F728" s="4">
        <v>5000</v>
      </c>
    </row>
    <row r="729" spans="1:6" x14ac:dyDescent="0.35">
      <c r="A729">
        <v>10</v>
      </c>
      <c r="B729">
        <v>8</v>
      </c>
      <c r="D729" s="4">
        <v>33</v>
      </c>
      <c r="E729" s="4">
        <v>44</v>
      </c>
      <c r="F729" s="4">
        <v>50</v>
      </c>
    </row>
    <row r="730" spans="1:6" x14ac:dyDescent="0.35">
      <c r="A730">
        <v>10</v>
      </c>
      <c r="B730">
        <v>9</v>
      </c>
      <c r="D730" s="4">
        <v>359</v>
      </c>
      <c r="E730" s="4">
        <v>718</v>
      </c>
      <c r="F730" s="4">
        <v>1077</v>
      </c>
    </row>
    <row r="731" spans="1:6" x14ac:dyDescent="0.35">
      <c r="A731">
        <v>10</v>
      </c>
      <c r="B731">
        <v>10</v>
      </c>
      <c r="D731" s="4">
        <v>0.2</v>
      </c>
      <c r="E731" s="4">
        <v>0.3</v>
      </c>
      <c r="F731" s="4">
        <v>0.6</v>
      </c>
    </row>
    <row r="732" spans="1:6" x14ac:dyDescent="0.35">
      <c r="A732">
        <v>10</v>
      </c>
      <c r="B732">
        <v>11</v>
      </c>
      <c r="D732" s="4">
        <v>0.06</v>
      </c>
      <c r="E732" s="4">
        <v>0.1</v>
      </c>
      <c r="F732" s="4">
        <v>0.2</v>
      </c>
    </row>
    <row r="733" spans="1:6" x14ac:dyDescent="0.35">
      <c r="A733">
        <v>10</v>
      </c>
      <c r="B733">
        <v>12</v>
      </c>
      <c r="D733" s="4">
        <v>0.05</v>
      </c>
      <c r="E733" s="4">
        <v>0.09</v>
      </c>
      <c r="F733" s="4">
        <v>0.33</v>
      </c>
    </row>
    <row r="734" spans="1:6" x14ac:dyDescent="0.35">
      <c r="A734">
        <v>10</v>
      </c>
      <c r="B734">
        <v>13</v>
      </c>
      <c r="D734" s="4">
        <v>0.1</v>
      </c>
      <c r="E734" s="4">
        <v>0.26</v>
      </c>
      <c r="F734" s="4">
        <v>0.32</v>
      </c>
    </row>
    <row r="735" spans="1:6" x14ac:dyDescent="0.35">
      <c r="A735">
        <v>10</v>
      </c>
      <c r="B735">
        <v>14</v>
      </c>
      <c r="D735" s="4">
        <v>0.26</v>
      </c>
      <c r="E735" s="4">
        <v>0.38</v>
      </c>
      <c r="F735" s="4">
        <v>0.6</v>
      </c>
    </row>
    <row r="736" spans="1:6" x14ac:dyDescent="0.35">
      <c r="A736">
        <v>10</v>
      </c>
      <c r="B736">
        <v>15</v>
      </c>
      <c r="D736" s="4">
        <v>9.9999999999999995E-7</v>
      </c>
      <c r="E736" s="4">
        <v>0.08</v>
      </c>
      <c r="F736" s="4">
        <v>0.2</v>
      </c>
    </row>
    <row r="737" spans="1:6" x14ac:dyDescent="0.35">
      <c r="A737">
        <v>10</v>
      </c>
      <c r="B737">
        <v>16</v>
      </c>
      <c r="D737" s="4">
        <v>9.9999999999999995E-7</v>
      </c>
      <c r="E737" s="4">
        <v>0.05</v>
      </c>
      <c r="F737" s="4">
        <v>0.17</v>
      </c>
    </row>
    <row r="738" spans="1:6" x14ac:dyDescent="0.35">
      <c r="A738">
        <v>10</v>
      </c>
      <c r="B738">
        <v>17</v>
      </c>
      <c r="D738" s="4">
        <v>9.9999999999999995E-7</v>
      </c>
      <c r="E738" s="4">
        <v>0.01</v>
      </c>
      <c r="F738" s="4">
        <v>0.05</v>
      </c>
    </row>
    <row r="739" spans="1:6" x14ac:dyDescent="0.35">
      <c r="A739">
        <v>10</v>
      </c>
      <c r="B739">
        <v>18</v>
      </c>
      <c r="D739" s="4">
        <v>9.9999999999999995E-7</v>
      </c>
      <c r="E739" s="4">
        <v>0.01</v>
      </c>
      <c r="F739" s="4">
        <v>0.03</v>
      </c>
    </row>
    <row r="740" spans="1:6" x14ac:dyDescent="0.35">
      <c r="A740">
        <v>10</v>
      </c>
      <c r="B740">
        <v>19</v>
      </c>
      <c r="D740" s="4">
        <v>0.01</v>
      </c>
      <c r="E740" s="4">
        <v>0.02</v>
      </c>
      <c r="F740" s="4">
        <v>0.1</v>
      </c>
    </row>
    <row r="741" spans="1:6" x14ac:dyDescent="0.35">
      <c r="A741">
        <v>10</v>
      </c>
      <c r="B741">
        <v>20</v>
      </c>
      <c r="D741" s="4">
        <v>0.04</v>
      </c>
      <c r="E741" s="4">
        <v>0.5</v>
      </c>
      <c r="F741" s="4">
        <v>0.96</v>
      </c>
    </row>
    <row r="742" spans="1:6" x14ac:dyDescent="0.35">
      <c r="A742">
        <v>10</v>
      </c>
      <c r="B742">
        <v>21</v>
      </c>
      <c r="D742" s="4">
        <v>0.04</v>
      </c>
      <c r="E742" s="4">
        <v>0.15</v>
      </c>
      <c r="F742" s="4">
        <v>0.8</v>
      </c>
    </row>
    <row r="743" spans="1:6" x14ac:dyDescent="0.35">
      <c r="A743">
        <v>10</v>
      </c>
      <c r="B743">
        <v>22</v>
      </c>
      <c r="D743" s="4">
        <v>0.04</v>
      </c>
      <c r="E743" s="4">
        <v>0.15</v>
      </c>
      <c r="F743" s="4">
        <v>0.7</v>
      </c>
    </row>
    <row r="744" spans="1:6" x14ac:dyDescent="0.35">
      <c r="A744">
        <v>10</v>
      </c>
      <c r="B744">
        <v>23</v>
      </c>
      <c r="D744" s="4">
        <v>0.04</v>
      </c>
      <c r="E744" s="4">
        <v>0.15</v>
      </c>
      <c r="F744" s="4">
        <v>0.6</v>
      </c>
    </row>
    <row r="745" spans="1:6" x14ac:dyDescent="0.35">
      <c r="A745">
        <v>10</v>
      </c>
      <c r="B745">
        <v>24</v>
      </c>
      <c r="D745" s="4">
        <v>0.02</v>
      </c>
      <c r="E745" s="4">
        <v>0.03</v>
      </c>
      <c r="F745" s="4">
        <v>0.5</v>
      </c>
    </row>
    <row r="746" spans="1:6" x14ac:dyDescent="0.35">
      <c r="A746">
        <v>10</v>
      </c>
      <c r="B746">
        <v>25</v>
      </c>
      <c r="D746" s="4">
        <v>0.01</v>
      </c>
      <c r="E746" s="4">
        <v>0.02</v>
      </c>
      <c r="F746" s="4">
        <v>0.3</v>
      </c>
    </row>
    <row r="747" spans="1:6" x14ac:dyDescent="0.35">
      <c r="A747">
        <v>10</v>
      </c>
      <c r="B747">
        <v>26</v>
      </c>
      <c r="D747" s="4">
        <v>0.33</v>
      </c>
      <c r="E747" s="4">
        <v>0.6</v>
      </c>
      <c r="F747" s="4">
        <v>0.99990000000000001</v>
      </c>
    </row>
    <row r="748" spans="1:6" x14ac:dyDescent="0.35">
      <c r="A748">
        <v>10</v>
      </c>
      <c r="B748">
        <v>27</v>
      </c>
      <c r="D748" s="4">
        <v>0.2</v>
      </c>
      <c r="E748" s="4">
        <v>0.4</v>
      </c>
      <c r="F748" s="4">
        <v>0.7</v>
      </c>
    </row>
    <row r="749" spans="1:6" x14ac:dyDescent="0.35">
      <c r="A749">
        <v>10</v>
      </c>
      <c r="B749">
        <v>28</v>
      </c>
      <c r="D749" s="4">
        <v>9.9999999999999995E-7</v>
      </c>
      <c r="E749" s="4">
        <v>0.45</v>
      </c>
      <c r="F749" s="4">
        <v>0.63</v>
      </c>
    </row>
    <row r="750" spans="1:6" x14ac:dyDescent="0.35">
      <c r="A750">
        <v>10</v>
      </c>
      <c r="B750">
        <v>29</v>
      </c>
      <c r="D750" s="4">
        <v>9.9999999999999995E-7</v>
      </c>
      <c r="E750" s="4">
        <v>0.15</v>
      </c>
      <c r="F750" s="4">
        <v>0.2</v>
      </c>
    </row>
    <row r="751" spans="1:6" x14ac:dyDescent="0.35">
      <c r="A751">
        <v>10</v>
      </c>
      <c r="B751">
        <v>30</v>
      </c>
      <c r="D751" s="4">
        <v>9.9999999999999995E-7</v>
      </c>
      <c r="E751" s="4">
        <v>0.15</v>
      </c>
      <c r="F751" s="4">
        <v>0.19</v>
      </c>
    </row>
    <row r="752" spans="1:6" x14ac:dyDescent="0.35">
      <c r="A752">
        <v>10</v>
      </c>
      <c r="B752">
        <v>31</v>
      </c>
      <c r="D752" s="4">
        <v>9.9999999999999995E-7</v>
      </c>
      <c r="E752" s="4">
        <v>0.16</v>
      </c>
      <c r="F752" s="4">
        <v>0.17</v>
      </c>
    </row>
    <row r="753" spans="1:6" x14ac:dyDescent="0.35">
      <c r="A753">
        <v>10</v>
      </c>
      <c r="B753">
        <v>32</v>
      </c>
      <c r="D753" s="4">
        <v>9.9999999999999995E-7</v>
      </c>
      <c r="E753" s="4">
        <v>0.05</v>
      </c>
      <c r="F753" s="4">
        <v>0.1</v>
      </c>
    </row>
    <row r="754" spans="1:6" x14ac:dyDescent="0.35">
      <c r="A754">
        <v>10</v>
      </c>
      <c r="B754">
        <v>33</v>
      </c>
      <c r="D754" s="4">
        <v>9.9999999999999995E-7</v>
      </c>
      <c r="E754" s="4">
        <v>0.04</v>
      </c>
      <c r="F754" s="4">
        <v>0.05</v>
      </c>
    </row>
    <row r="755" spans="1:6" x14ac:dyDescent="0.35">
      <c r="A755">
        <v>10</v>
      </c>
      <c r="B755">
        <v>34</v>
      </c>
      <c r="D755" s="4">
        <v>0.06</v>
      </c>
      <c r="E755" s="4">
        <v>0.6</v>
      </c>
      <c r="F755" s="4">
        <v>0.99990000000000001</v>
      </c>
    </row>
    <row r="756" spans="1:6" x14ac:dyDescent="0.35">
      <c r="A756">
        <v>10</v>
      </c>
      <c r="B756">
        <v>35</v>
      </c>
      <c r="D756" s="4">
        <v>9.9999999999999995E-7</v>
      </c>
      <c r="E756" s="4">
        <v>0.4</v>
      </c>
      <c r="F756" s="4">
        <v>0.46</v>
      </c>
    </row>
    <row r="757" spans="1:6" x14ac:dyDescent="0.35">
      <c r="A757">
        <v>10</v>
      </c>
      <c r="B757">
        <v>36</v>
      </c>
      <c r="D757" s="4">
        <v>0.12</v>
      </c>
      <c r="E757" s="4">
        <v>0.6</v>
      </c>
      <c r="F757" s="4">
        <v>0.99990000000000001</v>
      </c>
    </row>
    <row r="758" spans="1:6" x14ac:dyDescent="0.35">
      <c r="A758">
        <v>10</v>
      </c>
      <c r="B758">
        <v>37</v>
      </c>
      <c r="D758" s="4">
        <v>0.1</v>
      </c>
      <c r="E758" s="4">
        <v>0.2</v>
      </c>
      <c r="F758" s="4">
        <v>0.46</v>
      </c>
    </row>
    <row r="759" spans="1:6" x14ac:dyDescent="0.35">
      <c r="A759">
        <v>10</v>
      </c>
      <c r="B759">
        <v>38</v>
      </c>
      <c r="D759" s="4">
        <v>0.09</v>
      </c>
      <c r="E759" s="4">
        <v>0.2</v>
      </c>
      <c r="F759" s="4">
        <v>0.73</v>
      </c>
    </row>
    <row r="760" spans="1:6" x14ac:dyDescent="0.35">
      <c r="A760">
        <v>10</v>
      </c>
      <c r="B760">
        <v>39</v>
      </c>
      <c r="D760" s="4">
        <v>0.1</v>
      </c>
      <c r="E760" s="4">
        <v>0.7</v>
      </c>
      <c r="F760" s="4">
        <v>0.94</v>
      </c>
    </row>
    <row r="761" spans="1:6" x14ac:dyDescent="0.35">
      <c r="A761">
        <v>10</v>
      </c>
      <c r="B761">
        <v>40</v>
      </c>
      <c r="D761" s="4">
        <v>9.9999999999999995E-7</v>
      </c>
      <c r="E761" s="4">
        <v>0.3</v>
      </c>
      <c r="F761" s="4">
        <v>0.73</v>
      </c>
    </row>
    <row r="762" spans="1:6" x14ac:dyDescent="0.35">
      <c r="A762">
        <v>10</v>
      </c>
      <c r="B762">
        <v>41</v>
      </c>
      <c r="D762" s="4">
        <v>0.1</v>
      </c>
      <c r="E762" s="4">
        <v>0.7</v>
      </c>
      <c r="F762" s="4">
        <v>0.94</v>
      </c>
    </row>
    <row r="763" spans="1:6" x14ac:dyDescent="0.35">
      <c r="A763">
        <v>10</v>
      </c>
      <c r="B763">
        <v>42</v>
      </c>
      <c r="D763" s="4">
        <v>9.9999999999999995E-7</v>
      </c>
      <c r="E763" s="4">
        <v>0.1</v>
      </c>
      <c r="F763" s="4">
        <v>0.52</v>
      </c>
    </row>
    <row r="764" spans="1:6" x14ac:dyDescent="0.35">
      <c r="A764">
        <v>10</v>
      </c>
      <c r="B764">
        <v>43</v>
      </c>
      <c r="D764" s="4">
        <v>0.04</v>
      </c>
      <c r="E764" s="4">
        <v>0.2</v>
      </c>
      <c r="F764" s="4">
        <v>0.46</v>
      </c>
    </row>
    <row r="765" spans="1:6" x14ac:dyDescent="0.35">
      <c r="A765">
        <v>10</v>
      </c>
      <c r="B765">
        <v>44</v>
      </c>
      <c r="D765" s="4">
        <v>9.9999999999999995E-7</v>
      </c>
      <c r="E765" s="4">
        <v>1E-4</v>
      </c>
      <c r="F765" s="4">
        <v>0.01</v>
      </c>
    </row>
    <row r="766" spans="1:6" x14ac:dyDescent="0.35">
      <c r="A766">
        <v>10</v>
      </c>
      <c r="B766">
        <v>45</v>
      </c>
      <c r="D766" s="4">
        <v>9.9999999999999995E-7</v>
      </c>
      <c r="E766" s="4">
        <v>0.75</v>
      </c>
      <c r="F766" s="4">
        <v>0.8</v>
      </c>
    </row>
    <row r="767" spans="1:6" x14ac:dyDescent="0.35">
      <c r="A767">
        <v>10</v>
      </c>
      <c r="B767">
        <v>46</v>
      </c>
      <c r="D767" s="4">
        <v>0.02</v>
      </c>
      <c r="E767" s="4">
        <v>0.25</v>
      </c>
      <c r="F767" s="4">
        <v>0.7</v>
      </c>
    </row>
    <row r="768" spans="1:6" x14ac:dyDescent="0.35">
      <c r="A768">
        <v>10</v>
      </c>
      <c r="B768">
        <v>47</v>
      </c>
      <c r="D768" s="4">
        <v>9.9999999999999995E-7</v>
      </c>
      <c r="E768" s="4">
        <v>0.8</v>
      </c>
      <c r="F768" s="4">
        <v>0.99990000000000001</v>
      </c>
    </row>
    <row r="769" spans="1:6" x14ac:dyDescent="0.35">
      <c r="A769">
        <v>10</v>
      </c>
      <c r="B769">
        <v>48</v>
      </c>
      <c r="D769" s="4">
        <v>1.6E-2</v>
      </c>
      <c r="E769" s="4">
        <v>7.0000000000000007E-2</v>
      </c>
      <c r="F769" s="4">
        <v>0.1</v>
      </c>
    </row>
    <row r="770" spans="1:6" x14ac:dyDescent="0.35">
      <c r="A770">
        <v>10</v>
      </c>
      <c r="B770">
        <v>49</v>
      </c>
      <c r="D770" s="4">
        <v>9.9999999999999995E-7</v>
      </c>
      <c r="E770" s="4">
        <v>0.06</v>
      </c>
      <c r="F770" s="4">
        <v>7.0000000000000007E-2</v>
      </c>
    </row>
    <row r="771" spans="1:6" x14ac:dyDescent="0.35">
      <c r="A771">
        <v>10</v>
      </c>
      <c r="B771">
        <v>50</v>
      </c>
      <c r="D771" s="4">
        <v>9.9999999999999995E-7</v>
      </c>
      <c r="E771" s="4">
        <v>0.05</v>
      </c>
      <c r="F771" s="4">
        <v>0.06</v>
      </c>
    </row>
    <row r="772" spans="1:6" x14ac:dyDescent="0.35">
      <c r="A772">
        <v>10</v>
      </c>
      <c r="B772">
        <v>51</v>
      </c>
      <c r="D772" s="4">
        <v>9.9999999999999995E-7</v>
      </c>
      <c r="E772" s="4">
        <v>0.02</v>
      </c>
      <c r="F772" s="4">
        <v>0.03</v>
      </c>
    </row>
    <row r="773" spans="1:6" x14ac:dyDescent="0.35">
      <c r="A773">
        <v>10</v>
      </c>
      <c r="B773">
        <v>52</v>
      </c>
      <c r="D773" s="4">
        <v>0.22</v>
      </c>
      <c r="E773" s="4">
        <v>0.6</v>
      </c>
      <c r="F773" s="4">
        <v>0.99990000000000001</v>
      </c>
    </row>
    <row r="774" spans="1:6" x14ac:dyDescent="0.35">
      <c r="A774">
        <v>10</v>
      </c>
      <c r="B774">
        <v>53</v>
      </c>
      <c r="D774" s="4">
        <v>0.12</v>
      </c>
      <c r="E774" s="4">
        <v>0.18</v>
      </c>
      <c r="F774" s="4">
        <v>0.72</v>
      </c>
    </row>
    <row r="775" spans="1:6" x14ac:dyDescent="0.35">
      <c r="A775">
        <v>10</v>
      </c>
      <c r="B775">
        <v>54</v>
      </c>
      <c r="D775" s="4">
        <v>1.2E-2</v>
      </c>
      <c r="E775" s="4">
        <v>0.22</v>
      </c>
      <c r="F775" s="4">
        <v>0.7</v>
      </c>
    </row>
    <row r="776" spans="1:6" x14ac:dyDescent="0.35">
      <c r="A776">
        <v>10</v>
      </c>
      <c r="B776">
        <v>55</v>
      </c>
      <c r="D776" s="4">
        <v>0.1</v>
      </c>
      <c r="E776" s="4">
        <v>0.6</v>
      </c>
      <c r="F776" s="4">
        <v>0.77</v>
      </c>
    </row>
    <row r="777" spans="1:6" x14ac:dyDescent="0.35">
      <c r="A777">
        <v>10</v>
      </c>
      <c r="B777">
        <v>56</v>
      </c>
      <c r="D777" s="4">
        <v>1.2E-2</v>
      </c>
      <c r="E777" s="4">
        <v>0.4</v>
      </c>
      <c r="F777" s="4">
        <v>0.75</v>
      </c>
    </row>
    <row r="778" spans="1:6" x14ac:dyDescent="0.35">
      <c r="A778">
        <v>10</v>
      </c>
      <c r="B778">
        <v>57</v>
      </c>
      <c r="D778" s="4">
        <v>0.1</v>
      </c>
      <c r="E778" s="4">
        <v>0.62</v>
      </c>
      <c r="F778" s="4">
        <v>0.99990000000000001</v>
      </c>
    </row>
    <row r="779" spans="1:6" x14ac:dyDescent="0.35">
      <c r="A779">
        <v>10</v>
      </c>
      <c r="B779">
        <v>58</v>
      </c>
      <c r="D779" s="4">
        <v>1E-8</v>
      </c>
      <c r="E779" s="4">
        <v>0.1</v>
      </c>
      <c r="F779" s="4">
        <v>0.72</v>
      </c>
    </row>
    <row r="780" spans="1:6" x14ac:dyDescent="0.35">
      <c r="A780">
        <v>10</v>
      </c>
      <c r="B780">
        <v>59</v>
      </c>
      <c r="D780" s="4">
        <v>0.01</v>
      </c>
      <c r="E780" s="4">
        <v>0.28000000000000003</v>
      </c>
      <c r="F780" s="4">
        <v>0.73</v>
      </c>
    </row>
    <row r="781" spans="1:6" x14ac:dyDescent="0.35">
      <c r="A781">
        <v>10</v>
      </c>
      <c r="B781">
        <v>60</v>
      </c>
      <c r="D781" s="4">
        <v>1E-8</v>
      </c>
      <c r="E781" s="4">
        <v>1E-4</v>
      </c>
      <c r="F781" s="4">
        <v>0.01</v>
      </c>
    </row>
    <row r="782" spans="1:6" x14ac:dyDescent="0.35">
      <c r="A782">
        <v>10</v>
      </c>
      <c r="B782">
        <v>61</v>
      </c>
      <c r="D782" s="4">
        <v>0.1</v>
      </c>
      <c r="E782" s="4">
        <v>0.75</v>
      </c>
      <c r="F782" s="4">
        <v>0.99990000000000001</v>
      </c>
    </row>
    <row r="783" spans="1:6" x14ac:dyDescent="0.35">
      <c r="A783">
        <v>10</v>
      </c>
      <c r="B783">
        <v>62</v>
      </c>
      <c r="D783" s="4">
        <v>0.1</v>
      </c>
      <c r="E783" s="4">
        <v>0.25</v>
      </c>
      <c r="F783" s="4">
        <v>0.77</v>
      </c>
    </row>
    <row r="784" spans="1:6" x14ac:dyDescent="0.35">
      <c r="A784">
        <v>10</v>
      </c>
      <c r="B784">
        <v>63</v>
      </c>
      <c r="D784" s="4">
        <v>0.48</v>
      </c>
      <c r="E784" s="4">
        <v>0.85</v>
      </c>
      <c r="F784" s="4">
        <v>0.99990000000000001</v>
      </c>
    </row>
    <row r="785" spans="1:6" x14ac:dyDescent="0.35">
      <c r="A785">
        <v>10</v>
      </c>
      <c r="B785">
        <v>64</v>
      </c>
      <c r="D785" s="4">
        <v>0.01</v>
      </c>
      <c r="E785" s="4">
        <v>7.0000000000000007E-2</v>
      </c>
      <c r="F785" s="4">
        <v>0.1</v>
      </c>
    </row>
    <row r="786" spans="1:6" x14ac:dyDescent="0.35">
      <c r="A786">
        <v>10</v>
      </c>
      <c r="B786">
        <v>65</v>
      </c>
      <c r="D786" s="4">
        <v>9.9999999999999995E-7</v>
      </c>
      <c r="E786" s="4">
        <v>0.05</v>
      </c>
      <c r="F786" s="4">
        <v>0.06</v>
      </c>
    </row>
    <row r="787" spans="1:6" x14ac:dyDescent="0.35">
      <c r="A787">
        <v>10</v>
      </c>
      <c r="B787">
        <v>66</v>
      </c>
      <c r="D787" s="4">
        <v>9.9999999999999995E-7</v>
      </c>
      <c r="E787" s="4">
        <v>0.01</v>
      </c>
      <c r="F787" s="4">
        <v>0.05</v>
      </c>
    </row>
    <row r="788" spans="1:6" x14ac:dyDescent="0.35">
      <c r="A788">
        <v>10</v>
      </c>
      <c r="B788">
        <v>67</v>
      </c>
      <c r="D788" s="4">
        <v>9.9999999999999995E-7</v>
      </c>
      <c r="E788" s="4">
        <v>0.02</v>
      </c>
      <c r="F788" s="4">
        <v>0.04</v>
      </c>
    </row>
    <row r="789" spans="1:6" x14ac:dyDescent="0.35">
      <c r="A789">
        <v>10</v>
      </c>
      <c r="B789">
        <v>68</v>
      </c>
      <c r="D789" s="4">
        <v>0.1</v>
      </c>
      <c r="E789" s="4">
        <v>0.65</v>
      </c>
      <c r="F789" s="4">
        <v>0.8</v>
      </c>
    </row>
    <row r="790" spans="1:6" x14ac:dyDescent="0.35">
      <c r="A790">
        <v>10</v>
      </c>
      <c r="B790">
        <v>69</v>
      </c>
      <c r="D790" s="4">
        <v>0.03</v>
      </c>
      <c r="E790" s="4">
        <v>0.35</v>
      </c>
      <c r="F790" s="4">
        <v>0.66</v>
      </c>
    </row>
    <row r="791" spans="1:6" x14ac:dyDescent="0.35">
      <c r="A791">
        <v>10</v>
      </c>
      <c r="B791">
        <v>70</v>
      </c>
      <c r="D791" s="4">
        <v>0.15</v>
      </c>
      <c r="E791" s="4">
        <v>0.6</v>
      </c>
      <c r="F791" s="4">
        <v>0.8</v>
      </c>
    </row>
    <row r="792" spans="1:6" x14ac:dyDescent="0.35">
      <c r="A792">
        <v>10</v>
      </c>
      <c r="B792">
        <v>71</v>
      </c>
      <c r="D792" s="4">
        <v>0.1</v>
      </c>
      <c r="E792" s="4">
        <v>0.15</v>
      </c>
      <c r="F792" s="4">
        <v>0.66</v>
      </c>
    </row>
    <row r="793" spans="1:6" x14ac:dyDescent="0.35">
      <c r="A793">
        <v>10</v>
      </c>
      <c r="B793">
        <v>72</v>
      </c>
      <c r="D793" s="4">
        <v>0.06</v>
      </c>
      <c r="E793" s="4">
        <v>0.24</v>
      </c>
      <c r="F793" s="4">
        <v>0.52</v>
      </c>
    </row>
    <row r="794" spans="1:6" x14ac:dyDescent="0.35">
      <c r="A794">
        <v>10</v>
      </c>
      <c r="B794">
        <v>73</v>
      </c>
      <c r="D794" s="4">
        <v>1E-8</v>
      </c>
      <c r="E794" s="4">
        <v>0.01</v>
      </c>
      <c r="F794" s="4">
        <v>0.03</v>
      </c>
    </row>
    <row r="795" spans="1:6" x14ac:dyDescent="0.35">
      <c r="A795">
        <v>10</v>
      </c>
      <c r="B795">
        <v>74</v>
      </c>
      <c r="D795" s="4">
        <v>0.1</v>
      </c>
      <c r="E795" s="4">
        <v>0.75</v>
      </c>
      <c r="F795" s="4">
        <v>0.8</v>
      </c>
    </row>
    <row r="796" spans="1:6" x14ac:dyDescent="0.35">
      <c r="A796">
        <v>10</v>
      </c>
      <c r="B796">
        <v>75</v>
      </c>
      <c r="D796" s="4">
        <v>7.0000000000000007E-2</v>
      </c>
      <c r="E796" s="4">
        <v>0.25</v>
      </c>
      <c r="F796" s="4">
        <v>0.33</v>
      </c>
    </row>
    <row r="797" spans="1:6" x14ac:dyDescent="0.35">
      <c r="A797">
        <v>10</v>
      </c>
      <c r="B797">
        <v>76</v>
      </c>
      <c r="D797" s="4">
        <v>0.1</v>
      </c>
      <c r="E797" s="4">
        <v>0.78</v>
      </c>
      <c r="F797" s="4">
        <v>0.8</v>
      </c>
    </row>
    <row r="798" spans="1:6" x14ac:dyDescent="0.35">
      <c r="A798">
        <v>10</v>
      </c>
      <c r="B798">
        <v>77</v>
      </c>
      <c r="D798" s="4">
        <v>7.0000000000000007E-2</v>
      </c>
      <c r="E798" s="4">
        <v>0.1</v>
      </c>
      <c r="F798" s="4">
        <v>0.33</v>
      </c>
    </row>
    <row r="799" spans="1:6" x14ac:dyDescent="0.35">
      <c r="A799">
        <v>10</v>
      </c>
      <c r="B799">
        <v>78</v>
      </c>
      <c r="D799" s="4">
        <v>0.05</v>
      </c>
      <c r="E799" s="4">
        <v>7.0000000000000007E-2</v>
      </c>
      <c r="F799" s="4">
        <v>0.32</v>
      </c>
    </row>
    <row r="800" spans="1:6" x14ac:dyDescent="0.35">
      <c r="A800">
        <v>10</v>
      </c>
      <c r="B800">
        <v>79</v>
      </c>
      <c r="D800" s="4">
        <v>9.9999999999999995E-7</v>
      </c>
      <c r="E800" s="4">
        <v>0.03</v>
      </c>
      <c r="F800" s="4">
        <v>0.1</v>
      </c>
    </row>
    <row r="801" spans="1:6" x14ac:dyDescent="0.35">
      <c r="A801">
        <v>10</v>
      </c>
      <c r="B801">
        <v>80</v>
      </c>
      <c r="D801" s="4">
        <v>9.9999999999999995E-7</v>
      </c>
      <c r="E801" s="4">
        <v>0.02</v>
      </c>
      <c r="F801" s="4">
        <v>0.06</v>
      </c>
    </row>
    <row r="802" spans="1:6" x14ac:dyDescent="0.35">
      <c r="A802">
        <v>11</v>
      </c>
      <c r="B802">
        <v>1</v>
      </c>
      <c r="D802" s="4">
        <v>3000</v>
      </c>
      <c r="E802" s="4">
        <v>8000</v>
      </c>
      <c r="F802" s="4">
        <v>13000</v>
      </c>
    </row>
    <row r="803" spans="1:6" x14ac:dyDescent="0.35">
      <c r="A803">
        <v>11</v>
      </c>
      <c r="B803">
        <v>2</v>
      </c>
      <c r="D803" s="4">
        <v>4000</v>
      </c>
      <c r="E803" s="4">
        <v>6000</v>
      </c>
      <c r="F803" s="4">
        <v>8000</v>
      </c>
    </row>
    <row r="804" spans="1:6" x14ac:dyDescent="0.35">
      <c r="A804">
        <v>11</v>
      </c>
      <c r="B804">
        <v>3</v>
      </c>
      <c r="D804" s="4">
        <v>1000</v>
      </c>
      <c r="E804" s="4">
        <v>3000</v>
      </c>
      <c r="F804" s="4">
        <v>5000</v>
      </c>
    </row>
    <row r="805" spans="1:6" x14ac:dyDescent="0.35">
      <c r="A805">
        <v>11</v>
      </c>
      <c r="B805">
        <v>4</v>
      </c>
      <c r="D805" s="4">
        <v>100</v>
      </c>
      <c r="E805" s="4">
        <v>200</v>
      </c>
      <c r="F805" s="4">
        <v>300</v>
      </c>
    </row>
    <row r="806" spans="1:6" x14ac:dyDescent="0.35">
      <c r="A806">
        <v>11</v>
      </c>
      <c r="B806">
        <v>5</v>
      </c>
      <c r="D806" s="4">
        <v>0.1</v>
      </c>
      <c r="E806" s="4">
        <v>0.15</v>
      </c>
      <c r="F806" s="4">
        <v>0.2</v>
      </c>
    </row>
    <row r="807" spans="1:6" x14ac:dyDescent="0.35">
      <c r="A807">
        <v>11</v>
      </c>
      <c r="B807">
        <v>6</v>
      </c>
      <c r="D807" s="4">
        <v>1000</v>
      </c>
      <c r="E807" s="4">
        <v>2000</v>
      </c>
      <c r="F807" s="4">
        <v>3000</v>
      </c>
    </row>
    <row r="808" spans="1:6" x14ac:dyDescent="0.35">
      <c r="A808">
        <v>11</v>
      </c>
      <c r="B808">
        <v>7</v>
      </c>
      <c r="D808" s="4">
        <v>100</v>
      </c>
      <c r="E808" s="4">
        <v>300</v>
      </c>
      <c r="F808" s="4">
        <v>500</v>
      </c>
    </row>
    <row r="809" spans="1:6" x14ac:dyDescent="0.35">
      <c r="A809">
        <v>11</v>
      </c>
      <c r="B809">
        <v>8</v>
      </c>
      <c r="D809" s="4">
        <v>10</v>
      </c>
      <c r="E809" s="4">
        <v>20</v>
      </c>
      <c r="F809" s="4">
        <v>30</v>
      </c>
    </row>
    <row r="810" spans="1:6" x14ac:dyDescent="0.35">
      <c r="A810">
        <v>11</v>
      </c>
      <c r="B810">
        <v>9</v>
      </c>
      <c r="D810" s="4">
        <v>300</v>
      </c>
      <c r="E810" s="4">
        <v>350</v>
      </c>
      <c r="F810" s="4">
        <v>400</v>
      </c>
    </row>
    <row r="811" spans="1:6" x14ac:dyDescent="0.35">
      <c r="A811">
        <v>11</v>
      </c>
      <c r="B811">
        <v>10</v>
      </c>
      <c r="D811" s="4">
        <v>0.04</v>
      </c>
      <c r="E811" s="4">
        <v>7.0000000000000007E-2</v>
      </c>
      <c r="F811" s="4">
        <v>0.1</v>
      </c>
    </row>
    <row r="812" spans="1:6" x14ac:dyDescent="0.35">
      <c r="A812">
        <v>11</v>
      </c>
      <c r="B812">
        <v>11</v>
      </c>
      <c r="D812" s="4">
        <v>0.4</v>
      </c>
      <c r="E812" s="4">
        <v>0.45</v>
      </c>
      <c r="F812" s="4">
        <v>0.5</v>
      </c>
    </row>
    <row r="813" spans="1:6" x14ac:dyDescent="0.35">
      <c r="A813">
        <v>11</v>
      </c>
      <c r="B813">
        <v>12</v>
      </c>
      <c r="D813" s="4">
        <v>0.13</v>
      </c>
      <c r="E813" s="4">
        <v>0.15</v>
      </c>
      <c r="F813" s="4">
        <v>0.17</v>
      </c>
    </row>
    <row r="814" spans="1:6" x14ac:dyDescent="0.35">
      <c r="A814">
        <v>11</v>
      </c>
      <c r="B814">
        <v>13</v>
      </c>
      <c r="D814" s="4">
        <v>0.08</v>
      </c>
      <c r="E814" s="4">
        <v>0.1</v>
      </c>
      <c r="F814" s="4">
        <v>0.12</v>
      </c>
    </row>
    <row r="815" spans="1:6" x14ac:dyDescent="0.35">
      <c r="A815">
        <v>11</v>
      </c>
      <c r="B815">
        <v>14</v>
      </c>
      <c r="D815" s="4">
        <v>0.08</v>
      </c>
      <c r="E815" s="4">
        <v>0.1</v>
      </c>
      <c r="F815" s="4">
        <v>0.12</v>
      </c>
    </row>
    <row r="816" spans="1:6" x14ac:dyDescent="0.35">
      <c r="A816">
        <v>11</v>
      </c>
      <c r="B816">
        <v>15</v>
      </c>
      <c r="D816" s="4">
        <v>0.1</v>
      </c>
      <c r="E816" s="4">
        <v>0.15</v>
      </c>
      <c r="F816" s="4">
        <v>0.2</v>
      </c>
    </row>
    <row r="817" spans="1:6" x14ac:dyDescent="0.35">
      <c r="A817">
        <v>11</v>
      </c>
      <c r="B817">
        <v>16</v>
      </c>
      <c r="D817" s="4">
        <v>0.03</v>
      </c>
      <c r="E817" s="4">
        <v>0.05</v>
      </c>
      <c r="F817" s="4">
        <v>0.08</v>
      </c>
    </row>
    <row r="818" spans="1:6" x14ac:dyDescent="0.35">
      <c r="A818">
        <v>11</v>
      </c>
      <c r="B818">
        <v>17</v>
      </c>
      <c r="D818" s="4">
        <v>1.0000000000000001E-5</v>
      </c>
      <c r="E818" s="4">
        <v>1E-4</v>
      </c>
      <c r="F818" s="4">
        <v>1E-3</v>
      </c>
    </row>
    <row r="819" spans="1:6" x14ac:dyDescent="0.35">
      <c r="A819">
        <v>11</v>
      </c>
      <c r="B819">
        <v>18</v>
      </c>
      <c r="D819" s="4">
        <v>1E-8</v>
      </c>
      <c r="E819" s="4">
        <v>9.9999999999999995E-8</v>
      </c>
      <c r="F819" s="4">
        <v>1E-3</v>
      </c>
    </row>
    <row r="820" spans="1:6" x14ac:dyDescent="0.35">
      <c r="A820">
        <v>11</v>
      </c>
      <c r="B820">
        <v>19</v>
      </c>
      <c r="D820" s="4">
        <v>9.9999999999999995E-7</v>
      </c>
      <c r="E820" s="4">
        <v>1.0000000000000001E-5</v>
      </c>
      <c r="F820" s="4">
        <v>1E-4</v>
      </c>
    </row>
    <row r="821" spans="1:6" x14ac:dyDescent="0.35">
      <c r="A821">
        <v>11</v>
      </c>
      <c r="B821">
        <v>20</v>
      </c>
      <c r="D821" s="4">
        <v>0.45</v>
      </c>
      <c r="E821" s="4">
        <v>0.5</v>
      </c>
      <c r="F821" s="4">
        <v>0.55000000000000004</v>
      </c>
    </row>
    <row r="822" spans="1:6" x14ac:dyDescent="0.35">
      <c r="A822">
        <v>11</v>
      </c>
      <c r="B822">
        <v>21</v>
      </c>
      <c r="D822" s="4">
        <v>0.3</v>
      </c>
      <c r="E822" s="4">
        <v>0.35</v>
      </c>
      <c r="F822" s="4">
        <v>0.4</v>
      </c>
    </row>
    <row r="823" spans="1:6" x14ac:dyDescent="0.35">
      <c r="A823">
        <v>11</v>
      </c>
      <c r="B823">
        <v>22</v>
      </c>
      <c r="D823" s="4">
        <v>0.05</v>
      </c>
      <c r="E823" s="4">
        <v>0.1</v>
      </c>
      <c r="F823" s="4">
        <v>0.15</v>
      </c>
    </row>
    <row r="824" spans="1:6" x14ac:dyDescent="0.35">
      <c r="A824">
        <v>11</v>
      </c>
      <c r="B824">
        <v>23</v>
      </c>
      <c r="D824" s="4">
        <v>0.01</v>
      </c>
      <c r="E824" s="4">
        <v>0.03</v>
      </c>
      <c r="F824" s="4">
        <v>0.05</v>
      </c>
    </row>
    <row r="825" spans="1:6" x14ac:dyDescent="0.35">
      <c r="A825">
        <v>11</v>
      </c>
      <c r="B825">
        <v>24</v>
      </c>
      <c r="D825" s="4">
        <v>0.01</v>
      </c>
      <c r="E825" s="4">
        <v>0.02</v>
      </c>
      <c r="F825" s="4">
        <v>0.03</v>
      </c>
    </row>
    <row r="826" spans="1:6" x14ac:dyDescent="0.35">
      <c r="A826">
        <v>11</v>
      </c>
      <c r="B826">
        <v>25</v>
      </c>
      <c r="D826" s="4">
        <v>9.9999999999999995E-7</v>
      </c>
      <c r="E826" s="4">
        <v>1.0000000000000001E-5</v>
      </c>
      <c r="F826" s="4">
        <v>1E-4</v>
      </c>
    </row>
    <row r="827" spans="1:6" x14ac:dyDescent="0.35">
      <c r="A827">
        <v>11</v>
      </c>
      <c r="B827">
        <v>26</v>
      </c>
      <c r="D827" s="4">
        <v>0.3</v>
      </c>
      <c r="E827" s="4">
        <v>0.6</v>
      </c>
      <c r="F827" s="4">
        <v>0.9</v>
      </c>
    </row>
    <row r="828" spans="1:6" x14ac:dyDescent="0.35">
      <c r="A828">
        <v>11</v>
      </c>
      <c r="B828">
        <v>27</v>
      </c>
      <c r="D828" s="4">
        <v>0.2</v>
      </c>
      <c r="E828" s="4">
        <v>0.4</v>
      </c>
      <c r="F828" s="4">
        <v>0.6</v>
      </c>
    </row>
    <row r="829" spans="1:6" x14ac:dyDescent="0.35">
      <c r="A829">
        <v>11</v>
      </c>
      <c r="B829">
        <v>28</v>
      </c>
      <c r="D829" s="4">
        <v>0.15</v>
      </c>
      <c r="E829" s="4">
        <v>0.45</v>
      </c>
      <c r="F829" s="4">
        <v>0.6</v>
      </c>
    </row>
    <row r="830" spans="1:6" x14ac:dyDescent="0.35">
      <c r="A830">
        <v>11</v>
      </c>
      <c r="B830">
        <v>29</v>
      </c>
      <c r="D830" s="4">
        <v>0.1</v>
      </c>
      <c r="E830" s="4">
        <v>0.3</v>
      </c>
      <c r="F830" s="4">
        <v>0.5</v>
      </c>
    </row>
    <row r="831" spans="1:6" x14ac:dyDescent="0.35">
      <c r="A831">
        <v>11</v>
      </c>
      <c r="B831">
        <v>30</v>
      </c>
      <c r="D831" s="4">
        <v>0.08</v>
      </c>
      <c r="E831" s="4">
        <v>0.12</v>
      </c>
      <c r="F831" s="4">
        <v>0.16</v>
      </c>
    </row>
    <row r="832" spans="1:6" x14ac:dyDescent="0.35">
      <c r="A832">
        <v>11</v>
      </c>
      <c r="B832">
        <v>31</v>
      </c>
      <c r="D832" s="4">
        <v>0.05</v>
      </c>
      <c r="E832" s="4">
        <v>0.1</v>
      </c>
      <c r="F832" s="4">
        <v>0.15</v>
      </c>
    </row>
    <row r="833" spans="1:6" x14ac:dyDescent="0.35">
      <c r="A833">
        <v>11</v>
      </c>
      <c r="B833">
        <v>32</v>
      </c>
      <c r="D833" s="4">
        <v>0.01</v>
      </c>
      <c r="E833" s="4">
        <v>0.03</v>
      </c>
      <c r="F833" s="4">
        <v>0.05</v>
      </c>
    </row>
    <row r="834" spans="1:6" x14ac:dyDescent="0.35">
      <c r="A834">
        <v>11</v>
      </c>
      <c r="B834">
        <v>33</v>
      </c>
      <c r="D834" s="4">
        <v>1.0000000000000001E-5</v>
      </c>
      <c r="E834" s="4">
        <v>1E-4</v>
      </c>
      <c r="F834" s="4">
        <v>1E-3</v>
      </c>
    </row>
    <row r="835" spans="1:6" x14ac:dyDescent="0.35">
      <c r="A835">
        <v>11</v>
      </c>
      <c r="B835">
        <v>34</v>
      </c>
      <c r="D835" s="4">
        <v>0.75</v>
      </c>
      <c r="E835" s="4">
        <v>0.8</v>
      </c>
      <c r="F835" s="4">
        <v>0.85</v>
      </c>
    </row>
    <row r="836" spans="1:6" x14ac:dyDescent="0.35">
      <c r="A836">
        <v>11</v>
      </c>
      <c r="B836">
        <v>35</v>
      </c>
      <c r="D836" s="4">
        <v>0.15</v>
      </c>
      <c r="E836" s="4">
        <v>0.2</v>
      </c>
      <c r="F836" s="4">
        <v>0.25</v>
      </c>
    </row>
    <row r="837" spans="1:6" x14ac:dyDescent="0.35">
      <c r="A837">
        <v>11</v>
      </c>
      <c r="B837">
        <v>36</v>
      </c>
      <c r="D837" s="4">
        <v>0.25</v>
      </c>
      <c r="E837" s="4">
        <v>0.35</v>
      </c>
      <c r="F837" s="4">
        <v>0.45</v>
      </c>
    </row>
    <row r="838" spans="1:6" x14ac:dyDescent="0.35">
      <c r="A838">
        <v>11</v>
      </c>
      <c r="B838">
        <v>37</v>
      </c>
      <c r="D838" s="4">
        <v>0.2</v>
      </c>
      <c r="E838" s="4">
        <v>0.4</v>
      </c>
      <c r="F838" s="4">
        <v>0.6</v>
      </c>
    </row>
    <row r="839" spans="1:6" x14ac:dyDescent="0.35">
      <c r="A839">
        <v>11</v>
      </c>
      <c r="B839">
        <v>38</v>
      </c>
      <c r="D839" s="4">
        <v>0.15</v>
      </c>
      <c r="E839" s="4">
        <v>0.25</v>
      </c>
      <c r="F839" s="4">
        <v>0.35</v>
      </c>
    </row>
    <row r="840" spans="1:6" x14ac:dyDescent="0.35">
      <c r="A840">
        <v>11</v>
      </c>
      <c r="B840">
        <v>39</v>
      </c>
      <c r="D840" s="4">
        <v>0.3</v>
      </c>
      <c r="E840" s="4">
        <v>0.6</v>
      </c>
      <c r="F840" s="4">
        <v>0.9</v>
      </c>
    </row>
    <row r="841" spans="1:6" x14ac:dyDescent="0.35">
      <c r="A841">
        <v>11</v>
      </c>
      <c r="B841">
        <v>40</v>
      </c>
      <c r="D841" s="4">
        <v>0.25</v>
      </c>
      <c r="E841" s="4">
        <v>0.4</v>
      </c>
      <c r="F841" s="4">
        <v>0.55000000000000004</v>
      </c>
    </row>
    <row r="842" spans="1:6" x14ac:dyDescent="0.35">
      <c r="A842">
        <v>11</v>
      </c>
      <c r="B842">
        <v>41</v>
      </c>
      <c r="D842" s="4">
        <v>0.2</v>
      </c>
      <c r="E842" s="4">
        <v>0.4</v>
      </c>
      <c r="F842" s="4">
        <v>0.6</v>
      </c>
    </row>
    <row r="843" spans="1:6" x14ac:dyDescent="0.35">
      <c r="A843">
        <v>11</v>
      </c>
      <c r="B843">
        <v>42</v>
      </c>
      <c r="D843" s="4">
        <v>0.01</v>
      </c>
      <c r="E843" s="4">
        <v>0.05</v>
      </c>
      <c r="F843" s="4">
        <v>0.1</v>
      </c>
    </row>
    <row r="844" spans="1:6" x14ac:dyDescent="0.35">
      <c r="A844">
        <v>11</v>
      </c>
      <c r="B844">
        <v>43</v>
      </c>
      <c r="D844" s="4">
        <v>0.1</v>
      </c>
      <c r="E844" s="4">
        <v>0.3</v>
      </c>
      <c r="F844" s="4">
        <v>0.5</v>
      </c>
    </row>
    <row r="845" spans="1:6" x14ac:dyDescent="0.35">
      <c r="A845">
        <v>11</v>
      </c>
      <c r="B845">
        <v>44</v>
      </c>
      <c r="D845" s="4">
        <v>0.1</v>
      </c>
      <c r="E845" s="4">
        <v>0.25</v>
      </c>
      <c r="F845" s="4">
        <v>0.4</v>
      </c>
    </row>
    <row r="846" spans="1:6" x14ac:dyDescent="0.35">
      <c r="A846">
        <v>11</v>
      </c>
      <c r="B846">
        <v>45</v>
      </c>
      <c r="D846" s="4">
        <v>0.55000000000000004</v>
      </c>
      <c r="E846" s="4">
        <v>0.6</v>
      </c>
      <c r="F846" s="4">
        <v>0.65</v>
      </c>
    </row>
    <row r="847" spans="1:6" x14ac:dyDescent="0.35">
      <c r="A847">
        <v>11</v>
      </c>
      <c r="B847">
        <v>46</v>
      </c>
      <c r="D847" s="4">
        <v>0.35</v>
      </c>
      <c r="E847" s="4">
        <v>0.4</v>
      </c>
      <c r="F847" s="4">
        <v>0.45</v>
      </c>
    </row>
    <row r="848" spans="1:6" x14ac:dyDescent="0.35">
      <c r="A848">
        <v>11</v>
      </c>
      <c r="B848">
        <v>47</v>
      </c>
      <c r="D848" s="4">
        <v>0.4</v>
      </c>
      <c r="E848" s="4">
        <v>0.5</v>
      </c>
      <c r="F848" s="4">
        <v>0.6</v>
      </c>
    </row>
    <row r="849" spans="1:6" x14ac:dyDescent="0.35">
      <c r="A849">
        <v>11</v>
      </c>
      <c r="B849">
        <v>48</v>
      </c>
      <c r="D849" s="4">
        <v>0.2</v>
      </c>
      <c r="E849" s="4">
        <v>0.25</v>
      </c>
      <c r="F849" s="4">
        <v>0.3</v>
      </c>
    </row>
    <row r="850" spans="1:6" x14ac:dyDescent="0.35">
      <c r="A850">
        <v>11</v>
      </c>
      <c r="B850">
        <v>49</v>
      </c>
      <c r="D850" s="4">
        <v>0.1</v>
      </c>
      <c r="E850" s="4">
        <v>0.15</v>
      </c>
      <c r="F850" s="4">
        <v>0.2</v>
      </c>
    </row>
    <row r="851" spans="1:6" x14ac:dyDescent="0.35">
      <c r="A851">
        <v>11</v>
      </c>
      <c r="B851">
        <v>50</v>
      </c>
      <c r="D851" s="4">
        <v>0.05</v>
      </c>
      <c r="E851" s="4">
        <v>0.1</v>
      </c>
      <c r="F851" s="4">
        <v>0.15</v>
      </c>
    </row>
    <row r="852" spans="1:6" x14ac:dyDescent="0.35">
      <c r="A852">
        <v>11</v>
      </c>
      <c r="B852">
        <v>51</v>
      </c>
      <c r="D852" s="4">
        <v>1.0000000000000001E-5</v>
      </c>
      <c r="E852" s="4">
        <v>1E-4</v>
      </c>
      <c r="F852" s="4">
        <v>1E-3</v>
      </c>
    </row>
    <row r="853" spans="1:6" x14ac:dyDescent="0.35">
      <c r="A853">
        <v>11</v>
      </c>
      <c r="B853">
        <v>52</v>
      </c>
      <c r="D853" s="4">
        <v>0.2</v>
      </c>
      <c r="E853" s="4">
        <v>0.3</v>
      </c>
      <c r="F853" s="4">
        <v>0.4</v>
      </c>
    </row>
    <row r="854" spans="1:6" x14ac:dyDescent="0.35">
      <c r="A854">
        <v>11</v>
      </c>
      <c r="B854">
        <v>53</v>
      </c>
      <c r="D854" s="4">
        <v>0.55000000000000004</v>
      </c>
      <c r="E854" s="4">
        <v>0.6</v>
      </c>
      <c r="F854" s="4">
        <v>0.65</v>
      </c>
    </row>
    <row r="855" spans="1:6" x14ac:dyDescent="0.35">
      <c r="A855">
        <v>11</v>
      </c>
      <c r="B855">
        <v>54</v>
      </c>
      <c r="D855" s="4">
        <v>0.05</v>
      </c>
      <c r="E855" s="4">
        <v>0.1</v>
      </c>
      <c r="F855" s="4">
        <v>0.15</v>
      </c>
    </row>
    <row r="856" spans="1:6" x14ac:dyDescent="0.35">
      <c r="A856">
        <v>11</v>
      </c>
      <c r="B856">
        <v>55</v>
      </c>
      <c r="D856" s="4">
        <v>0.3</v>
      </c>
      <c r="E856" s="4">
        <v>0.4</v>
      </c>
      <c r="F856" s="4">
        <v>0.5</v>
      </c>
    </row>
    <row r="857" spans="1:6" x14ac:dyDescent="0.35">
      <c r="A857">
        <v>11</v>
      </c>
      <c r="B857">
        <v>56</v>
      </c>
      <c r="D857" s="4">
        <v>0.5</v>
      </c>
      <c r="E857" s="4">
        <v>0.6</v>
      </c>
      <c r="F857" s="4">
        <v>0.7</v>
      </c>
    </row>
    <row r="858" spans="1:6" x14ac:dyDescent="0.35">
      <c r="A858">
        <v>11</v>
      </c>
      <c r="B858">
        <v>57</v>
      </c>
      <c r="D858" s="4">
        <v>0.35</v>
      </c>
      <c r="E858" s="4">
        <v>0.4</v>
      </c>
      <c r="F858" s="4">
        <v>0.45</v>
      </c>
    </row>
    <row r="859" spans="1:6" x14ac:dyDescent="0.35">
      <c r="A859">
        <v>11</v>
      </c>
      <c r="B859">
        <v>58</v>
      </c>
      <c r="D859" s="4">
        <v>0.06</v>
      </c>
      <c r="E859" s="4">
        <v>0.08</v>
      </c>
      <c r="F859" s="4">
        <v>0.1</v>
      </c>
    </row>
    <row r="860" spans="1:6" x14ac:dyDescent="0.35">
      <c r="A860">
        <v>11</v>
      </c>
      <c r="B860">
        <v>59</v>
      </c>
      <c r="D860" s="4">
        <v>0.25</v>
      </c>
      <c r="E860" s="4">
        <v>0.3</v>
      </c>
      <c r="F860" s="4">
        <v>0.35</v>
      </c>
    </row>
    <row r="861" spans="1:6" x14ac:dyDescent="0.35">
      <c r="A861">
        <v>11</v>
      </c>
      <c r="B861">
        <v>60</v>
      </c>
      <c r="D861" s="4">
        <v>0.15</v>
      </c>
      <c r="E861" s="4">
        <v>0.22</v>
      </c>
      <c r="F861" s="4">
        <v>0.28999999999999998</v>
      </c>
    </row>
    <row r="862" spans="1:6" x14ac:dyDescent="0.35">
      <c r="A862">
        <v>11</v>
      </c>
      <c r="B862">
        <v>61</v>
      </c>
      <c r="D862" s="4">
        <v>0.85</v>
      </c>
      <c r="E862" s="4">
        <v>0.9</v>
      </c>
      <c r="F862" s="4">
        <v>0.95</v>
      </c>
    </row>
    <row r="863" spans="1:6" x14ac:dyDescent="0.35">
      <c r="A863">
        <v>11</v>
      </c>
      <c r="B863">
        <v>62</v>
      </c>
      <c r="D863" s="4">
        <v>0.05</v>
      </c>
      <c r="E863" s="4">
        <v>0.1</v>
      </c>
      <c r="F863" s="4">
        <v>0.15</v>
      </c>
    </row>
    <row r="864" spans="1:6" x14ac:dyDescent="0.35">
      <c r="A864">
        <v>11</v>
      </c>
      <c r="B864">
        <v>63</v>
      </c>
      <c r="D864" s="4">
        <v>0.5</v>
      </c>
      <c r="E864" s="4">
        <v>0.6</v>
      </c>
      <c r="F864" s="4">
        <v>0.7</v>
      </c>
    </row>
    <row r="865" spans="1:6" x14ac:dyDescent="0.35">
      <c r="A865">
        <v>11</v>
      </c>
      <c r="B865">
        <v>64</v>
      </c>
      <c r="D865" s="4">
        <v>0.15</v>
      </c>
      <c r="E865" s="4">
        <v>0.2</v>
      </c>
      <c r="F865" s="4">
        <v>0.25</v>
      </c>
    </row>
    <row r="866" spans="1:6" x14ac:dyDescent="0.35">
      <c r="A866">
        <v>11</v>
      </c>
      <c r="B866">
        <v>65</v>
      </c>
      <c r="D866" s="4">
        <v>0.05</v>
      </c>
      <c r="E866" s="4">
        <v>0.1</v>
      </c>
      <c r="F866" s="4">
        <v>0.15</v>
      </c>
    </row>
    <row r="867" spans="1:6" x14ac:dyDescent="0.35">
      <c r="A867">
        <v>11</v>
      </c>
      <c r="B867">
        <v>66</v>
      </c>
      <c r="D867" s="4">
        <v>0.05</v>
      </c>
      <c r="E867" s="4">
        <v>0.1</v>
      </c>
      <c r="F867" s="4">
        <v>0.15</v>
      </c>
    </row>
    <row r="868" spans="1:6" x14ac:dyDescent="0.35">
      <c r="A868">
        <v>11</v>
      </c>
      <c r="B868">
        <v>67</v>
      </c>
      <c r="D868" s="4">
        <v>1.0000000000000001E-5</v>
      </c>
      <c r="E868" s="4">
        <v>1E-4</v>
      </c>
      <c r="F868" s="4">
        <v>1E-3</v>
      </c>
    </row>
    <row r="869" spans="1:6" x14ac:dyDescent="0.35">
      <c r="A869">
        <v>11</v>
      </c>
      <c r="B869">
        <v>68</v>
      </c>
      <c r="D869" s="4">
        <v>0.6</v>
      </c>
      <c r="E869" s="4">
        <v>0.65</v>
      </c>
      <c r="F869" s="4">
        <v>0.7</v>
      </c>
    </row>
    <row r="870" spans="1:6" x14ac:dyDescent="0.35">
      <c r="A870">
        <v>11</v>
      </c>
      <c r="B870">
        <v>69</v>
      </c>
      <c r="D870" s="4">
        <v>0.3</v>
      </c>
      <c r="E870" s="4">
        <v>0.35</v>
      </c>
      <c r="F870" s="4">
        <v>0.4</v>
      </c>
    </row>
    <row r="871" spans="1:6" x14ac:dyDescent="0.35">
      <c r="A871">
        <v>11</v>
      </c>
      <c r="B871">
        <v>70</v>
      </c>
      <c r="D871" s="4">
        <v>0.5</v>
      </c>
      <c r="E871" s="4">
        <v>0.55000000000000004</v>
      </c>
      <c r="F871" s="4">
        <v>0.6</v>
      </c>
    </row>
    <row r="872" spans="1:6" x14ac:dyDescent="0.35">
      <c r="A872">
        <v>11</v>
      </c>
      <c r="B872">
        <v>71</v>
      </c>
      <c r="D872" s="4">
        <v>0.03</v>
      </c>
      <c r="E872" s="4">
        <v>0.05</v>
      </c>
      <c r="F872" s="4">
        <v>0.08</v>
      </c>
    </row>
    <row r="873" spans="1:6" x14ac:dyDescent="0.35">
      <c r="A873">
        <v>11</v>
      </c>
      <c r="B873">
        <v>72</v>
      </c>
      <c r="D873" s="4">
        <v>0.2</v>
      </c>
      <c r="E873" s="4">
        <v>0.3</v>
      </c>
      <c r="F873" s="4">
        <v>0.4</v>
      </c>
    </row>
    <row r="874" spans="1:6" x14ac:dyDescent="0.35">
      <c r="A874">
        <v>11</v>
      </c>
      <c r="B874">
        <v>73</v>
      </c>
      <c r="D874" s="4">
        <v>0.05</v>
      </c>
      <c r="E874" s="4">
        <v>0.1</v>
      </c>
      <c r="F874" s="4">
        <v>0.15</v>
      </c>
    </row>
    <row r="875" spans="1:6" x14ac:dyDescent="0.35">
      <c r="A875">
        <v>11</v>
      </c>
      <c r="B875">
        <v>74</v>
      </c>
      <c r="D875" s="4">
        <v>0.75</v>
      </c>
      <c r="E875" s="4">
        <v>0.8</v>
      </c>
      <c r="F875" s="4">
        <v>0.85</v>
      </c>
    </row>
    <row r="876" spans="1:6" x14ac:dyDescent="0.35">
      <c r="A876">
        <v>11</v>
      </c>
      <c r="B876">
        <v>75</v>
      </c>
      <c r="D876" s="4">
        <v>0.1</v>
      </c>
      <c r="E876" s="4">
        <v>0.2</v>
      </c>
      <c r="F876" s="4">
        <v>0.3</v>
      </c>
    </row>
    <row r="877" spans="1:6" x14ac:dyDescent="0.35">
      <c r="A877">
        <v>11</v>
      </c>
      <c r="B877">
        <v>76</v>
      </c>
      <c r="D877" s="4">
        <v>0.45</v>
      </c>
      <c r="E877" s="4">
        <v>0.5</v>
      </c>
      <c r="F877" s="4">
        <v>0.55000000000000004</v>
      </c>
    </row>
    <row r="878" spans="1:6" x14ac:dyDescent="0.35">
      <c r="A878">
        <v>11</v>
      </c>
      <c r="B878">
        <v>77</v>
      </c>
      <c r="D878" s="4">
        <v>0.25</v>
      </c>
      <c r="E878" s="4">
        <v>0.3</v>
      </c>
      <c r="F878" s="4">
        <v>0.35</v>
      </c>
    </row>
    <row r="879" spans="1:6" x14ac:dyDescent="0.35">
      <c r="A879">
        <v>11</v>
      </c>
      <c r="B879">
        <v>78</v>
      </c>
      <c r="D879" s="4">
        <v>0.05</v>
      </c>
      <c r="E879" s="4">
        <v>0.1</v>
      </c>
      <c r="F879" s="4">
        <v>0.15</v>
      </c>
    </row>
    <row r="880" spans="1:6" x14ac:dyDescent="0.35">
      <c r="A880">
        <v>11</v>
      </c>
      <c r="B880">
        <v>79</v>
      </c>
      <c r="D880" s="4">
        <v>0.05</v>
      </c>
      <c r="E880" s="4">
        <v>0.1</v>
      </c>
      <c r="F880" s="4">
        <v>0.15</v>
      </c>
    </row>
    <row r="881" spans="1:6" x14ac:dyDescent="0.35">
      <c r="A881">
        <v>11</v>
      </c>
      <c r="B881">
        <v>80</v>
      </c>
      <c r="D881" s="4">
        <v>1.0000000000000001E-5</v>
      </c>
      <c r="E881" s="4">
        <v>1E-4</v>
      </c>
      <c r="F881" s="4">
        <v>1E-3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1"/>
  <dimension ref="A1:H41"/>
  <sheetViews>
    <sheetView workbookViewId="0"/>
  </sheetViews>
  <sheetFormatPr defaultRowHeight="14.5" x14ac:dyDescent="0.35"/>
  <sheetData>
    <row r="1" spans="1:8" x14ac:dyDescent="0.35">
      <c r="A1" t="s">
        <v>118</v>
      </c>
      <c r="H1" t="s">
        <v>58</v>
      </c>
    </row>
    <row r="2" spans="1:8" x14ac:dyDescent="0.35">
      <c r="A2">
        <v>1</v>
      </c>
      <c r="B2">
        <v>1</v>
      </c>
      <c r="C2" t="s">
        <v>110</v>
      </c>
      <c r="D2" s="4">
        <v>10</v>
      </c>
      <c r="E2" s="4">
        <v>50</v>
      </c>
      <c r="F2" s="4">
        <v>500</v>
      </c>
      <c r="H2" s="4">
        <v>3.67</v>
      </c>
    </row>
    <row r="3" spans="1:8" x14ac:dyDescent="0.35">
      <c r="A3">
        <v>1</v>
      </c>
      <c r="B3">
        <v>2</v>
      </c>
      <c r="C3" t="s">
        <v>111</v>
      </c>
      <c r="D3" s="4">
        <v>20</v>
      </c>
      <c r="E3" s="4">
        <v>50</v>
      </c>
      <c r="F3" s="4">
        <v>100</v>
      </c>
      <c r="H3" s="4">
        <v>5.26</v>
      </c>
    </row>
    <row r="4" spans="1:8" x14ac:dyDescent="0.35">
      <c r="A4">
        <v>1</v>
      </c>
      <c r="B4">
        <v>3</v>
      </c>
      <c r="C4" t="s">
        <v>112</v>
      </c>
      <c r="D4" s="4">
        <v>2</v>
      </c>
      <c r="E4" s="4">
        <v>5</v>
      </c>
      <c r="F4" s="4">
        <v>10</v>
      </c>
      <c r="H4" s="4">
        <v>5.67E-2</v>
      </c>
    </row>
    <row r="5" spans="1:8" x14ac:dyDescent="0.35">
      <c r="A5">
        <v>1</v>
      </c>
      <c r="B5">
        <v>4</v>
      </c>
      <c r="C5" t="s">
        <v>113</v>
      </c>
      <c r="D5" s="4">
        <v>10000</v>
      </c>
      <c r="E5" s="4">
        <v>25000</v>
      </c>
      <c r="F5" s="4">
        <v>40000</v>
      </c>
      <c r="H5" s="4">
        <v>10840</v>
      </c>
    </row>
    <row r="6" spans="1:8" x14ac:dyDescent="0.35">
      <c r="A6">
        <v>1</v>
      </c>
      <c r="B6">
        <v>5</v>
      </c>
      <c r="C6" t="s">
        <v>114</v>
      </c>
      <c r="D6" s="4">
        <v>30000000</v>
      </c>
      <c r="E6" s="4">
        <v>45000000</v>
      </c>
      <c r="F6" s="4">
        <v>60000000</v>
      </c>
      <c r="H6" s="4">
        <v>2699000</v>
      </c>
    </row>
    <row r="7" spans="1:8" x14ac:dyDescent="0.35">
      <c r="A7">
        <v>1</v>
      </c>
      <c r="B7">
        <v>6</v>
      </c>
      <c r="C7" t="s">
        <v>115</v>
      </c>
      <c r="D7" s="4">
        <v>12</v>
      </c>
      <c r="E7" s="4">
        <v>26</v>
      </c>
      <c r="F7" s="4">
        <v>52</v>
      </c>
      <c r="H7" s="4">
        <v>52</v>
      </c>
    </row>
    <row r="8" spans="1:8" x14ac:dyDescent="0.35">
      <c r="A8">
        <v>1</v>
      </c>
      <c r="B8">
        <v>7</v>
      </c>
      <c r="C8" t="s">
        <v>116</v>
      </c>
      <c r="D8" s="4">
        <v>0.2</v>
      </c>
      <c r="E8" s="4">
        <v>2</v>
      </c>
      <c r="F8" s="4">
        <v>5</v>
      </c>
      <c r="H8" s="4">
        <v>5.4</v>
      </c>
    </row>
    <row r="9" spans="1:8" x14ac:dyDescent="0.35">
      <c r="A9">
        <v>1</v>
      </c>
      <c r="B9">
        <v>8</v>
      </c>
      <c r="C9" t="s">
        <v>117</v>
      </c>
      <c r="D9" s="4">
        <v>9.9999999999999995E-7</v>
      </c>
      <c r="E9" s="4">
        <v>5.0000000000000004E-6</v>
      </c>
      <c r="F9" s="4">
        <v>1E-4</v>
      </c>
      <c r="H9" s="4">
        <v>1.9999999999999999E-6</v>
      </c>
    </row>
    <row r="10" spans="1:8" x14ac:dyDescent="0.35">
      <c r="A10">
        <v>2</v>
      </c>
      <c r="B10">
        <v>1</v>
      </c>
      <c r="C10" t="s">
        <v>110</v>
      </c>
      <c r="D10" s="4">
        <v>5</v>
      </c>
      <c r="E10" s="4">
        <v>500</v>
      </c>
      <c r="F10" s="4">
        <v>5000</v>
      </c>
    </row>
    <row r="11" spans="1:8" x14ac:dyDescent="0.35">
      <c r="A11">
        <v>2</v>
      </c>
      <c r="B11">
        <v>2</v>
      </c>
      <c r="C11" t="s">
        <v>111</v>
      </c>
      <c r="D11" s="4">
        <v>5</v>
      </c>
      <c r="E11" s="4">
        <v>20</v>
      </c>
      <c r="F11" s="4">
        <v>200</v>
      </c>
    </row>
    <row r="12" spans="1:8" x14ac:dyDescent="0.35">
      <c r="A12">
        <v>2</v>
      </c>
      <c r="B12">
        <v>3</v>
      </c>
      <c r="C12" t="s">
        <v>112</v>
      </c>
      <c r="D12" s="4">
        <v>0.01</v>
      </c>
      <c r="E12" s="4">
        <v>1</v>
      </c>
      <c r="F12" s="4">
        <v>100</v>
      </c>
    </row>
    <row r="13" spans="1:8" x14ac:dyDescent="0.35">
      <c r="A13">
        <v>2</v>
      </c>
      <c r="B13">
        <v>4</v>
      </c>
      <c r="C13" t="s">
        <v>113</v>
      </c>
      <c r="D13" s="4">
        <v>4000</v>
      </c>
      <c r="E13" s="4">
        <v>8000</v>
      </c>
      <c r="F13" s="4">
        <v>20000</v>
      </c>
    </row>
    <row r="14" spans="1:8" x14ac:dyDescent="0.35">
      <c r="A14">
        <v>2</v>
      </c>
      <c r="B14">
        <v>5</v>
      </c>
      <c r="C14" t="s">
        <v>114</v>
      </c>
      <c r="D14" s="4">
        <v>300000</v>
      </c>
      <c r="E14" s="4">
        <v>1000000</v>
      </c>
      <c r="F14" s="4">
        <v>1800000</v>
      </c>
    </row>
    <row r="15" spans="1:8" x14ac:dyDescent="0.35">
      <c r="A15">
        <v>2</v>
      </c>
      <c r="B15">
        <v>6</v>
      </c>
      <c r="C15" t="s">
        <v>115</v>
      </c>
      <c r="D15" s="4">
        <v>11</v>
      </c>
      <c r="E15" s="4">
        <v>80</v>
      </c>
      <c r="F15" s="4">
        <v>500</v>
      </c>
    </row>
    <row r="16" spans="1:8" x14ac:dyDescent="0.35">
      <c r="A16">
        <v>2</v>
      </c>
      <c r="B16">
        <v>7</v>
      </c>
      <c r="C16" t="s">
        <v>116</v>
      </c>
      <c r="D16" s="4">
        <v>0.01</v>
      </c>
      <c r="E16" s="4">
        <v>3.5714299999999997E-2</v>
      </c>
      <c r="F16" s="4">
        <v>0.1</v>
      </c>
    </row>
    <row r="17" spans="1:6" x14ac:dyDescent="0.35">
      <c r="A17">
        <v>2</v>
      </c>
      <c r="B17">
        <v>8</v>
      </c>
      <c r="C17" t="s">
        <v>117</v>
      </c>
      <c r="D17" s="4">
        <v>5.0000000000000002E-5</v>
      </c>
      <c r="E17" s="4">
        <v>2.5000000000000001E-4</v>
      </c>
      <c r="F17" s="4">
        <v>1E-3</v>
      </c>
    </row>
    <row r="18" spans="1:6" x14ac:dyDescent="0.35">
      <c r="A18">
        <v>3</v>
      </c>
      <c r="B18">
        <v>1</v>
      </c>
      <c r="C18" t="s">
        <v>110</v>
      </c>
      <c r="D18" s="4">
        <v>15</v>
      </c>
      <c r="E18" s="4">
        <v>35</v>
      </c>
      <c r="F18" s="4">
        <v>75</v>
      </c>
    </row>
    <row r="19" spans="1:6" x14ac:dyDescent="0.35">
      <c r="A19">
        <v>3</v>
      </c>
      <c r="B19">
        <v>2</v>
      </c>
      <c r="C19" t="s">
        <v>111</v>
      </c>
      <c r="D19" s="4">
        <v>10</v>
      </c>
      <c r="E19" s="4">
        <v>25</v>
      </c>
      <c r="F19" s="4">
        <v>60</v>
      </c>
    </row>
    <row r="20" spans="1:6" x14ac:dyDescent="0.35">
      <c r="A20">
        <v>3</v>
      </c>
      <c r="B20">
        <v>3</v>
      </c>
      <c r="C20" t="s">
        <v>112</v>
      </c>
      <c r="D20" s="4">
        <v>3.0000000000000001E-3</v>
      </c>
      <c r="E20" s="4">
        <v>0.02</v>
      </c>
      <c r="F20" s="4">
        <v>0.06</v>
      </c>
    </row>
    <row r="21" spans="1:6" x14ac:dyDescent="0.35">
      <c r="A21">
        <v>3</v>
      </c>
      <c r="B21">
        <v>4</v>
      </c>
      <c r="C21" t="s">
        <v>113</v>
      </c>
      <c r="D21" s="4">
        <v>9000</v>
      </c>
      <c r="E21" s="4">
        <v>10000</v>
      </c>
      <c r="F21" s="4">
        <v>15000</v>
      </c>
    </row>
    <row r="22" spans="1:6" x14ac:dyDescent="0.35">
      <c r="A22">
        <v>3</v>
      </c>
      <c r="B22">
        <v>5</v>
      </c>
      <c r="C22" t="s">
        <v>114</v>
      </c>
      <c r="D22" s="4">
        <v>2500000</v>
      </c>
      <c r="E22" s="4">
        <v>4200000</v>
      </c>
      <c r="F22" s="4">
        <v>7500000</v>
      </c>
    </row>
    <row r="23" spans="1:6" x14ac:dyDescent="0.35">
      <c r="A23">
        <v>3</v>
      </c>
      <c r="B23">
        <v>6</v>
      </c>
      <c r="C23" t="s">
        <v>115</v>
      </c>
      <c r="D23" s="4">
        <v>50</v>
      </c>
      <c r="E23" s="4">
        <v>300</v>
      </c>
      <c r="F23" s="4">
        <v>500</v>
      </c>
    </row>
    <row r="24" spans="1:6" x14ac:dyDescent="0.35">
      <c r="A24">
        <v>3</v>
      </c>
      <c r="B24">
        <v>7</v>
      </c>
      <c r="C24" t="s">
        <v>116</v>
      </c>
      <c r="D24" s="4">
        <v>0.1</v>
      </c>
      <c r="E24" s="4">
        <v>0.5</v>
      </c>
      <c r="F24" s="4">
        <v>0.8</v>
      </c>
    </row>
    <row r="25" spans="1:6" x14ac:dyDescent="0.35">
      <c r="A25">
        <v>3</v>
      </c>
      <c r="B25">
        <v>8</v>
      </c>
      <c r="C25" t="s">
        <v>117</v>
      </c>
      <c r="D25" s="4">
        <v>9.9999999999999995E-7</v>
      </c>
      <c r="E25" s="4">
        <v>1E-4</v>
      </c>
      <c r="F25" s="4">
        <v>1E-3</v>
      </c>
    </row>
    <row r="26" spans="1:6" x14ac:dyDescent="0.35">
      <c r="A26">
        <v>4</v>
      </c>
      <c r="B26">
        <v>1</v>
      </c>
      <c r="C26" t="s">
        <v>110</v>
      </c>
      <c r="D26" s="4">
        <v>2.5</v>
      </c>
      <c r="E26" s="4">
        <v>25</v>
      </c>
      <c r="F26" s="4">
        <v>250</v>
      </c>
    </row>
    <row r="27" spans="1:6" x14ac:dyDescent="0.35">
      <c r="A27">
        <v>4</v>
      </c>
      <c r="B27">
        <v>2</v>
      </c>
      <c r="C27" t="s">
        <v>111</v>
      </c>
      <c r="D27" s="4">
        <v>1</v>
      </c>
      <c r="E27" s="4">
        <v>10</v>
      </c>
      <c r="F27" s="4">
        <v>100</v>
      </c>
    </row>
    <row r="28" spans="1:6" x14ac:dyDescent="0.35">
      <c r="A28">
        <v>4</v>
      </c>
      <c r="B28">
        <v>3</v>
      </c>
      <c r="C28" t="s">
        <v>112</v>
      </c>
      <c r="D28" s="4">
        <v>2.5000000000000001E-3</v>
      </c>
      <c r="E28" s="4">
        <v>2.5000000000000001E-2</v>
      </c>
      <c r="F28" s="4">
        <v>0.25</v>
      </c>
    </row>
    <row r="29" spans="1:6" x14ac:dyDescent="0.35">
      <c r="A29">
        <v>4</v>
      </c>
      <c r="B29">
        <v>4</v>
      </c>
      <c r="C29" t="s">
        <v>113</v>
      </c>
      <c r="D29" s="4">
        <v>7500</v>
      </c>
      <c r="E29" s="4">
        <v>15000</v>
      </c>
      <c r="F29" s="4">
        <v>20000</v>
      </c>
    </row>
    <row r="30" spans="1:6" x14ac:dyDescent="0.35">
      <c r="A30">
        <v>4</v>
      </c>
      <c r="B30">
        <v>5</v>
      </c>
      <c r="C30" t="s">
        <v>114</v>
      </c>
      <c r="D30" s="4">
        <v>1000000</v>
      </c>
      <c r="E30" s="4">
        <v>2500000</v>
      </c>
      <c r="F30" s="4">
        <v>5000000</v>
      </c>
    </row>
    <row r="31" spans="1:6" x14ac:dyDescent="0.35">
      <c r="A31">
        <v>4</v>
      </c>
      <c r="B31">
        <v>6</v>
      </c>
      <c r="C31" t="s">
        <v>115</v>
      </c>
      <c r="D31" s="4">
        <v>10</v>
      </c>
      <c r="E31" s="4">
        <v>100</v>
      </c>
      <c r="F31" s="4">
        <v>1000</v>
      </c>
    </row>
    <row r="32" spans="1:6" x14ac:dyDescent="0.35">
      <c r="A32">
        <v>4</v>
      </c>
      <c r="B32">
        <v>7</v>
      </c>
      <c r="C32" t="s">
        <v>116</v>
      </c>
      <c r="D32" s="4">
        <v>2.5000000000000001E-2</v>
      </c>
      <c r="E32" s="4">
        <v>0.1</v>
      </c>
      <c r="F32" s="4">
        <v>0.25</v>
      </c>
    </row>
    <row r="33" spans="1:6" x14ac:dyDescent="0.35">
      <c r="A33">
        <v>4</v>
      </c>
      <c r="B33">
        <v>8</v>
      </c>
      <c r="C33" t="s">
        <v>117</v>
      </c>
      <c r="D33" s="4">
        <v>9.9999999999999995E-8</v>
      </c>
      <c r="E33" s="4">
        <v>9.9999999999999995E-7</v>
      </c>
      <c r="F33" s="4">
        <v>1.0000000000000001E-5</v>
      </c>
    </row>
    <row r="34" spans="1:6" x14ac:dyDescent="0.35">
      <c r="A34">
        <v>5</v>
      </c>
      <c r="B34">
        <v>1</v>
      </c>
      <c r="C34" t="s">
        <v>110</v>
      </c>
      <c r="D34" s="4">
        <v>45</v>
      </c>
      <c r="E34" s="4">
        <v>133</v>
      </c>
      <c r="F34" s="4">
        <v>1000</v>
      </c>
    </row>
    <row r="35" spans="1:6" x14ac:dyDescent="0.35">
      <c r="A35">
        <v>5</v>
      </c>
      <c r="B35">
        <v>2</v>
      </c>
      <c r="C35" t="s">
        <v>111</v>
      </c>
      <c r="D35" s="4">
        <v>2</v>
      </c>
      <c r="E35" s="4">
        <v>10</v>
      </c>
      <c r="F35" s="4">
        <v>100</v>
      </c>
    </row>
    <row r="36" spans="1:6" x14ac:dyDescent="0.35">
      <c r="A36">
        <v>5</v>
      </c>
      <c r="B36">
        <v>3</v>
      </c>
      <c r="C36" t="s">
        <v>112</v>
      </c>
      <c r="D36" s="4">
        <v>4.4000000000000002E-4</v>
      </c>
      <c r="E36" s="4">
        <v>4.4000000000000003E-3</v>
      </c>
      <c r="F36" s="4">
        <v>4.3999999999999997E-2</v>
      </c>
    </row>
    <row r="37" spans="1:6" x14ac:dyDescent="0.35">
      <c r="A37">
        <v>5</v>
      </c>
      <c r="B37">
        <v>4</v>
      </c>
      <c r="C37" t="s">
        <v>113</v>
      </c>
      <c r="D37" s="4">
        <v>12500</v>
      </c>
      <c r="E37" s="4">
        <v>15000</v>
      </c>
      <c r="F37" s="4">
        <v>17500</v>
      </c>
    </row>
    <row r="38" spans="1:6" x14ac:dyDescent="0.35">
      <c r="A38">
        <v>5</v>
      </c>
      <c r="B38">
        <v>5</v>
      </c>
      <c r="C38" t="s">
        <v>114</v>
      </c>
      <c r="D38" s="4">
        <v>5000000</v>
      </c>
      <c r="E38" s="4">
        <v>8075000</v>
      </c>
      <c r="F38" s="4">
        <v>12000000</v>
      </c>
    </row>
    <row r="39" spans="1:6" x14ac:dyDescent="0.35">
      <c r="A39">
        <v>5</v>
      </c>
      <c r="B39">
        <v>6</v>
      </c>
      <c r="C39" t="s">
        <v>115</v>
      </c>
      <c r="D39" s="4">
        <v>40</v>
      </c>
      <c r="E39" s="4">
        <v>80</v>
      </c>
      <c r="F39" s="4">
        <v>120</v>
      </c>
    </row>
    <row r="40" spans="1:6" x14ac:dyDescent="0.35">
      <c r="A40">
        <v>5</v>
      </c>
      <c r="B40">
        <v>7</v>
      </c>
      <c r="C40" t="s">
        <v>116</v>
      </c>
      <c r="D40" s="4">
        <v>1E-3</v>
      </c>
      <c r="E40" s="4">
        <v>3.0000000000000001E-3</v>
      </c>
      <c r="F40" s="4">
        <v>0.01</v>
      </c>
    </row>
    <row r="41" spans="1:6" x14ac:dyDescent="0.35">
      <c r="A41">
        <v>5</v>
      </c>
      <c r="B41">
        <v>8</v>
      </c>
      <c r="C41" t="s">
        <v>117</v>
      </c>
      <c r="D41" s="4">
        <v>5.5999999999999997E-6</v>
      </c>
      <c r="E41" s="4">
        <v>1.7E-5</v>
      </c>
      <c r="F41" s="4">
        <v>3.3000000000000003E-5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8"/>
  <dimension ref="A1:H71"/>
  <sheetViews>
    <sheetView workbookViewId="0"/>
  </sheetViews>
  <sheetFormatPr defaultRowHeight="14.5" x14ac:dyDescent="0.35"/>
  <sheetData>
    <row r="1" spans="1:8" x14ac:dyDescent="0.35">
      <c r="A1" t="s">
        <v>257</v>
      </c>
      <c r="H1" t="s">
        <v>58</v>
      </c>
    </row>
    <row r="2" spans="1:8" x14ac:dyDescent="0.35">
      <c r="A2">
        <v>1</v>
      </c>
      <c r="B2">
        <v>1</v>
      </c>
      <c r="D2" s="4">
        <v>208.03</v>
      </c>
      <c r="E2" s="4">
        <v>416.06</v>
      </c>
      <c r="F2" s="4">
        <v>624.09</v>
      </c>
      <c r="H2" s="4">
        <v>-138.27000000000001</v>
      </c>
    </row>
    <row r="3" spans="1:8" x14ac:dyDescent="0.35">
      <c r="A3">
        <v>1</v>
      </c>
      <c r="B3">
        <v>2</v>
      </c>
      <c r="D3" s="4">
        <v>10</v>
      </c>
      <c r="E3" s="4">
        <v>20</v>
      </c>
      <c r="F3" s="4">
        <v>30</v>
      </c>
      <c r="H3" s="4">
        <v>9.0500000000000007</v>
      </c>
    </row>
    <row r="4" spans="1:8" x14ac:dyDescent="0.35">
      <c r="A4">
        <v>1</v>
      </c>
      <c r="B4">
        <v>3</v>
      </c>
      <c r="D4" s="4">
        <v>5</v>
      </c>
      <c r="E4" s="4">
        <v>10</v>
      </c>
      <c r="F4" s="4">
        <v>25</v>
      </c>
      <c r="H4" s="4">
        <v>0.8</v>
      </c>
    </row>
    <row r="5" spans="1:8" x14ac:dyDescent="0.35">
      <c r="A5">
        <v>1</v>
      </c>
      <c r="B5">
        <v>4</v>
      </c>
      <c r="D5" s="4">
        <v>30</v>
      </c>
      <c r="E5" s="4">
        <v>50</v>
      </c>
      <c r="F5" s="4">
        <v>75</v>
      </c>
      <c r="H5" s="4">
        <v>7.1</v>
      </c>
    </row>
    <row r="6" spans="1:8" x14ac:dyDescent="0.35">
      <c r="A6">
        <v>1</v>
      </c>
      <c r="B6">
        <v>5</v>
      </c>
      <c r="D6" s="4">
        <v>40</v>
      </c>
      <c r="E6" s="4">
        <v>60</v>
      </c>
      <c r="F6" s="4">
        <v>80</v>
      </c>
      <c r="H6" s="4">
        <v>23.7</v>
      </c>
    </row>
    <row r="7" spans="1:8" x14ac:dyDescent="0.35">
      <c r="A7">
        <v>1</v>
      </c>
      <c r="B7">
        <v>6</v>
      </c>
      <c r="D7" s="4">
        <v>25</v>
      </c>
      <c r="E7" s="4">
        <v>40</v>
      </c>
      <c r="F7" s="4">
        <v>60</v>
      </c>
      <c r="H7" s="4">
        <v>84</v>
      </c>
    </row>
    <row r="8" spans="1:8" x14ac:dyDescent="0.35">
      <c r="A8">
        <v>1</v>
      </c>
      <c r="B8">
        <v>7</v>
      </c>
      <c r="D8" s="4">
        <v>5</v>
      </c>
      <c r="E8" s="4">
        <v>20</v>
      </c>
      <c r="F8" s="4">
        <v>45</v>
      </c>
      <c r="H8" s="4">
        <v>11.7</v>
      </c>
    </row>
    <row r="9" spans="1:8" x14ac:dyDescent="0.35">
      <c r="A9">
        <v>1</v>
      </c>
      <c r="B9">
        <v>8</v>
      </c>
      <c r="D9" s="4">
        <v>60</v>
      </c>
      <c r="E9" s="4">
        <v>70</v>
      </c>
      <c r="F9" s="4">
        <v>85</v>
      </c>
      <c r="H9" s="4">
        <v>74</v>
      </c>
    </row>
    <row r="10" spans="1:8" x14ac:dyDescent="0.35">
      <c r="A10">
        <v>1</v>
      </c>
      <c r="B10">
        <v>9</v>
      </c>
      <c r="D10" s="4">
        <v>1</v>
      </c>
      <c r="E10" s="4">
        <v>1.43</v>
      </c>
      <c r="F10" s="4">
        <v>2</v>
      </c>
      <c r="H10" s="4">
        <v>2.44</v>
      </c>
    </row>
    <row r="11" spans="1:8" x14ac:dyDescent="0.35">
      <c r="A11">
        <v>1</v>
      </c>
      <c r="B11">
        <v>10</v>
      </c>
      <c r="D11" s="4">
        <v>5</v>
      </c>
      <c r="E11" s="4">
        <v>20</v>
      </c>
      <c r="F11" s="4">
        <v>50</v>
      </c>
      <c r="H11" s="4">
        <v>49.86</v>
      </c>
    </row>
    <row r="12" spans="1:8" x14ac:dyDescent="0.35">
      <c r="A12">
        <v>2</v>
      </c>
      <c r="B12">
        <v>1</v>
      </c>
      <c r="D12" s="4">
        <v>0</v>
      </c>
      <c r="E12" s="4">
        <v>332.85</v>
      </c>
      <c r="F12" s="4">
        <v>624.09</v>
      </c>
    </row>
    <row r="13" spans="1:8" x14ac:dyDescent="0.35">
      <c r="A13">
        <v>2</v>
      </c>
      <c r="B13">
        <v>2</v>
      </c>
      <c r="D13" s="4">
        <v>10</v>
      </c>
      <c r="E13" s="4">
        <v>30</v>
      </c>
      <c r="F13" s="4">
        <v>50</v>
      </c>
    </row>
    <row r="14" spans="1:8" x14ac:dyDescent="0.35">
      <c r="A14">
        <v>2</v>
      </c>
      <c r="B14">
        <v>3</v>
      </c>
      <c r="D14" s="4">
        <v>10</v>
      </c>
      <c r="E14" s="4">
        <v>25</v>
      </c>
      <c r="F14" s="4">
        <v>35</v>
      </c>
    </row>
    <row r="15" spans="1:8" x14ac:dyDescent="0.35">
      <c r="A15">
        <v>2</v>
      </c>
      <c r="B15">
        <v>4</v>
      </c>
      <c r="D15" s="4">
        <v>5</v>
      </c>
      <c r="E15" s="4">
        <v>20</v>
      </c>
      <c r="F15" s="4">
        <v>40</v>
      </c>
    </row>
    <row r="16" spans="1:8" x14ac:dyDescent="0.35">
      <c r="A16">
        <v>2</v>
      </c>
      <c r="B16">
        <v>5</v>
      </c>
      <c r="D16" s="4">
        <v>0</v>
      </c>
      <c r="E16" s="4">
        <v>15</v>
      </c>
      <c r="F16" s="4">
        <v>30</v>
      </c>
    </row>
    <row r="17" spans="1:6" x14ac:dyDescent="0.35">
      <c r="A17">
        <v>2</v>
      </c>
      <c r="B17">
        <v>6</v>
      </c>
      <c r="D17" s="4">
        <v>30</v>
      </c>
      <c r="E17" s="4">
        <v>70</v>
      </c>
      <c r="F17" s="4">
        <v>90</v>
      </c>
    </row>
    <row r="18" spans="1:6" x14ac:dyDescent="0.35">
      <c r="A18">
        <v>2</v>
      </c>
      <c r="B18">
        <v>7</v>
      </c>
      <c r="D18" s="4">
        <v>5</v>
      </c>
      <c r="E18" s="4">
        <v>25</v>
      </c>
      <c r="F18" s="4">
        <v>50</v>
      </c>
    </row>
    <row r="19" spans="1:6" x14ac:dyDescent="0.35">
      <c r="A19">
        <v>2</v>
      </c>
      <c r="B19">
        <v>8</v>
      </c>
      <c r="D19" s="4">
        <v>25</v>
      </c>
      <c r="E19" s="4">
        <v>60</v>
      </c>
      <c r="F19" s="4">
        <v>80</v>
      </c>
    </row>
    <row r="20" spans="1:6" x14ac:dyDescent="0.35">
      <c r="A20">
        <v>2</v>
      </c>
      <c r="B20">
        <v>9</v>
      </c>
      <c r="D20" s="4">
        <v>1</v>
      </c>
      <c r="E20" s="4">
        <v>1.25</v>
      </c>
      <c r="F20" s="4">
        <v>2</v>
      </c>
    </row>
    <row r="21" spans="1:6" x14ac:dyDescent="0.35">
      <c r="A21">
        <v>2</v>
      </c>
      <c r="B21">
        <v>10</v>
      </c>
      <c r="D21" s="4">
        <v>10</v>
      </c>
      <c r="E21" s="4">
        <v>25</v>
      </c>
      <c r="F21" s="4">
        <v>45</v>
      </c>
    </row>
    <row r="22" spans="1:6" x14ac:dyDescent="0.35">
      <c r="A22">
        <v>3</v>
      </c>
      <c r="B22">
        <v>1</v>
      </c>
      <c r="D22" s="4">
        <v>-400</v>
      </c>
      <c r="E22" s="4">
        <v>-200</v>
      </c>
      <c r="F22" s="4">
        <v>200</v>
      </c>
    </row>
    <row r="23" spans="1:6" x14ac:dyDescent="0.35">
      <c r="A23">
        <v>3</v>
      </c>
      <c r="B23">
        <v>2</v>
      </c>
      <c r="D23" s="4">
        <v>10</v>
      </c>
      <c r="E23" s="4">
        <v>15</v>
      </c>
      <c r="F23" s="4">
        <v>20</v>
      </c>
    </row>
    <row r="24" spans="1:6" x14ac:dyDescent="0.35">
      <c r="A24">
        <v>3</v>
      </c>
      <c r="B24">
        <v>3</v>
      </c>
      <c r="D24" s="4">
        <v>0</v>
      </c>
      <c r="E24" s="4">
        <v>1</v>
      </c>
      <c r="F24" s="4">
        <v>1.5</v>
      </c>
    </row>
    <row r="25" spans="1:6" x14ac:dyDescent="0.35">
      <c r="A25">
        <v>3</v>
      </c>
      <c r="B25">
        <v>4</v>
      </c>
      <c r="D25" s="4">
        <v>2</v>
      </c>
      <c r="E25" s="4">
        <v>5</v>
      </c>
      <c r="F25" s="4">
        <v>10</v>
      </c>
    </row>
    <row r="26" spans="1:6" x14ac:dyDescent="0.35">
      <c r="A26">
        <v>3</v>
      </c>
      <c r="B26">
        <v>5</v>
      </c>
      <c r="D26" s="4">
        <v>2</v>
      </c>
      <c r="E26" s="4">
        <v>5</v>
      </c>
      <c r="F26" s="4">
        <v>10</v>
      </c>
    </row>
    <row r="27" spans="1:6" x14ac:dyDescent="0.35">
      <c r="A27">
        <v>3</v>
      </c>
      <c r="B27">
        <v>6</v>
      </c>
      <c r="D27" s="4">
        <v>30</v>
      </c>
      <c r="E27" s="4">
        <v>60</v>
      </c>
      <c r="F27" s="4">
        <v>80</v>
      </c>
    </row>
    <row r="28" spans="1:6" x14ac:dyDescent="0.35">
      <c r="A28">
        <v>3</v>
      </c>
      <c r="B28">
        <v>7</v>
      </c>
      <c r="D28" s="4">
        <v>10</v>
      </c>
      <c r="E28" s="4">
        <v>20</v>
      </c>
      <c r="F28" s="4">
        <v>30</v>
      </c>
    </row>
    <row r="29" spans="1:6" x14ac:dyDescent="0.35">
      <c r="A29">
        <v>3</v>
      </c>
      <c r="B29">
        <v>8</v>
      </c>
      <c r="D29" s="4">
        <v>50</v>
      </c>
      <c r="E29" s="4">
        <v>75</v>
      </c>
      <c r="F29" s="4">
        <v>90</v>
      </c>
    </row>
    <row r="30" spans="1:6" x14ac:dyDescent="0.35">
      <c r="A30">
        <v>3</v>
      </c>
      <c r="B30">
        <v>9</v>
      </c>
      <c r="D30" s="4">
        <v>1.57</v>
      </c>
      <c r="E30" s="4">
        <v>1.88</v>
      </c>
      <c r="F30" s="4">
        <v>2.36</v>
      </c>
    </row>
    <row r="31" spans="1:6" x14ac:dyDescent="0.35">
      <c r="A31">
        <v>3</v>
      </c>
      <c r="B31">
        <v>10</v>
      </c>
      <c r="D31" s="4">
        <v>42</v>
      </c>
      <c r="E31" s="4">
        <v>52</v>
      </c>
      <c r="F31" s="4">
        <v>60</v>
      </c>
    </row>
    <row r="32" spans="1:6" x14ac:dyDescent="0.35">
      <c r="A32">
        <v>4</v>
      </c>
      <c r="B32">
        <v>1</v>
      </c>
      <c r="D32" s="4">
        <v>208.03</v>
      </c>
      <c r="E32" s="4">
        <v>1040.1500000000001</v>
      </c>
      <c r="F32" s="4">
        <v>1248.19</v>
      </c>
    </row>
    <row r="33" spans="1:6" x14ac:dyDescent="0.35">
      <c r="A33">
        <v>4</v>
      </c>
      <c r="B33">
        <v>2</v>
      </c>
      <c r="D33" s="4">
        <v>5</v>
      </c>
      <c r="E33" s="4">
        <v>15</v>
      </c>
      <c r="F33" s="4">
        <v>25</v>
      </c>
    </row>
    <row r="34" spans="1:6" x14ac:dyDescent="0.35">
      <c r="A34">
        <v>4</v>
      </c>
      <c r="B34">
        <v>3</v>
      </c>
      <c r="D34" s="4">
        <v>20</v>
      </c>
      <c r="E34" s="4">
        <v>50</v>
      </c>
      <c r="F34" s="4">
        <v>60</v>
      </c>
    </row>
    <row r="35" spans="1:6" x14ac:dyDescent="0.35">
      <c r="A35">
        <v>4</v>
      </c>
      <c r="B35">
        <v>4</v>
      </c>
      <c r="D35" s="4">
        <v>10</v>
      </c>
      <c r="E35" s="4">
        <v>20</v>
      </c>
      <c r="F35" s="4">
        <v>30</v>
      </c>
    </row>
    <row r="36" spans="1:6" x14ac:dyDescent="0.35">
      <c r="A36">
        <v>4</v>
      </c>
      <c r="B36">
        <v>5</v>
      </c>
      <c r="D36" s="4">
        <v>5</v>
      </c>
      <c r="E36" s="4">
        <v>15</v>
      </c>
      <c r="F36" s="4">
        <v>20</v>
      </c>
    </row>
    <row r="37" spans="1:6" x14ac:dyDescent="0.35">
      <c r="A37">
        <v>4</v>
      </c>
      <c r="B37">
        <v>6</v>
      </c>
      <c r="D37" s="4">
        <v>75</v>
      </c>
      <c r="E37" s="4">
        <v>85</v>
      </c>
      <c r="F37" s="4">
        <v>90</v>
      </c>
    </row>
    <row r="38" spans="1:6" x14ac:dyDescent="0.35">
      <c r="A38">
        <v>4</v>
      </c>
      <c r="B38">
        <v>7</v>
      </c>
      <c r="D38" s="4">
        <v>5</v>
      </c>
      <c r="E38" s="4">
        <v>10</v>
      </c>
      <c r="F38" s="4">
        <v>25</v>
      </c>
    </row>
    <row r="39" spans="1:6" x14ac:dyDescent="0.35">
      <c r="A39">
        <v>4</v>
      </c>
      <c r="B39">
        <v>8</v>
      </c>
      <c r="D39" s="4">
        <v>50</v>
      </c>
      <c r="E39" s="4">
        <v>75</v>
      </c>
      <c r="F39" s="4">
        <v>85</v>
      </c>
    </row>
    <row r="40" spans="1:6" x14ac:dyDescent="0.35">
      <c r="A40">
        <v>4</v>
      </c>
      <c r="B40">
        <v>9</v>
      </c>
      <c r="D40" s="4">
        <v>1</v>
      </c>
      <c r="E40" s="4">
        <v>2</v>
      </c>
      <c r="F40" s="4">
        <v>3</v>
      </c>
    </row>
    <row r="41" spans="1:6" x14ac:dyDescent="0.35">
      <c r="A41">
        <v>4</v>
      </c>
      <c r="B41">
        <v>10</v>
      </c>
      <c r="D41" s="4">
        <v>25</v>
      </c>
      <c r="E41" s="4">
        <v>50</v>
      </c>
      <c r="F41" s="4">
        <v>60</v>
      </c>
    </row>
    <row r="42" spans="1:6" x14ac:dyDescent="0.35">
      <c r="A42">
        <v>5</v>
      </c>
      <c r="B42">
        <v>1</v>
      </c>
      <c r="D42" s="4">
        <v>70</v>
      </c>
      <c r="E42" s="4">
        <v>200</v>
      </c>
      <c r="F42" s="4">
        <v>500</v>
      </c>
    </row>
    <row r="43" spans="1:6" x14ac:dyDescent="0.35">
      <c r="A43">
        <v>5</v>
      </c>
      <c r="B43">
        <v>2</v>
      </c>
      <c r="D43" s="4">
        <v>10</v>
      </c>
      <c r="E43" s="4">
        <v>20</v>
      </c>
      <c r="F43" s="4">
        <v>50</v>
      </c>
    </row>
    <row r="44" spans="1:6" x14ac:dyDescent="0.35">
      <c r="A44">
        <v>5</v>
      </c>
      <c r="B44">
        <v>3</v>
      </c>
      <c r="D44" s="4">
        <v>-60</v>
      </c>
      <c r="E44" s="4">
        <v>-11</v>
      </c>
      <c r="F44" s="4">
        <v>-2</v>
      </c>
    </row>
    <row r="45" spans="1:6" x14ac:dyDescent="0.35">
      <c r="A45">
        <v>5</v>
      </c>
      <c r="B45">
        <v>4</v>
      </c>
      <c r="D45" s="4">
        <v>1</v>
      </c>
      <c r="E45" s="4">
        <v>4</v>
      </c>
      <c r="F45" s="4">
        <v>25</v>
      </c>
    </row>
    <row r="46" spans="1:6" x14ac:dyDescent="0.35">
      <c r="A46">
        <v>5</v>
      </c>
      <c r="B46">
        <v>5</v>
      </c>
      <c r="D46" s="4">
        <v>1</v>
      </c>
      <c r="E46" s="4">
        <v>4</v>
      </c>
      <c r="F46" s="4">
        <v>25</v>
      </c>
    </row>
    <row r="47" spans="1:6" x14ac:dyDescent="0.35">
      <c r="A47">
        <v>5</v>
      </c>
      <c r="B47">
        <v>6</v>
      </c>
      <c r="D47" s="4">
        <v>10</v>
      </c>
      <c r="E47" s="4">
        <v>85</v>
      </c>
      <c r="F47" s="4">
        <v>92</v>
      </c>
    </row>
    <row r="48" spans="1:6" x14ac:dyDescent="0.35">
      <c r="A48">
        <v>5</v>
      </c>
      <c r="B48">
        <v>7</v>
      </c>
      <c r="D48" s="4">
        <v>10</v>
      </c>
      <c r="E48" s="4">
        <v>45</v>
      </c>
      <c r="F48" s="4">
        <v>55</v>
      </c>
    </row>
    <row r="49" spans="1:6" x14ac:dyDescent="0.35">
      <c r="A49">
        <v>5</v>
      </c>
      <c r="B49">
        <v>8</v>
      </c>
      <c r="D49" s="4">
        <v>60</v>
      </c>
      <c r="E49" s="4">
        <v>69</v>
      </c>
      <c r="F49" s="4">
        <v>72</v>
      </c>
    </row>
    <row r="50" spans="1:6" x14ac:dyDescent="0.35">
      <c r="A50">
        <v>5</v>
      </c>
      <c r="B50">
        <v>9</v>
      </c>
      <c r="D50" s="4">
        <v>4</v>
      </c>
      <c r="E50" s="4">
        <v>10</v>
      </c>
      <c r="F50" s="4">
        <v>25</v>
      </c>
    </row>
    <row r="51" spans="1:6" x14ac:dyDescent="0.35">
      <c r="A51">
        <v>5</v>
      </c>
      <c r="B51">
        <v>10</v>
      </c>
      <c r="D51" s="4">
        <v>70</v>
      </c>
      <c r="E51" s="4">
        <v>80</v>
      </c>
      <c r="F51" s="4">
        <v>90</v>
      </c>
    </row>
    <row r="52" spans="1:6" x14ac:dyDescent="0.35">
      <c r="A52">
        <v>6</v>
      </c>
      <c r="B52">
        <v>1</v>
      </c>
      <c r="D52" s="4">
        <v>208.03</v>
      </c>
      <c r="E52" s="4">
        <v>499.27</v>
      </c>
      <c r="F52" s="4">
        <v>624.09</v>
      </c>
    </row>
    <row r="53" spans="1:6" x14ac:dyDescent="0.35">
      <c r="A53">
        <v>6</v>
      </c>
      <c r="B53">
        <v>2</v>
      </c>
      <c r="D53" s="4">
        <v>2.13</v>
      </c>
      <c r="E53" s="4">
        <v>8.51</v>
      </c>
      <c r="F53" s="4">
        <v>12.77</v>
      </c>
    </row>
    <row r="54" spans="1:6" x14ac:dyDescent="0.35">
      <c r="A54">
        <v>6</v>
      </c>
      <c r="B54">
        <v>3</v>
      </c>
      <c r="D54" s="4">
        <v>3</v>
      </c>
      <c r="E54" s="4">
        <v>20</v>
      </c>
      <c r="F54" s="4">
        <v>50</v>
      </c>
    </row>
    <row r="55" spans="1:6" x14ac:dyDescent="0.35">
      <c r="A55">
        <v>6</v>
      </c>
      <c r="B55">
        <v>4</v>
      </c>
      <c r="D55" s="4">
        <v>2</v>
      </c>
      <c r="E55" s="4">
        <v>10</v>
      </c>
      <c r="F55" s="4">
        <v>20</v>
      </c>
    </row>
    <row r="56" spans="1:6" x14ac:dyDescent="0.35">
      <c r="A56">
        <v>6</v>
      </c>
      <c r="B56">
        <v>5</v>
      </c>
      <c r="D56" s="4">
        <v>5</v>
      </c>
      <c r="E56" s="4">
        <v>15</v>
      </c>
      <c r="F56" s="4">
        <v>30</v>
      </c>
    </row>
    <row r="57" spans="1:6" x14ac:dyDescent="0.35">
      <c r="A57">
        <v>6</v>
      </c>
      <c r="B57">
        <v>6</v>
      </c>
      <c r="D57" s="4">
        <v>10</v>
      </c>
      <c r="E57" s="4">
        <v>70</v>
      </c>
      <c r="F57" s="4">
        <v>100</v>
      </c>
    </row>
    <row r="58" spans="1:6" x14ac:dyDescent="0.35">
      <c r="A58">
        <v>6</v>
      </c>
      <c r="B58">
        <v>7</v>
      </c>
      <c r="D58" s="4">
        <v>3</v>
      </c>
      <c r="E58" s="4">
        <v>10</v>
      </c>
      <c r="F58" s="4">
        <v>75</v>
      </c>
    </row>
    <row r="59" spans="1:6" x14ac:dyDescent="0.35">
      <c r="A59">
        <v>6</v>
      </c>
      <c r="B59">
        <v>8</v>
      </c>
      <c r="D59" s="4">
        <v>10</v>
      </c>
      <c r="E59" s="4">
        <v>50</v>
      </c>
      <c r="F59" s="4">
        <v>70</v>
      </c>
    </row>
    <row r="60" spans="1:6" x14ac:dyDescent="0.35">
      <c r="A60">
        <v>6</v>
      </c>
      <c r="B60">
        <v>9</v>
      </c>
      <c r="D60" s="4">
        <v>5</v>
      </c>
      <c r="E60" s="4">
        <v>10</v>
      </c>
      <c r="F60" s="4">
        <v>50</v>
      </c>
    </row>
    <row r="61" spans="1:6" x14ac:dyDescent="0.35">
      <c r="A61">
        <v>6</v>
      </c>
      <c r="B61">
        <v>10</v>
      </c>
      <c r="D61" s="4">
        <v>10</v>
      </c>
      <c r="E61" s="4">
        <v>75</v>
      </c>
      <c r="F61" s="4">
        <v>95</v>
      </c>
    </row>
    <row r="62" spans="1:6" x14ac:dyDescent="0.35">
      <c r="A62">
        <v>7</v>
      </c>
      <c r="B62">
        <v>1</v>
      </c>
      <c r="D62" s="4">
        <v>5</v>
      </c>
      <c r="E62" s="4">
        <v>6</v>
      </c>
      <c r="F62" s="4">
        <v>9</v>
      </c>
    </row>
    <row r="63" spans="1:6" x14ac:dyDescent="0.35">
      <c r="A63">
        <v>7</v>
      </c>
      <c r="B63">
        <v>2</v>
      </c>
      <c r="D63" s="4">
        <v>15</v>
      </c>
      <c r="E63" s="4">
        <v>25</v>
      </c>
      <c r="F63" s="4">
        <v>40</v>
      </c>
    </row>
    <row r="64" spans="1:6" x14ac:dyDescent="0.35">
      <c r="A64">
        <v>7</v>
      </c>
      <c r="B64">
        <v>3</v>
      </c>
      <c r="D64" s="4">
        <v>2</v>
      </c>
      <c r="E64" s="4">
        <v>5</v>
      </c>
      <c r="F64" s="4">
        <v>10</v>
      </c>
    </row>
    <row r="65" spans="1:6" x14ac:dyDescent="0.35">
      <c r="A65">
        <v>7</v>
      </c>
      <c r="B65">
        <v>4</v>
      </c>
      <c r="D65" s="4">
        <v>1</v>
      </c>
      <c r="E65" s="4">
        <v>3</v>
      </c>
      <c r="F65" s="4">
        <v>10</v>
      </c>
    </row>
    <row r="66" spans="1:6" x14ac:dyDescent="0.35">
      <c r="A66">
        <v>7</v>
      </c>
      <c r="B66">
        <v>5</v>
      </c>
      <c r="D66" s="4">
        <v>4</v>
      </c>
      <c r="E66" s="4">
        <v>6</v>
      </c>
      <c r="F66" s="4">
        <v>10</v>
      </c>
    </row>
    <row r="67" spans="1:6" x14ac:dyDescent="0.35">
      <c r="A67">
        <v>7</v>
      </c>
      <c r="B67">
        <v>6</v>
      </c>
      <c r="D67" s="4">
        <v>55</v>
      </c>
      <c r="E67" s="4">
        <v>60</v>
      </c>
      <c r="F67" s="4">
        <v>80</v>
      </c>
    </row>
    <row r="68" spans="1:6" x14ac:dyDescent="0.35">
      <c r="A68">
        <v>7</v>
      </c>
      <c r="B68">
        <v>7</v>
      </c>
      <c r="D68" s="4">
        <v>10</v>
      </c>
      <c r="E68" s="4">
        <v>20</v>
      </c>
      <c r="F68" s="4">
        <v>30</v>
      </c>
    </row>
    <row r="69" spans="1:6" x14ac:dyDescent="0.35">
      <c r="A69">
        <v>7</v>
      </c>
      <c r="B69">
        <v>8</v>
      </c>
      <c r="D69" s="4">
        <v>75</v>
      </c>
      <c r="E69" s="4">
        <v>80</v>
      </c>
      <c r="F69" s="4">
        <v>92</v>
      </c>
    </row>
    <row r="70" spans="1:6" x14ac:dyDescent="0.35">
      <c r="A70">
        <v>7</v>
      </c>
      <c r="B70">
        <v>9</v>
      </c>
      <c r="D70" s="4">
        <v>1.31</v>
      </c>
      <c r="E70" s="4">
        <v>1.33</v>
      </c>
      <c r="F70" s="4">
        <v>1.55</v>
      </c>
    </row>
    <row r="71" spans="1:6" x14ac:dyDescent="0.35">
      <c r="A71">
        <v>7</v>
      </c>
      <c r="B71">
        <v>10</v>
      </c>
      <c r="D71" s="4">
        <v>20</v>
      </c>
      <c r="E71" s="4">
        <v>35</v>
      </c>
      <c r="F71" s="4">
        <v>49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1"/>
  <dimension ref="A1:H51"/>
  <sheetViews>
    <sheetView workbookViewId="0"/>
  </sheetViews>
  <sheetFormatPr defaultRowHeight="14.5" x14ac:dyDescent="0.35"/>
  <sheetData>
    <row r="1" spans="1:8" x14ac:dyDescent="0.35">
      <c r="A1" t="s">
        <v>253</v>
      </c>
      <c r="H1" t="s">
        <v>58</v>
      </c>
    </row>
    <row r="2" spans="1:8" x14ac:dyDescent="0.35">
      <c r="A2">
        <v>1</v>
      </c>
      <c r="B2">
        <v>1</v>
      </c>
      <c r="D2" s="4">
        <v>10</v>
      </c>
      <c r="E2" s="4">
        <v>15</v>
      </c>
      <c r="F2" s="4">
        <v>20</v>
      </c>
      <c r="H2" s="4">
        <v>-0.17</v>
      </c>
    </row>
    <row r="3" spans="1:8" x14ac:dyDescent="0.35">
      <c r="A3">
        <v>1</v>
      </c>
      <c r="B3">
        <v>2</v>
      </c>
      <c r="D3" s="4">
        <v>1</v>
      </c>
      <c r="E3" s="4">
        <v>8</v>
      </c>
      <c r="F3" s="4">
        <v>15</v>
      </c>
      <c r="H3" s="4">
        <v>2.8</v>
      </c>
    </row>
    <row r="4" spans="1:8" x14ac:dyDescent="0.35">
      <c r="A4">
        <v>1</v>
      </c>
      <c r="B4">
        <v>3</v>
      </c>
      <c r="D4" s="4">
        <v>1</v>
      </c>
      <c r="E4" s="4">
        <v>8</v>
      </c>
      <c r="F4" s="4">
        <v>15</v>
      </c>
      <c r="H4" s="4">
        <v>5.21</v>
      </c>
    </row>
    <row r="5" spans="1:8" x14ac:dyDescent="0.35">
      <c r="A5">
        <v>1</v>
      </c>
      <c r="B5">
        <v>4</v>
      </c>
      <c r="D5" s="4">
        <v>-15</v>
      </c>
      <c r="E5" s="4">
        <v>-12</v>
      </c>
      <c r="F5" s="4">
        <v>-10</v>
      </c>
      <c r="H5" s="4">
        <v>-4.43</v>
      </c>
    </row>
    <row r="6" spans="1:8" x14ac:dyDescent="0.35">
      <c r="A6">
        <v>1</v>
      </c>
      <c r="B6">
        <v>5</v>
      </c>
      <c r="D6" s="4">
        <v>-15</v>
      </c>
      <c r="E6" s="4">
        <v>-12</v>
      </c>
      <c r="F6" s="4">
        <v>-10</v>
      </c>
      <c r="H6" s="4">
        <v>-0.91</v>
      </c>
    </row>
    <row r="7" spans="1:8" x14ac:dyDescent="0.35">
      <c r="A7">
        <v>1</v>
      </c>
      <c r="B7">
        <v>6</v>
      </c>
      <c r="D7" s="4">
        <v>0</v>
      </c>
      <c r="E7" s="4">
        <v>3</v>
      </c>
      <c r="F7" s="4">
        <v>5</v>
      </c>
      <c r="H7" s="4">
        <v>-1.61</v>
      </c>
    </row>
    <row r="8" spans="1:8" x14ac:dyDescent="0.35">
      <c r="A8">
        <v>1</v>
      </c>
      <c r="B8">
        <v>7</v>
      </c>
      <c r="D8" s="4">
        <v>10</v>
      </c>
      <c r="E8" s="4">
        <v>13</v>
      </c>
      <c r="F8" s="4">
        <v>20</v>
      </c>
      <c r="H8" s="4">
        <v>-7.88</v>
      </c>
    </row>
    <row r="9" spans="1:8" x14ac:dyDescent="0.35">
      <c r="A9">
        <v>1</v>
      </c>
      <c r="B9">
        <v>8</v>
      </c>
      <c r="D9" s="4">
        <v>2</v>
      </c>
      <c r="E9" s="4">
        <v>5</v>
      </c>
      <c r="F9" s="4">
        <v>10</v>
      </c>
      <c r="H9" s="4">
        <v>-3.56</v>
      </c>
    </row>
    <row r="10" spans="1:8" x14ac:dyDescent="0.35">
      <c r="A10">
        <v>1</v>
      </c>
      <c r="B10">
        <v>9</v>
      </c>
      <c r="D10" s="4">
        <v>2</v>
      </c>
      <c r="E10" s="4">
        <v>5</v>
      </c>
      <c r="F10" s="4">
        <v>10</v>
      </c>
      <c r="H10" s="4">
        <v>9.1</v>
      </c>
    </row>
    <row r="11" spans="1:8" x14ac:dyDescent="0.35">
      <c r="A11">
        <v>1</v>
      </c>
      <c r="B11">
        <v>10</v>
      </c>
      <c r="D11" s="4">
        <v>10</v>
      </c>
      <c r="E11" s="4">
        <v>15</v>
      </c>
      <c r="F11" s="4">
        <v>25</v>
      </c>
      <c r="H11" s="4">
        <v>5.9</v>
      </c>
    </row>
    <row r="12" spans="1:8" x14ac:dyDescent="0.35">
      <c r="A12">
        <v>2</v>
      </c>
      <c r="B12">
        <v>1</v>
      </c>
      <c r="D12" s="4">
        <v>1</v>
      </c>
      <c r="E12" s="4">
        <v>5</v>
      </c>
      <c r="F12" s="4">
        <v>8</v>
      </c>
    </row>
    <row r="13" spans="1:8" x14ac:dyDescent="0.35">
      <c r="A13">
        <v>2</v>
      </c>
      <c r="B13">
        <v>2</v>
      </c>
      <c r="D13" s="4">
        <v>1</v>
      </c>
      <c r="E13" s="4">
        <v>4</v>
      </c>
      <c r="F13" s="4">
        <v>7</v>
      </c>
    </row>
    <row r="14" spans="1:8" x14ac:dyDescent="0.35">
      <c r="A14">
        <v>2</v>
      </c>
      <c r="B14">
        <v>3</v>
      </c>
      <c r="D14" s="4">
        <v>4</v>
      </c>
      <c r="E14" s="4">
        <v>10</v>
      </c>
      <c r="F14" s="4">
        <v>25</v>
      </c>
    </row>
    <row r="15" spans="1:8" x14ac:dyDescent="0.35">
      <c r="A15">
        <v>2</v>
      </c>
      <c r="B15">
        <v>4</v>
      </c>
      <c r="D15" s="4">
        <v>-8</v>
      </c>
      <c r="E15" s="4">
        <v>-4</v>
      </c>
      <c r="F15" s="4">
        <v>-1</v>
      </c>
    </row>
    <row r="16" spans="1:8" x14ac:dyDescent="0.35">
      <c r="A16">
        <v>2</v>
      </c>
      <c r="B16">
        <v>5</v>
      </c>
      <c r="D16" s="4">
        <v>-8</v>
      </c>
      <c r="E16" s="4">
        <v>-2</v>
      </c>
      <c r="F16" s="4">
        <v>0</v>
      </c>
    </row>
    <row r="17" spans="1:6" x14ac:dyDescent="0.35">
      <c r="A17">
        <v>2</v>
      </c>
      <c r="B17">
        <v>6</v>
      </c>
      <c r="D17" s="4">
        <v>-15</v>
      </c>
      <c r="E17" s="4">
        <v>-8</v>
      </c>
      <c r="F17" s="4">
        <v>-1</v>
      </c>
    </row>
    <row r="18" spans="1:6" x14ac:dyDescent="0.35">
      <c r="A18">
        <v>2</v>
      </c>
      <c r="B18">
        <v>7</v>
      </c>
      <c r="D18" s="4">
        <v>-3</v>
      </c>
      <c r="E18" s="4">
        <v>0</v>
      </c>
      <c r="F18" s="4">
        <v>5</v>
      </c>
    </row>
    <row r="19" spans="1:6" x14ac:dyDescent="0.35">
      <c r="A19">
        <v>2</v>
      </c>
      <c r="B19">
        <v>8</v>
      </c>
      <c r="D19" s="4">
        <v>0</v>
      </c>
      <c r="E19" s="4">
        <v>4</v>
      </c>
      <c r="F19" s="4">
        <v>8</v>
      </c>
    </row>
    <row r="20" spans="1:6" x14ac:dyDescent="0.35">
      <c r="A20">
        <v>2</v>
      </c>
      <c r="B20">
        <v>9</v>
      </c>
      <c r="D20" s="4">
        <v>2</v>
      </c>
      <c r="E20" s="4">
        <v>10</v>
      </c>
      <c r="F20" s="4">
        <v>20</v>
      </c>
    </row>
    <row r="21" spans="1:6" x14ac:dyDescent="0.35">
      <c r="A21">
        <v>2</v>
      </c>
      <c r="B21">
        <v>10</v>
      </c>
      <c r="D21" s="4">
        <v>-1</v>
      </c>
      <c r="E21" s="4">
        <v>3</v>
      </c>
      <c r="F21" s="4">
        <v>8</v>
      </c>
    </row>
    <row r="22" spans="1:6" x14ac:dyDescent="0.35">
      <c r="A22">
        <v>3</v>
      </c>
      <c r="B22">
        <v>1</v>
      </c>
      <c r="D22" s="4">
        <v>5</v>
      </c>
      <c r="E22" s="4">
        <v>15</v>
      </c>
      <c r="F22" s="4">
        <v>50</v>
      </c>
    </row>
    <row r="23" spans="1:6" x14ac:dyDescent="0.35">
      <c r="A23">
        <v>3</v>
      </c>
      <c r="B23">
        <v>2</v>
      </c>
      <c r="D23" s="4">
        <v>5</v>
      </c>
      <c r="E23" s="4">
        <v>10</v>
      </c>
      <c r="F23" s="4">
        <v>15</v>
      </c>
    </row>
    <row r="24" spans="1:6" x14ac:dyDescent="0.35">
      <c r="A24">
        <v>3</v>
      </c>
      <c r="B24">
        <v>3</v>
      </c>
      <c r="D24" s="4">
        <v>5</v>
      </c>
      <c r="E24" s="4">
        <v>10</v>
      </c>
      <c r="F24" s="4">
        <v>25</v>
      </c>
    </row>
    <row r="25" spans="1:6" x14ac:dyDescent="0.35">
      <c r="A25">
        <v>3</v>
      </c>
      <c r="B25">
        <v>4</v>
      </c>
      <c r="D25" s="4">
        <v>4</v>
      </c>
      <c r="E25" s="4">
        <v>5</v>
      </c>
      <c r="F25" s="4">
        <v>25</v>
      </c>
    </row>
    <row r="26" spans="1:6" x14ac:dyDescent="0.35">
      <c r="A26">
        <v>3</v>
      </c>
      <c r="B26">
        <v>5</v>
      </c>
      <c r="D26" s="4">
        <v>5</v>
      </c>
      <c r="E26" s="4">
        <v>15</v>
      </c>
      <c r="F26" s="4">
        <v>50</v>
      </c>
    </row>
    <row r="27" spans="1:6" x14ac:dyDescent="0.35">
      <c r="A27">
        <v>3</v>
      </c>
      <c r="B27">
        <v>6</v>
      </c>
      <c r="D27" s="4">
        <v>5</v>
      </c>
      <c r="E27" s="4">
        <v>15</v>
      </c>
      <c r="F27" s="4">
        <v>25</v>
      </c>
    </row>
    <row r="28" spans="1:6" x14ac:dyDescent="0.35">
      <c r="A28">
        <v>3</v>
      </c>
      <c r="B28">
        <v>7</v>
      </c>
      <c r="D28" s="4">
        <v>4</v>
      </c>
      <c r="E28" s="4">
        <v>10</v>
      </c>
      <c r="F28" s="4">
        <v>25</v>
      </c>
    </row>
    <row r="29" spans="1:6" x14ac:dyDescent="0.35">
      <c r="A29">
        <v>3</v>
      </c>
      <c r="B29">
        <v>8</v>
      </c>
      <c r="D29" s="4">
        <v>5</v>
      </c>
      <c r="E29" s="4">
        <v>10</v>
      </c>
      <c r="F29" s="4">
        <v>25</v>
      </c>
    </row>
    <row r="30" spans="1:6" x14ac:dyDescent="0.35">
      <c r="A30">
        <v>3</v>
      </c>
      <c r="B30">
        <v>9</v>
      </c>
      <c r="D30" s="4">
        <v>5</v>
      </c>
      <c r="E30" s="4">
        <v>20</v>
      </c>
      <c r="F30" s="4">
        <v>50</v>
      </c>
    </row>
    <row r="31" spans="1:6" x14ac:dyDescent="0.35">
      <c r="A31">
        <v>3</v>
      </c>
      <c r="B31">
        <v>10</v>
      </c>
      <c r="D31" s="4">
        <v>5</v>
      </c>
      <c r="E31" s="4">
        <v>20</v>
      </c>
      <c r="F31" s="4">
        <v>50</v>
      </c>
    </row>
    <row r="32" spans="1:6" x14ac:dyDescent="0.35">
      <c r="A32">
        <v>4</v>
      </c>
      <c r="B32">
        <v>1</v>
      </c>
      <c r="D32" s="4">
        <v>2</v>
      </c>
      <c r="E32" s="4">
        <v>10</v>
      </c>
      <c r="F32" s="4">
        <v>20</v>
      </c>
    </row>
    <row r="33" spans="1:6" x14ac:dyDescent="0.35">
      <c r="A33">
        <v>4</v>
      </c>
      <c r="B33">
        <v>2</v>
      </c>
      <c r="D33" s="4">
        <v>2</v>
      </c>
      <c r="E33" s="4">
        <v>10</v>
      </c>
      <c r="F33" s="4">
        <v>20</v>
      </c>
    </row>
    <row r="34" spans="1:6" x14ac:dyDescent="0.35">
      <c r="A34">
        <v>4</v>
      </c>
      <c r="B34">
        <v>3</v>
      </c>
      <c r="D34" s="4">
        <v>5</v>
      </c>
      <c r="E34" s="4">
        <v>10</v>
      </c>
      <c r="F34" s="4">
        <v>20</v>
      </c>
    </row>
    <row r="35" spans="1:6" x14ac:dyDescent="0.35">
      <c r="A35">
        <v>4</v>
      </c>
      <c r="B35">
        <v>4</v>
      </c>
      <c r="D35" s="4">
        <v>-50</v>
      </c>
      <c r="E35" s="4">
        <v>-20</v>
      </c>
      <c r="F35" s="4">
        <v>-5</v>
      </c>
    </row>
    <row r="36" spans="1:6" x14ac:dyDescent="0.35">
      <c r="A36">
        <v>4</v>
      </c>
      <c r="B36">
        <v>5</v>
      </c>
      <c r="D36" s="4">
        <v>-20</v>
      </c>
      <c r="E36" s="4">
        <v>-5</v>
      </c>
      <c r="F36" s="4">
        <v>-1</v>
      </c>
    </row>
    <row r="37" spans="1:6" x14ac:dyDescent="0.35">
      <c r="A37">
        <v>4</v>
      </c>
      <c r="B37">
        <v>6</v>
      </c>
      <c r="D37" s="4">
        <v>-20</v>
      </c>
      <c r="E37" s="4">
        <v>-5</v>
      </c>
      <c r="F37" s="4">
        <v>-1</v>
      </c>
    </row>
    <row r="38" spans="1:6" x14ac:dyDescent="0.35">
      <c r="A38">
        <v>4</v>
      </c>
      <c r="B38">
        <v>7</v>
      </c>
      <c r="D38" s="4">
        <v>5</v>
      </c>
      <c r="E38" s="4">
        <v>20</v>
      </c>
      <c r="F38" s="4">
        <v>50</v>
      </c>
    </row>
    <row r="39" spans="1:6" x14ac:dyDescent="0.35">
      <c r="A39">
        <v>4</v>
      </c>
      <c r="B39">
        <v>8</v>
      </c>
      <c r="D39" s="4">
        <v>5</v>
      </c>
      <c r="E39" s="4">
        <v>25</v>
      </c>
      <c r="F39" s="4">
        <v>50</v>
      </c>
    </row>
    <row r="40" spans="1:6" x14ac:dyDescent="0.35">
      <c r="A40">
        <v>4</v>
      </c>
      <c r="B40">
        <v>9</v>
      </c>
      <c r="D40" s="4">
        <v>5</v>
      </c>
      <c r="E40" s="4">
        <v>15</v>
      </c>
      <c r="F40" s="4">
        <v>35</v>
      </c>
    </row>
    <row r="41" spans="1:6" x14ac:dyDescent="0.35">
      <c r="A41">
        <v>4</v>
      </c>
      <c r="B41">
        <v>10</v>
      </c>
      <c r="D41" s="4">
        <v>0</v>
      </c>
      <c r="E41" s="4">
        <v>2</v>
      </c>
      <c r="F41" s="4">
        <v>10</v>
      </c>
    </row>
    <row r="42" spans="1:6" x14ac:dyDescent="0.35">
      <c r="A42">
        <v>5</v>
      </c>
      <c r="B42">
        <v>1</v>
      </c>
      <c r="D42" s="4">
        <v>-1</v>
      </c>
      <c r="E42" s="4">
        <v>0</v>
      </c>
      <c r="F42" s="4">
        <v>1</v>
      </c>
    </row>
    <row r="43" spans="1:6" x14ac:dyDescent="0.35">
      <c r="A43">
        <v>5</v>
      </c>
      <c r="B43">
        <v>2</v>
      </c>
      <c r="D43" s="4">
        <v>2</v>
      </c>
      <c r="E43" s="4">
        <v>3</v>
      </c>
      <c r="F43" s="4">
        <v>5</v>
      </c>
    </row>
    <row r="44" spans="1:6" x14ac:dyDescent="0.35">
      <c r="A44">
        <v>5</v>
      </c>
      <c r="B44">
        <v>3</v>
      </c>
      <c r="D44" s="4">
        <v>4</v>
      </c>
      <c r="E44" s="4">
        <v>5</v>
      </c>
      <c r="F44" s="4">
        <v>10</v>
      </c>
    </row>
    <row r="45" spans="1:6" x14ac:dyDescent="0.35">
      <c r="A45">
        <v>5</v>
      </c>
      <c r="B45">
        <v>4</v>
      </c>
      <c r="D45" s="4">
        <v>-6</v>
      </c>
      <c r="E45" s="4">
        <v>-5</v>
      </c>
      <c r="F45" s="4">
        <v>-4</v>
      </c>
    </row>
    <row r="46" spans="1:6" x14ac:dyDescent="0.35">
      <c r="A46">
        <v>5</v>
      </c>
      <c r="B46">
        <v>5</v>
      </c>
      <c r="D46" s="4">
        <v>-1.5</v>
      </c>
      <c r="E46" s="4">
        <v>-0.5</v>
      </c>
      <c r="F46" s="4">
        <v>1</v>
      </c>
    </row>
    <row r="47" spans="1:6" x14ac:dyDescent="0.35">
      <c r="A47">
        <v>5</v>
      </c>
      <c r="B47">
        <v>6</v>
      </c>
      <c r="D47" s="4">
        <v>-3</v>
      </c>
      <c r="E47" s="4">
        <v>0</v>
      </c>
      <c r="F47" s="4">
        <v>2</v>
      </c>
    </row>
    <row r="48" spans="1:6" x14ac:dyDescent="0.35">
      <c r="A48">
        <v>5</v>
      </c>
      <c r="B48">
        <v>7</v>
      </c>
      <c r="D48" s="4">
        <v>-10</v>
      </c>
      <c r="E48" s="4">
        <v>0</v>
      </c>
      <c r="F48" s="4">
        <v>10</v>
      </c>
    </row>
    <row r="49" spans="1:6" x14ac:dyDescent="0.35">
      <c r="A49">
        <v>5</v>
      </c>
      <c r="B49">
        <v>8</v>
      </c>
      <c r="D49" s="4">
        <v>0</v>
      </c>
      <c r="E49" s="4">
        <v>5</v>
      </c>
      <c r="F49" s="4">
        <v>15</v>
      </c>
    </row>
    <row r="50" spans="1:6" x14ac:dyDescent="0.35">
      <c r="A50">
        <v>5</v>
      </c>
      <c r="B50">
        <v>9</v>
      </c>
      <c r="D50" s="4">
        <v>-2</v>
      </c>
      <c r="E50" s="4">
        <v>0</v>
      </c>
      <c r="F50" s="4">
        <v>2</v>
      </c>
    </row>
    <row r="51" spans="1:6" x14ac:dyDescent="0.35">
      <c r="A51">
        <v>5</v>
      </c>
      <c r="B51">
        <v>10</v>
      </c>
      <c r="D51" s="4">
        <v>-2</v>
      </c>
      <c r="E51" s="4">
        <v>2</v>
      </c>
      <c r="F51" s="4">
        <v>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3"/>
  <dimension ref="A1:S100"/>
  <sheetViews>
    <sheetView workbookViewId="0"/>
  </sheetViews>
  <sheetFormatPr defaultRowHeight="14.5" x14ac:dyDescent="0.35"/>
  <cols>
    <col min="1" max="1" width="5.90625" bestFit="1" customWidth="1"/>
    <col min="2" max="2" width="8" bestFit="1" customWidth="1"/>
    <col min="3" max="3" width="8" customWidth="1"/>
    <col min="4" max="4" width="11.453125" bestFit="1" customWidth="1"/>
    <col min="5" max="6" width="8.54296875" bestFit="1" customWidth="1"/>
    <col min="8" max="8" width="9.54296875" customWidth="1"/>
  </cols>
  <sheetData>
    <row r="1" spans="1:19" x14ac:dyDescent="0.35">
      <c r="A1" t="s">
        <v>345</v>
      </c>
      <c r="H1" t="s">
        <v>58</v>
      </c>
    </row>
    <row r="2" spans="1:19" x14ac:dyDescent="0.35">
      <c r="A2">
        <v>1</v>
      </c>
      <c r="B2">
        <v>1</v>
      </c>
      <c r="D2" s="4">
        <v>7</v>
      </c>
      <c r="E2" s="4">
        <v>9</v>
      </c>
      <c r="F2" s="4">
        <v>11</v>
      </c>
      <c r="H2" s="4">
        <v>9.5573099999999993</v>
      </c>
      <c r="K2" t="s">
        <v>341</v>
      </c>
      <c r="L2" s="7" t="s">
        <v>13</v>
      </c>
      <c r="M2" s="7" t="s">
        <v>14</v>
      </c>
      <c r="N2" s="7" t="s">
        <v>12</v>
      </c>
      <c r="O2" s="7" t="s">
        <v>264</v>
      </c>
      <c r="P2" s="7" t="s">
        <v>193</v>
      </c>
      <c r="Q2" s="7" t="s">
        <v>194</v>
      </c>
      <c r="R2" s="7" t="s">
        <v>195</v>
      </c>
      <c r="S2" s="7" t="s">
        <v>265</v>
      </c>
    </row>
    <row r="3" spans="1:19" x14ac:dyDescent="0.35">
      <c r="A3">
        <v>1</v>
      </c>
      <c r="B3">
        <v>2</v>
      </c>
      <c r="D3" s="4">
        <v>1</v>
      </c>
      <c r="E3" s="4">
        <v>4</v>
      </c>
      <c r="F3" s="4">
        <v>7</v>
      </c>
      <c r="H3" s="4">
        <v>6.0401199999999999</v>
      </c>
      <c r="L3" s="7">
        <v>0.22510322346803557</v>
      </c>
      <c r="M3" s="7">
        <v>0.22868134141995325</v>
      </c>
      <c r="N3" s="7">
        <v>0.7063129744327834</v>
      </c>
      <c r="O3" s="7">
        <v>3.00443525144039E-4</v>
      </c>
      <c r="P3" s="7">
        <v>0.14099999999999999</v>
      </c>
      <c r="Q3" s="7">
        <v>0.30499999999999999</v>
      </c>
      <c r="R3" s="7">
        <v>0.35899999999999999</v>
      </c>
      <c r="S3" s="13">
        <v>0.91200000000000003</v>
      </c>
    </row>
    <row r="4" spans="1:19" x14ac:dyDescent="0.35">
      <c r="A4">
        <v>1</v>
      </c>
      <c r="B4">
        <v>3</v>
      </c>
      <c r="D4" s="4">
        <v>1</v>
      </c>
      <c r="E4" s="4">
        <v>3</v>
      </c>
      <c r="F4" s="4">
        <v>6</v>
      </c>
      <c r="H4" s="4">
        <v>3.1478899999999999</v>
      </c>
      <c r="K4" t="s">
        <v>346</v>
      </c>
      <c r="L4" t="s">
        <v>13</v>
      </c>
      <c r="M4" t="s">
        <v>14</v>
      </c>
      <c r="N4" t="s">
        <v>12</v>
      </c>
      <c r="O4" t="s">
        <v>264</v>
      </c>
      <c r="P4" t="s">
        <v>193</v>
      </c>
      <c r="Q4" t="s">
        <v>194</v>
      </c>
      <c r="R4" t="s">
        <v>195</v>
      </c>
      <c r="S4" t="s">
        <v>265</v>
      </c>
    </row>
    <row r="5" spans="1:19" x14ac:dyDescent="0.35">
      <c r="A5">
        <v>1</v>
      </c>
      <c r="B5">
        <v>4</v>
      </c>
      <c r="D5" s="4">
        <v>0.5</v>
      </c>
      <c r="E5" s="4">
        <v>2</v>
      </c>
      <c r="F5" s="4">
        <v>3</v>
      </c>
      <c r="H5" s="4">
        <v>2.1109</v>
      </c>
      <c r="L5">
        <v>0.82720937127769523</v>
      </c>
      <c r="M5">
        <v>0.27091432032351664</v>
      </c>
      <c r="N5">
        <v>1.1384870342744327</v>
      </c>
      <c r="O5">
        <v>0.29605201359765926</v>
      </c>
      <c r="Q5">
        <v>1</v>
      </c>
      <c r="R5">
        <v>0.95699999999999996</v>
      </c>
      <c r="S5">
        <v>1</v>
      </c>
    </row>
    <row r="6" spans="1:19" x14ac:dyDescent="0.35">
      <c r="A6">
        <v>1</v>
      </c>
      <c r="B6">
        <v>5</v>
      </c>
      <c r="D6" s="4">
        <v>0.5</v>
      </c>
      <c r="E6" s="4">
        <v>3</v>
      </c>
      <c r="F6" s="4">
        <v>5</v>
      </c>
      <c r="H6" s="4">
        <v>1.4101999999999999</v>
      </c>
      <c r="K6" t="s">
        <v>347</v>
      </c>
      <c r="L6" t="s">
        <v>13</v>
      </c>
      <c r="M6" t="s">
        <v>14</v>
      </c>
      <c r="N6" t="s">
        <v>12</v>
      </c>
      <c r="O6" t="s">
        <v>264</v>
      </c>
      <c r="P6" t="s">
        <v>193</v>
      </c>
      <c r="Q6" t="s">
        <v>194</v>
      </c>
      <c r="R6" t="s">
        <v>195</v>
      </c>
      <c r="S6" t="s">
        <v>265</v>
      </c>
    </row>
    <row r="7" spans="1:19" x14ac:dyDescent="0.35">
      <c r="A7">
        <v>1</v>
      </c>
      <c r="B7">
        <v>6</v>
      </c>
      <c r="D7" s="4">
        <v>0.5</v>
      </c>
      <c r="E7" s="4">
        <v>3</v>
      </c>
      <c r="F7" s="4">
        <v>5</v>
      </c>
      <c r="H7" s="4">
        <v>1.9443999999999999</v>
      </c>
      <c r="L7">
        <v>0.18083736949103105</v>
      </c>
      <c r="M7">
        <v>0.18090111324081357</v>
      </c>
      <c r="N7">
        <v>0.48002653009589275</v>
      </c>
      <c r="O7">
        <v>2.2053187602104633E-4</v>
      </c>
      <c r="P7">
        <v>0.13700000000000001</v>
      </c>
      <c r="Q7">
        <v>0.27900000000000003</v>
      </c>
      <c r="R7">
        <v>0.187</v>
      </c>
      <c r="S7">
        <v>0.93899999999999995</v>
      </c>
    </row>
    <row r="8" spans="1:19" x14ac:dyDescent="0.35">
      <c r="A8">
        <v>1</v>
      </c>
      <c r="B8">
        <v>7</v>
      </c>
      <c r="D8" s="4">
        <v>1</v>
      </c>
      <c r="E8" s="4">
        <v>1.8</v>
      </c>
      <c r="F8" s="4">
        <v>3.5</v>
      </c>
      <c r="H8" s="4">
        <v>1.2989999999999999</v>
      </c>
    </row>
    <row r="9" spans="1:19" x14ac:dyDescent="0.35">
      <c r="A9">
        <v>1</v>
      </c>
      <c r="B9">
        <v>8</v>
      </c>
      <c r="D9" s="4">
        <v>25</v>
      </c>
      <c r="E9" s="4">
        <v>40</v>
      </c>
      <c r="F9" s="4">
        <v>150</v>
      </c>
      <c r="H9" s="4">
        <v>62.693899999999999</v>
      </c>
    </row>
    <row r="10" spans="1:19" x14ac:dyDescent="0.35">
      <c r="A10">
        <v>1</v>
      </c>
      <c r="B10">
        <v>9</v>
      </c>
      <c r="D10" s="4">
        <v>1</v>
      </c>
      <c r="E10" s="4">
        <v>15</v>
      </c>
      <c r="F10" s="4">
        <v>20</v>
      </c>
      <c r="H10" s="4">
        <v>4.6576300000000002</v>
      </c>
    </row>
    <row r="11" spans="1:19" x14ac:dyDescent="0.35">
      <c r="A11">
        <v>1</v>
      </c>
      <c r="B11">
        <v>10</v>
      </c>
      <c r="D11" s="4">
        <v>650</v>
      </c>
      <c r="E11" s="4">
        <v>950</v>
      </c>
      <c r="F11" s="4">
        <v>1800</v>
      </c>
      <c r="H11" s="4">
        <v>664.63599999999997</v>
      </c>
    </row>
    <row r="12" spans="1:19" x14ac:dyDescent="0.35">
      <c r="A12">
        <v>1</v>
      </c>
      <c r="B12">
        <v>11</v>
      </c>
      <c r="D12" s="4">
        <v>90</v>
      </c>
      <c r="E12" s="4">
        <v>420</v>
      </c>
      <c r="F12" s="4">
        <v>600</v>
      </c>
      <c r="H12" s="4">
        <v>623.10199999999998</v>
      </c>
    </row>
    <row r="13" spans="1:19" x14ac:dyDescent="0.35">
      <c r="A13">
        <v>2</v>
      </c>
      <c r="B13">
        <v>1</v>
      </c>
      <c r="D13" s="4">
        <v>7.5</v>
      </c>
      <c r="E13" s="4">
        <v>8.5</v>
      </c>
      <c r="F13" s="4">
        <v>10</v>
      </c>
    </row>
    <row r="14" spans="1:19" x14ac:dyDescent="0.35">
      <c r="A14">
        <v>2</v>
      </c>
      <c r="B14">
        <v>2</v>
      </c>
      <c r="D14" s="4">
        <v>3</v>
      </c>
      <c r="E14" s="4">
        <v>5.5</v>
      </c>
      <c r="F14" s="4">
        <v>7</v>
      </c>
    </row>
    <row r="15" spans="1:19" x14ac:dyDescent="0.35">
      <c r="A15">
        <v>2</v>
      </c>
      <c r="B15">
        <v>3</v>
      </c>
      <c r="D15" s="4">
        <v>1</v>
      </c>
      <c r="E15" s="4">
        <v>2.1</v>
      </c>
      <c r="F15" s="4">
        <v>3</v>
      </c>
    </row>
    <row r="16" spans="1:19" x14ac:dyDescent="0.35">
      <c r="A16">
        <v>2</v>
      </c>
      <c r="B16">
        <v>4</v>
      </c>
      <c r="D16" s="4">
        <v>2</v>
      </c>
      <c r="E16" s="4">
        <v>3.5</v>
      </c>
      <c r="F16" s="4">
        <v>5.5</v>
      </c>
    </row>
    <row r="17" spans="1:6" x14ac:dyDescent="0.35">
      <c r="A17">
        <v>2</v>
      </c>
      <c r="B17">
        <v>5</v>
      </c>
      <c r="D17" s="4">
        <v>3</v>
      </c>
      <c r="E17" s="4">
        <v>4.5</v>
      </c>
      <c r="F17" s="4">
        <v>8</v>
      </c>
    </row>
    <row r="18" spans="1:6" x14ac:dyDescent="0.35">
      <c r="A18">
        <v>2</v>
      </c>
      <c r="B18">
        <v>6</v>
      </c>
      <c r="D18" s="4">
        <v>1.5</v>
      </c>
      <c r="E18" s="4">
        <v>4.5</v>
      </c>
      <c r="F18" s="4">
        <v>8</v>
      </c>
    </row>
    <row r="19" spans="1:6" x14ac:dyDescent="0.35">
      <c r="A19">
        <v>2</v>
      </c>
      <c r="B19">
        <v>7</v>
      </c>
      <c r="D19" s="4">
        <v>1.1000000000000001</v>
      </c>
      <c r="E19" s="4">
        <v>2</v>
      </c>
      <c r="F19" s="4">
        <v>2.7</v>
      </c>
    </row>
    <row r="20" spans="1:6" x14ac:dyDescent="0.35">
      <c r="A20">
        <v>2</v>
      </c>
      <c r="B20">
        <v>8</v>
      </c>
      <c r="D20" s="4">
        <v>23</v>
      </c>
      <c r="E20" s="4">
        <v>55</v>
      </c>
      <c r="F20" s="4">
        <v>90</v>
      </c>
    </row>
    <row r="21" spans="1:6" x14ac:dyDescent="0.35">
      <c r="A21">
        <v>2</v>
      </c>
      <c r="B21">
        <v>9</v>
      </c>
      <c r="D21" s="4">
        <v>3</v>
      </c>
      <c r="E21" s="4">
        <v>10</v>
      </c>
      <c r="F21" s="4">
        <v>21</v>
      </c>
    </row>
    <row r="22" spans="1:6" x14ac:dyDescent="0.35">
      <c r="A22">
        <v>2</v>
      </c>
      <c r="B22">
        <v>10</v>
      </c>
      <c r="D22" s="4">
        <v>690</v>
      </c>
      <c r="E22" s="4">
        <v>900</v>
      </c>
      <c r="F22" s="4">
        <v>1300</v>
      </c>
    </row>
    <row r="23" spans="1:6" x14ac:dyDescent="0.35">
      <c r="A23">
        <v>2</v>
      </c>
      <c r="B23">
        <v>11</v>
      </c>
      <c r="D23" s="4">
        <v>200</v>
      </c>
      <c r="E23" s="4">
        <v>400</v>
      </c>
      <c r="F23" s="4">
        <v>650</v>
      </c>
    </row>
    <row r="24" spans="1:6" x14ac:dyDescent="0.35">
      <c r="A24">
        <v>3</v>
      </c>
      <c r="B24">
        <v>1</v>
      </c>
      <c r="D24" s="4">
        <v>5</v>
      </c>
      <c r="E24" s="4">
        <v>8</v>
      </c>
      <c r="F24" s="4">
        <v>10</v>
      </c>
    </row>
    <row r="25" spans="1:6" x14ac:dyDescent="0.35">
      <c r="A25">
        <v>3</v>
      </c>
      <c r="B25">
        <v>2</v>
      </c>
      <c r="D25" s="4">
        <v>2</v>
      </c>
      <c r="E25" s="4">
        <v>4</v>
      </c>
      <c r="F25" s="4">
        <v>7</v>
      </c>
    </row>
    <row r="26" spans="1:6" x14ac:dyDescent="0.35">
      <c r="A26">
        <v>3</v>
      </c>
      <c r="B26">
        <v>3</v>
      </c>
      <c r="D26" s="4">
        <v>3</v>
      </c>
      <c r="E26" s="4">
        <v>5</v>
      </c>
      <c r="F26" s="4">
        <v>7</v>
      </c>
    </row>
    <row r="27" spans="1:6" x14ac:dyDescent="0.35">
      <c r="A27">
        <v>3</v>
      </c>
      <c r="B27">
        <v>4</v>
      </c>
      <c r="D27" s="4">
        <v>3</v>
      </c>
      <c r="E27" s="4">
        <v>4</v>
      </c>
      <c r="F27" s="4">
        <v>6</v>
      </c>
    </row>
    <row r="28" spans="1:6" x14ac:dyDescent="0.35">
      <c r="A28">
        <v>3</v>
      </c>
      <c r="B28">
        <v>5</v>
      </c>
      <c r="D28" s="4">
        <v>4</v>
      </c>
      <c r="E28" s="4">
        <v>7</v>
      </c>
      <c r="F28" s="4">
        <v>12</v>
      </c>
    </row>
    <row r="29" spans="1:6" x14ac:dyDescent="0.35">
      <c r="A29">
        <v>3</v>
      </c>
      <c r="B29">
        <v>6</v>
      </c>
      <c r="D29" s="4">
        <v>4</v>
      </c>
      <c r="E29" s="4">
        <v>7</v>
      </c>
      <c r="F29" s="4">
        <v>10</v>
      </c>
    </row>
    <row r="30" spans="1:6" x14ac:dyDescent="0.35">
      <c r="A30">
        <v>3</v>
      </c>
      <c r="B30">
        <v>7</v>
      </c>
      <c r="D30" s="4">
        <v>0.5</v>
      </c>
      <c r="E30" s="4">
        <v>1</v>
      </c>
      <c r="F30" s="4">
        <v>1.3</v>
      </c>
    </row>
    <row r="31" spans="1:6" x14ac:dyDescent="0.35">
      <c r="A31">
        <v>3</v>
      </c>
      <c r="B31">
        <v>8</v>
      </c>
      <c r="D31" s="4">
        <v>30</v>
      </c>
      <c r="E31" s="4">
        <v>40</v>
      </c>
      <c r="F31" s="4">
        <v>50</v>
      </c>
    </row>
    <row r="32" spans="1:6" x14ac:dyDescent="0.35">
      <c r="A32">
        <v>3</v>
      </c>
      <c r="B32">
        <v>9</v>
      </c>
      <c r="D32" s="4">
        <v>5</v>
      </c>
      <c r="E32" s="4">
        <v>10</v>
      </c>
      <c r="F32" s="4">
        <v>15</v>
      </c>
    </row>
    <row r="33" spans="1:6" x14ac:dyDescent="0.35">
      <c r="A33">
        <v>3</v>
      </c>
      <c r="B33">
        <v>10</v>
      </c>
      <c r="D33" s="4">
        <v>300</v>
      </c>
      <c r="E33" s="4">
        <v>650</v>
      </c>
      <c r="F33" s="4">
        <v>800</v>
      </c>
    </row>
    <row r="34" spans="1:6" x14ac:dyDescent="0.35">
      <c r="A34">
        <v>3</v>
      </c>
      <c r="B34">
        <v>11</v>
      </c>
      <c r="D34" s="4">
        <v>300</v>
      </c>
      <c r="E34" s="4">
        <v>650</v>
      </c>
      <c r="F34" s="4">
        <v>900</v>
      </c>
    </row>
    <row r="35" spans="1:6" x14ac:dyDescent="0.35">
      <c r="A35">
        <v>4</v>
      </c>
      <c r="B35">
        <v>1</v>
      </c>
      <c r="D35" s="4">
        <v>5</v>
      </c>
      <c r="E35" s="4">
        <v>7.5</v>
      </c>
      <c r="F35" s="4">
        <v>10</v>
      </c>
    </row>
    <row r="36" spans="1:6" x14ac:dyDescent="0.35">
      <c r="A36">
        <v>4</v>
      </c>
      <c r="B36">
        <v>2</v>
      </c>
      <c r="D36" s="4">
        <v>3.5</v>
      </c>
      <c r="E36" s="4">
        <v>6</v>
      </c>
      <c r="F36" s="4">
        <v>9</v>
      </c>
    </row>
    <row r="37" spans="1:6" x14ac:dyDescent="0.35">
      <c r="A37">
        <v>4</v>
      </c>
      <c r="B37">
        <v>3</v>
      </c>
      <c r="D37" s="4">
        <v>1</v>
      </c>
      <c r="E37" s="4">
        <v>3</v>
      </c>
      <c r="F37" s="4">
        <v>5</v>
      </c>
    </row>
    <row r="38" spans="1:6" x14ac:dyDescent="0.35">
      <c r="A38">
        <v>4</v>
      </c>
      <c r="B38">
        <v>4</v>
      </c>
      <c r="D38" s="4">
        <v>0.3</v>
      </c>
      <c r="E38" s="4">
        <v>2</v>
      </c>
      <c r="F38" s="4">
        <v>4.5</v>
      </c>
    </row>
    <row r="39" spans="1:6" x14ac:dyDescent="0.35">
      <c r="A39">
        <v>4</v>
      </c>
      <c r="B39">
        <v>5</v>
      </c>
      <c r="D39" s="4">
        <v>0.5</v>
      </c>
      <c r="E39" s="4">
        <v>2.5</v>
      </c>
      <c r="F39" s="4">
        <v>4</v>
      </c>
    </row>
    <row r="40" spans="1:6" x14ac:dyDescent="0.35">
      <c r="A40">
        <v>4</v>
      </c>
      <c r="B40">
        <v>6</v>
      </c>
      <c r="D40" s="4">
        <v>0.5</v>
      </c>
      <c r="E40" s="4">
        <v>2.5</v>
      </c>
      <c r="F40" s="4">
        <v>4</v>
      </c>
    </row>
    <row r="41" spans="1:6" x14ac:dyDescent="0.35">
      <c r="A41">
        <v>4</v>
      </c>
      <c r="B41">
        <v>7</v>
      </c>
      <c r="D41" s="4">
        <v>0.35</v>
      </c>
      <c r="E41" s="4">
        <v>0.9</v>
      </c>
      <c r="F41" s="4">
        <v>1.8</v>
      </c>
    </row>
    <row r="42" spans="1:6" x14ac:dyDescent="0.35">
      <c r="A42">
        <v>4</v>
      </c>
      <c r="B42">
        <v>8</v>
      </c>
      <c r="D42" s="4">
        <v>15</v>
      </c>
      <c r="E42" s="4">
        <v>40</v>
      </c>
      <c r="F42" s="4">
        <v>70</v>
      </c>
    </row>
    <row r="43" spans="1:6" x14ac:dyDescent="0.35">
      <c r="A43">
        <v>4</v>
      </c>
      <c r="B43">
        <v>9</v>
      </c>
      <c r="D43" s="4">
        <v>4</v>
      </c>
      <c r="E43" s="4">
        <v>10</v>
      </c>
      <c r="F43" s="4">
        <v>30</v>
      </c>
    </row>
    <row r="44" spans="1:6" x14ac:dyDescent="0.35">
      <c r="A44">
        <v>4</v>
      </c>
      <c r="B44">
        <v>10</v>
      </c>
      <c r="D44" s="4">
        <v>100</v>
      </c>
      <c r="E44" s="4">
        <v>650</v>
      </c>
      <c r="F44" s="4">
        <v>2000</v>
      </c>
    </row>
    <row r="45" spans="1:6" x14ac:dyDescent="0.35">
      <c r="A45">
        <v>4</v>
      </c>
      <c r="B45">
        <v>11</v>
      </c>
      <c r="D45" s="4">
        <v>120</v>
      </c>
      <c r="E45" s="4">
        <v>400</v>
      </c>
      <c r="F45" s="4">
        <v>1000</v>
      </c>
    </row>
    <row r="46" spans="1:6" x14ac:dyDescent="0.35">
      <c r="A46">
        <v>5</v>
      </c>
      <c r="B46">
        <v>1</v>
      </c>
      <c r="D46" s="4">
        <v>7</v>
      </c>
      <c r="E46" s="4">
        <v>9</v>
      </c>
      <c r="F46" s="4">
        <v>11</v>
      </c>
    </row>
    <row r="47" spans="1:6" x14ac:dyDescent="0.35">
      <c r="A47">
        <v>5</v>
      </c>
      <c r="B47">
        <v>2</v>
      </c>
      <c r="D47" s="4">
        <v>4</v>
      </c>
      <c r="E47" s="4">
        <v>5</v>
      </c>
      <c r="F47" s="4">
        <v>7</v>
      </c>
    </row>
    <row r="48" spans="1:6" x14ac:dyDescent="0.35">
      <c r="A48">
        <v>5</v>
      </c>
      <c r="B48">
        <v>3</v>
      </c>
      <c r="D48" s="4">
        <v>2.5</v>
      </c>
      <c r="E48" s="4">
        <v>4</v>
      </c>
      <c r="F48" s="4">
        <v>5</v>
      </c>
    </row>
    <row r="49" spans="1:6" x14ac:dyDescent="0.35">
      <c r="A49">
        <v>5</v>
      </c>
      <c r="B49">
        <v>4</v>
      </c>
      <c r="D49" s="4">
        <v>2</v>
      </c>
      <c r="E49" s="4">
        <v>3</v>
      </c>
      <c r="F49" s="4">
        <v>4</v>
      </c>
    </row>
    <row r="50" spans="1:6" x14ac:dyDescent="0.35">
      <c r="A50">
        <v>5</v>
      </c>
      <c r="B50">
        <v>5</v>
      </c>
      <c r="D50" s="4">
        <v>2</v>
      </c>
      <c r="E50" s="4">
        <v>3</v>
      </c>
      <c r="F50" s="4">
        <v>4</v>
      </c>
    </row>
    <row r="51" spans="1:6" x14ac:dyDescent="0.35">
      <c r="A51">
        <v>5</v>
      </c>
      <c r="B51">
        <v>6</v>
      </c>
      <c r="D51" s="4">
        <v>3</v>
      </c>
      <c r="E51" s="4">
        <v>4</v>
      </c>
      <c r="F51" s="4">
        <v>5</v>
      </c>
    </row>
    <row r="52" spans="1:6" x14ac:dyDescent="0.35">
      <c r="A52">
        <v>5</v>
      </c>
      <c r="B52">
        <v>7</v>
      </c>
      <c r="D52" s="4">
        <v>0.5</v>
      </c>
      <c r="E52" s="4">
        <v>1</v>
      </c>
      <c r="F52" s="4">
        <v>1.5</v>
      </c>
    </row>
    <row r="53" spans="1:6" x14ac:dyDescent="0.35">
      <c r="A53">
        <v>5</v>
      </c>
      <c r="B53">
        <v>8</v>
      </c>
      <c r="D53" s="4">
        <v>25</v>
      </c>
      <c r="E53" s="4">
        <v>50</v>
      </c>
      <c r="F53" s="4">
        <v>100</v>
      </c>
    </row>
    <row r="54" spans="1:6" x14ac:dyDescent="0.35">
      <c r="A54">
        <v>5</v>
      </c>
      <c r="B54">
        <v>9</v>
      </c>
      <c r="D54" s="4">
        <v>2</v>
      </c>
      <c r="E54" s="4">
        <v>5</v>
      </c>
      <c r="F54" s="4">
        <v>10</v>
      </c>
    </row>
    <row r="55" spans="1:6" x14ac:dyDescent="0.35">
      <c r="A55">
        <v>5</v>
      </c>
      <c r="B55">
        <v>10</v>
      </c>
      <c r="D55" s="4">
        <v>365</v>
      </c>
      <c r="E55" s="4">
        <v>600</v>
      </c>
      <c r="F55" s="4">
        <v>900</v>
      </c>
    </row>
    <row r="56" spans="1:6" x14ac:dyDescent="0.35">
      <c r="A56">
        <v>5</v>
      </c>
      <c r="B56">
        <v>11</v>
      </c>
      <c r="D56" s="4">
        <v>365</v>
      </c>
      <c r="E56" s="4">
        <v>600</v>
      </c>
      <c r="F56" s="4">
        <v>900</v>
      </c>
    </row>
    <row r="57" spans="1:6" x14ac:dyDescent="0.35">
      <c r="A57">
        <v>6</v>
      </c>
      <c r="B57">
        <v>1</v>
      </c>
      <c r="D57" s="4">
        <v>7</v>
      </c>
      <c r="E57" s="4">
        <v>8</v>
      </c>
      <c r="F57" s="4">
        <v>10</v>
      </c>
    </row>
    <row r="58" spans="1:6" x14ac:dyDescent="0.35">
      <c r="A58">
        <v>6</v>
      </c>
      <c r="B58">
        <v>2</v>
      </c>
      <c r="D58" s="4">
        <v>3.5</v>
      </c>
      <c r="E58" s="4">
        <v>5</v>
      </c>
      <c r="F58" s="4">
        <v>7</v>
      </c>
    </row>
    <row r="59" spans="1:6" x14ac:dyDescent="0.35">
      <c r="A59">
        <v>6</v>
      </c>
      <c r="B59">
        <v>3</v>
      </c>
      <c r="D59" s="4">
        <v>2.5</v>
      </c>
      <c r="E59" s="4">
        <v>3.5</v>
      </c>
      <c r="F59" s="4">
        <v>4.5</v>
      </c>
    </row>
    <row r="60" spans="1:6" x14ac:dyDescent="0.35">
      <c r="A60">
        <v>6</v>
      </c>
      <c r="B60">
        <v>4</v>
      </c>
      <c r="D60" s="4">
        <v>1</v>
      </c>
      <c r="E60" s="4">
        <v>2</v>
      </c>
      <c r="F60" s="4">
        <v>3</v>
      </c>
    </row>
    <row r="61" spans="1:6" x14ac:dyDescent="0.35">
      <c r="A61">
        <v>6</v>
      </c>
      <c r="B61">
        <v>5</v>
      </c>
      <c r="D61" s="4">
        <v>2</v>
      </c>
      <c r="E61" s="4">
        <v>3</v>
      </c>
      <c r="F61" s="4">
        <v>4.5</v>
      </c>
    </row>
    <row r="62" spans="1:6" x14ac:dyDescent="0.35">
      <c r="A62">
        <v>6</v>
      </c>
      <c r="B62">
        <v>6</v>
      </c>
      <c r="D62" s="4">
        <v>2</v>
      </c>
      <c r="E62" s="4">
        <v>3</v>
      </c>
      <c r="F62" s="4">
        <v>4</v>
      </c>
    </row>
    <row r="63" spans="1:6" x14ac:dyDescent="0.35">
      <c r="A63">
        <v>6</v>
      </c>
      <c r="B63">
        <v>7</v>
      </c>
      <c r="D63" s="4">
        <v>0.5</v>
      </c>
      <c r="E63" s="4">
        <v>1.5</v>
      </c>
      <c r="F63" s="4">
        <v>2</v>
      </c>
    </row>
    <row r="64" spans="1:6" x14ac:dyDescent="0.35">
      <c r="A64">
        <v>6</v>
      </c>
      <c r="B64">
        <v>8</v>
      </c>
      <c r="D64" s="4">
        <v>40</v>
      </c>
      <c r="E64" s="4">
        <v>75</v>
      </c>
      <c r="F64" s="4">
        <v>100</v>
      </c>
    </row>
    <row r="65" spans="1:6" x14ac:dyDescent="0.35">
      <c r="A65">
        <v>6</v>
      </c>
      <c r="B65">
        <v>9</v>
      </c>
      <c r="D65" s="4">
        <v>3</v>
      </c>
      <c r="E65" s="4">
        <v>5</v>
      </c>
      <c r="F65" s="4">
        <v>10</v>
      </c>
    </row>
    <row r="66" spans="1:6" x14ac:dyDescent="0.35">
      <c r="A66">
        <v>6</v>
      </c>
      <c r="B66">
        <v>10</v>
      </c>
      <c r="D66" s="4">
        <v>400</v>
      </c>
      <c r="E66" s="4">
        <v>700</v>
      </c>
      <c r="F66" s="4">
        <v>1000</v>
      </c>
    </row>
    <row r="67" spans="1:6" x14ac:dyDescent="0.35">
      <c r="A67">
        <v>6</v>
      </c>
      <c r="B67">
        <v>11</v>
      </c>
      <c r="D67" s="4">
        <v>250</v>
      </c>
      <c r="E67" s="4">
        <v>400</v>
      </c>
      <c r="F67" s="4">
        <v>600</v>
      </c>
    </row>
    <row r="68" spans="1:6" x14ac:dyDescent="0.35">
      <c r="A68">
        <v>7</v>
      </c>
      <c r="B68">
        <v>1</v>
      </c>
      <c r="D68" s="4">
        <v>4</v>
      </c>
      <c r="E68" s="4">
        <v>10</v>
      </c>
      <c r="F68" s="4">
        <v>14</v>
      </c>
    </row>
    <row r="69" spans="1:6" x14ac:dyDescent="0.35">
      <c r="A69">
        <v>7</v>
      </c>
      <c r="B69">
        <v>2</v>
      </c>
      <c r="D69" s="4">
        <v>1</v>
      </c>
      <c r="E69" s="4">
        <v>5</v>
      </c>
      <c r="F69" s="4">
        <v>8</v>
      </c>
    </row>
    <row r="70" spans="1:6" x14ac:dyDescent="0.35">
      <c r="A70">
        <v>7</v>
      </c>
      <c r="B70">
        <v>3</v>
      </c>
      <c r="D70" s="4">
        <v>1</v>
      </c>
      <c r="E70" s="4">
        <v>3.5</v>
      </c>
      <c r="F70" s="4">
        <v>6.5</v>
      </c>
    </row>
    <row r="71" spans="1:6" x14ac:dyDescent="0.35">
      <c r="A71">
        <v>7</v>
      </c>
      <c r="B71">
        <v>4</v>
      </c>
      <c r="D71" s="4">
        <v>1</v>
      </c>
      <c r="E71" s="4">
        <v>5</v>
      </c>
      <c r="F71" s="4">
        <v>10</v>
      </c>
    </row>
    <row r="72" spans="1:6" x14ac:dyDescent="0.35">
      <c r="A72">
        <v>7</v>
      </c>
      <c r="B72">
        <v>5</v>
      </c>
      <c r="D72" s="4">
        <v>1</v>
      </c>
      <c r="E72" s="4">
        <v>2</v>
      </c>
      <c r="F72" s="4">
        <v>5</v>
      </c>
    </row>
    <row r="73" spans="1:6" x14ac:dyDescent="0.35">
      <c r="A73">
        <v>7</v>
      </c>
      <c r="B73">
        <v>6</v>
      </c>
      <c r="D73" s="4">
        <v>1</v>
      </c>
      <c r="E73" s="4">
        <v>5</v>
      </c>
      <c r="F73" s="4">
        <v>10</v>
      </c>
    </row>
    <row r="74" spans="1:6" x14ac:dyDescent="0.35">
      <c r="A74">
        <v>7</v>
      </c>
      <c r="B74">
        <v>7</v>
      </c>
      <c r="D74" s="4">
        <v>1</v>
      </c>
      <c r="E74" s="4">
        <v>3.5</v>
      </c>
      <c r="F74" s="4">
        <v>5</v>
      </c>
    </row>
    <row r="75" spans="1:6" x14ac:dyDescent="0.35">
      <c r="A75">
        <v>7</v>
      </c>
      <c r="B75">
        <v>8</v>
      </c>
      <c r="D75" s="4">
        <v>50</v>
      </c>
      <c r="E75" s="4">
        <v>100</v>
      </c>
      <c r="F75" s="4">
        <v>200</v>
      </c>
    </row>
    <row r="76" spans="1:6" x14ac:dyDescent="0.35">
      <c r="A76">
        <v>7</v>
      </c>
      <c r="B76">
        <v>9</v>
      </c>
      <c r="D76" s="4">
        <v>5</v>
      </c>
      <c r="E76" s="4">
        <v>20</v>
      </c>
      <c r="F76" s="4">
        <v>40</v>
      </c>
    </row>
    <row r="77" spans="1:6" x14ac:dyDescent="0.35">
      <c r="A77">
        <v>7</v>
      </c>
      <c r="B77">
        <v>10</v>
      </c>
      <c r="D77" s="4">
        <v>100</v>
      </c>
      <c r="E77" s="4">
        <v>700</v>
      </c>
      <c r="F77" s="4">
        <v>1200</v>
      </c>
    </row>
    <row r="78" spans="1:6" x14ac:dyDescent="0.35">
      <c r="A78">
        <v>7</v>
      </c>
      <c r="B78">
        <v>11</v>
      </c>
      <c r="D78" s="4">
        <v>100</v>
      </c>
      <c r="E78" s="4">
        <v>600</v>
      </c>
      <c r="F78" s="4">
        <v>900</v>
      </c>
    </row>
    <row r="79" spans="1:6" x14ac:dyDescent="0.35">
      <c r="A79">
        <v>8</v>
      </c>
      <c r="B79">
        <v>1</v>
      </c>
      <c r="D79" s="4">
        <v>5</v>
      </c>
      <c r="E79" s="4">
        <v>7</v>
      </c>
      <c r="F79" s="4">
        <v>9</v>
      </c>
    </row>
    <row r="80" spans="1:6" x14ac:dyDescent="0.35">
      <c r="A80">
        <v>8</v>
      </c>
      <c r="B80">
        <v>2</v>
      </c>
      <c r="D80" s="4">
        <v>3</v>
      </c>
      <c r="E80" s="4">
        <v>4.5</v>
      </c>
      <c r="F80" s="4">
        <v>7</v>
      </c>
    </row>
    <row r="81" spans="1:6" x14ac:dyDescent="0.35">
      <c r="A81">
        <v>8</v>
      </c>
      <c r="B81">
        <v>3</v>
      </c>
      <c r="D81" s="4">
        <v>0</v>
      </c>
      <c r="E81" s="4">
        <v>3</v>
      </c>
      <c r="F81" s="4">
        <v>5</v>
      </c>
    </row>
    <row r="82" spans="1:6" x14ac:dyDescent="0.35">
      <c r="A82">
        <v>8</v>
      </c>
      <c r="B82">
        <v>4</v>
      </c>
      <c r="D82" s="4">
        <v>1</v>
      </c>
      <c r="E82" s="4">
        <v>2.5</v>
      </c>
      <c r="F82" s="4">
        <v>4</v>
      </c>
    </row>
    <row r="83" spans="1:6" x14ac:dyDescent="0.35">
      <c r="A83">
        <v>8</v>
      </c>
      <c r="B83">
        <v>5</v>
      </c>
      <c r="D83" s="4">
        <v>1</v>
      </c>
      <c r="E83" s="4">
        <v>2</v>
      </c>
      <c r="F83" s="4">
        <v>3.5</v>
      </c>
    </row>
    <row r="84" spans="1:6" x14ac:dyDescent="0.35">
      <c r="A84">
        <v>8</v>
      </c>
      <c r="B84">
        <v>6</v>
      </c>
      <c r="D84" s="4">
        <v>2</v>
      </c>
      <c r="E84" s="4">
        <v>4</v>
      </c>
      <c r="F84" s="4">
        <v>6</v>
      </c>
    </row>
    <row r="85" spans="1:6" x14ac:dyDescent="0.35">
      <c r="A85">
        <v>8</v>
      </c>
      <c r="B85">
        <v>7</v>
      </c>
      <c r="D85" s="4">
        <v>1</v>
      </c>
      <c r="E85" s="4">
        <v>1.75</v>
      </c>
      <c r="F85" s="4">
        <v>3</v>
      </c>
    </row>
    <row r="86" spans="1:6" x14ac:dyDescent="0.35">
      <c r="A86">
        <v>8</v>
      </c>
      <c r="B86">
        <v>8</v>
      </c>
      <c r="D86" s="4">
        <v>20</v>
      </c>
      <c r="E86" s="4">
        <v>30</v>
      </c>
      <c r="F86" s="4">
        <v>40</v>
      </c>
    </row>
    <row r="87" spans="1:6" x14ac:dyDescent="0.35">
      <c r="A87">
        <v>8</v>
      </c>
      <c r="B87">
        <v>9</v>
      </c>
      <c r="D87" s="4">
        <v>8</v>
      </c>
      <c r="E87" s="4">
        <v>12</v>
      </c>
      <c r="F87" s="4">
        <v>16</v>
      </c>
    </row>
    <row r="88" spans="1:6" x14ac:dyDescent="0.35">
      <c r="A88">
        <v>8</v>
      </c>
      <c r="B88">
        <v>10</v>
      </c>
      <c r="D88" s="4">
        <v>630</v>
      </c>
      <c r="E88" s="4">
        <v>730</v>
      </c>
      <c r="F88" s="4">
        <v>830</v>
      </c>
    </row>
    <row r="89" spans="1:6" x14ac:dyDescent="0.35">
      <c r="A89">
        <v>8</v>
      </c>
      <c r="B89">
        <v>11</v>
      </c>
      <c r="D89" s="4">
        <v>200</v>
      </c>
      <c r="E89" s="4">
        <v>365</v>
      </c>
      <c r="F89" s="4">
        <v>500</v>
      </c>
    </row>
    <row r="90" spans="1:6" x14ac:dyDescent="0.35">
      <c r="A90">
        <v>9</v>
      </c>
      <c r="B90">
        <v>1</v>
      </c>
      <c r="D90" s="4">
        <v>5</v>
      </c>
      <c r="E90" s="4">
        <v>7</v>
      </c>
      <c r="F90" s="4">
        <v>8</v>
      </c>
    </row>
    <row r="91" spans="1:6" x14ac:dyDescent="0.35">
      <c r="A91">
        <v>9</v>
      </c>
      <c r="B91">
        <v>2</v>
      </c>
      <c r="D91" s="4">
        <v>2</v>
      </c>
      <c r="E91" s="4">
        <v>4</v>
      </c>
      <c r="F91" s="4">
        <v>6</v>
      </c>
    </row>
    <row r="92" spans="1:6" x14ac:dyDescent="0.35">
      <c r="A92">
        <v>9</v>
      </c>
      <c r="B92">
        <v>3</v>
      </c>
      <c r="D92" s="4">
        <v>1</v>
      </c>
      <c r="E92" s="4">
        <v>2.5</v>
      </c>
      <c r="F92" s="4">
        <v>4</v>
      </c>
    </row>
    <row r="93" spans="1:6" x14ac:dyDescent="0.35">
      <c r="A93">
        <v>9</v>
      </c>
      <c r="B93">
        <v>4</v>
      </c>
      <c r="D93" s="4">
        <v>1.5</v>
      </c>
      <c r="E93" s="4">
        <v>2.5</v>
      </c>
      <c r="F93" s="4">
        <v>4.5</v>
      </c>
    </row>
    <row r="94" spans="1:6" x14ac:dyDescent="0.35">
      <c r="A94">
        <v>9</v>
      </c>
      <c r="B94">
        <v>5</v>
      </c>
      <c r="D94" s="4">
        <v>1.5</v>
      </c>
      <c r="E94" s="4">
        <v>2.5</v>
      </c>
      <c r="F94" s="4">
        <v>5</v>
      </c>
    </row>
    <row r="95" spans="1:6" x14ac:dyDescent="0.35">
      <c r="A95">
        <v>9</v>
      </c>
      <c r="B95">
        <v>6</v>
      </c>
      <c r="D95" s="4">
        <v>2</v>
      </c>
      <c r="E95" s="4">
        <v>3.5</v>
      </c>
      <c r="F95" s="4">
        <v>5.5</v>
      </c>
    </row>
    <row r="96" spans="1:6" x14ac:dyDescent="0.35">
      <c r="A96">
        <v>9</v>
      </c>
      <c r="B96">
        <v>7</v>
      </c>
      <c r="D96" s="4">
        <v>0.3</v>
      </c>
      <c r="E96" s="4">
        <v>0.6</v>
      </c>
      <c r="F96" s="4">
        <v>1.1000000000000001</v>
      </c>
    </row>
    <row r="97" spans="1:6" x14ac:dyDescent="0.35">
      <c r="A97">
        <v>9</v>
      </c>
      <c r="B97">
        <v>8</v>
      </c>
      <c r="D97" s="4">
        <v>75</v>
      </c>
      <c r="E97" s="4">
        <v>250</v>
      </c>
      <c r="F97" s="4">
        <v>500</v>
      </c>
    </row>
    <row r="98" spans="1:6" x14ac:dyDescent="0.35">
      <c r="A98">
        <v>9</v>
      </c>
      <c r="B98">
        <v>9</v>
      </c>
      <c r="D98" s="4">
        <v>10</v>
      </c>
      <c r="E98" s="4">
        <v>15</v>
      </c>
      <c r="F98" s="4">
        <v>35</v>
      </c>
    </row>
    <row r="99" spans="1:6" x14ac:dyDescent="0.35">
      <c r="A99">
        <v>9</v>
      </c>
      <c r="B99">
        <v>10</v>
      </c>
      <c r="D99" s="4">
        <v>350</v>
      </c>
      <c r="E99" s="4">
        <v>750</v>
      </c>
      <c r="F99" s="4">
        <v>1200</v>
      </c>
    </row>
    <row r="100" spans="1:6" x14ac:dyDescent="0.35">
      <c r="A100">
        <v>9</v>
      </c>
      <c r="B100">
        <v>11</v>
      </c>
      <c r="D100" s="4">
        <v>200</v>
      </c>
      <c r="E100" s="4">
        <v>500</v>
      </c>
      <c r="F100" s="4">
        <v>900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4"/>
  <dimension ref="A1:H145"/>
  <sheetViews>
    <sheetView workbookViewId="0"/>
  </sheetViews>
  <sheetFormatPr defaultRowHeight="14.5" x14ac:dyDescent="0.35"/>
  <sheetData>
    <row r="1" spans="1:8" x14ac:dyDescent="0.35">
      <c r="A1" s="9" t="s">
        <v>75</v>
      </c>
      <c r="H1" s="9" t="s">
        <v>58</v>
      </c>
    </row>
    <row r="2" spans="1:8" x14ac:dyDescent="0.35">
      <c r="A2" s="9">
        <v>1</v>
      </c>
      <c r="B2" s="9">
        <v>1</v>
      </c>
      <c r="C2" s="9" t="s">
        <v>59</v>
      </c>
      <c r="D2" s="15">
        <v>150</v>
      </c>
      <c r="E2" s="15">
        <v>600</v>
      </c>
      <c r="F2" s="22">
        <v>10000</v>
      </c>
      <c r="H2" s="15">
        <v>421</v>
      </c>
    </row>
    <row r="3" spans="1:8" x14ac:dyDescent="0.35">
      <c r="A3" s="9">
        <v>1</v>
      </c>
      <c r="B3" s="9">
        <v>2</v>
      </c>
      <c r="C3" s="9" t="s">
        <v>60</v>
      </c>
      <c r="D3" s="15">
        <v>200</v>
      </c>
      <c r="E3" s="15">
        <v>800</v>
      </c>
      <c r="F3" s="22">
        <v>2000</v>
      </c>
      <c r="H3" s="15">
        <v>1134</v>
      </c>
    </row>
    <row r="4" spans="1:8" x14ac:dyDescent="0.35">
      <c r="A4" s="9">
        <v>1</v>
      </c>
      <c r="B4" s="9">
        <v>3</v>
      </c>
      <c r="C4" s="9" t="s">
        <v>61</v>
      </c>
      <c r="D4" s="15">
        <v>50</v>
      </c>
      <c r="E4" s="15">
        <v>100</v>
      </c>
      <c r="F4" s="22">
        <v>200</v>
      </c>
      <c r="H4" s="15">
        <v>71</v>
      </c>
    </row>
    <row r="5" spans="1:8" x14ac:dyDescent="0.35">
      <c r="A5" s="9">
        <v>1</v>
      </c>
      <c r="B5" s="9">
        <v>4</v>
      </c>
      <c r="C5" s="9" t="s">
        <v>62</v>
      </c>
      <c r="D5" s="15">
        <v>30</v>
      </c>
      <c r="E5" s="15">
        <v>80</v>
      </c>
      <c r="F5" s="22">
        <v>150</v>
      </c>
      <c r="H5" s="15">
        <v>93</v>
      </c>
    </row>
    <row r="6" spans="1:8" x14ac:dyDescent="0.35">
      <c r="A6" s="9">
        <v>1</v>
      </c>
      <c r="B6" s="9">
        <v>5</v>
      </c>
      <c r="C6" s="9" t="s">
        <v>63</v>
      </c>
      <c r="D6" s="15">
        <v>25</v>
      </c>
      <c r="E6" s="15">
        <v>70</v>
      </c>
      <c r="F6" s="22">
        <v>125</v>
      </c>
      <c r="H6" s="15">
        <v>34</v>
      </c>
    </row>
    <row r="7" spans="1:8" x14ac:dyDescent="0.35">
      <c r="A7" s="9">
        <v>1</v>
      </c>
      <c r="B7" s="9">
        <v>6</v>
      </c>
      <c r="C7" s="9" t="s">
        <v>64</v>
      </c>
      <c r="D7" s="15">
        <v>50</v>
      </c>
      <c r="E7" s="15">
        <v>60</v>
      </c>
      <c r="F7" s="22">
        <v>70</v>
      </c>
      <c r="H7" s="15">
        <v>16</v>
      </c>
    </row>
    <row r="8" spans="1:8" x14ac:dyDescent="0.35">
      <c r="A8" s="9">
        <v>1</v>
      </c>
      <c r="B8" s="9">
        <v>7</v>
      </c>
      <c r="C8" s="9" t="s">
        <v>65</v>
      </c>
      <c r="D8" s="15">
        <v>60</v>
      </c>
      <c r="E8" s="15">
        <v>70</v>
      </c>
      <c r="F8" s="22">
        <v>80</v>
      </c>
      <c r="H8" s="15">
        <v>29</v>
      </c>
    </row>
    <row r="9" spans="1:8" x14ac:dyDescent="0.35">
      <c r="A9" s="9">
        <v>1</v>
      </c>
      <c r="B9" s="9">
        <v>8</v>
      </c>
      <c r="C9" s="9" t="s">
        <v>66</v>
      </c>
      <c r="D9" s="15">
        <v>-20</v>
      </c>
      <c r="E9" s="15">
        <v>5</v>
      </c>
      <c r="F9" s="22">
        <v>20</v>
      </c>
      <c r="H9" s="15">
        <v>59</v>
      </c>
    </row>
    <row r="10" spans="1:8" x14ac:dyDescent="0.35">
      <c r="A10" s="9">
        <v>1</v>
      </c>
      <c r="B10" s="9">
        <v>9</v>
      </c>
      <c r="C10" s="9" t="s">
        <v>67</v>
      </c>
      <c r="D10" s="15">
        <v>5</v>
      </c>
      <c r="E10" s="15">
        <v>10</v>
      </c>
      <c r="F10" s="22">
        <v>15</v>
      </c>
      <c r="H10" s="15">
        <v>11</v>
      </c>
    </row>
    <row r="11" spans="1:8" x14ac:dyDescent="0.35">
      <c r="A11" s="9">
        <v>1</v>
      </c>
      <c r="B11" s="9">
        <v>10</v>
      </c>
      <c r="C11" s="9" t="s">
        <v>68</v>
      </c>
      <c r="D11" s="15">
        <v>10</v>
      </c>
      <c r="E11" s="15">
        <v>25</v>
      </c>
      <c r="F11" s="22">
        <v>40</v>
      </c>
      <c r="H11" s="15">
        <v>26</v>
      </c>
    </row>
    <row r="12" spans="1:8" x14ac:dyDescent="0.35">
      <c r="A12" s="9">
        <v>1</v>
      </c>
      <c r="B12" s="9">
        <v>11</v>
      </c>
      <c r="C12" s="9" t="s">
        <v>69</v>
      </c>
      <c r="D12" s="15">
        <v>20</v>
      </c>
      <c r="E12" s="15">
        <v>35</v>
      </c>
      <c r="F12" s="22">
        <v>50</v>
      </c>
      <c r="H12" s="15">
        <v>63</v>
      </c>
    </row>
    <row r="13" spans="1:8" x14ac:dyDescent="0.35">
      <c r="A13" s="9">
        <v>1</v>
      </c>
      <c r="B13" s="9">
        <v>12</v>
      </c>
      <c r="C13" s="9" t="s">
        <v>70</v>
      </c>
      <c r="D13" s="15">
        <v>80000</v>
      </c>
      <c r="E13" s="15">
        <v>400000</v>
      </c>
      <c r="F13" s="22">
        <v>800000</v>
      </c>
      <c r="H13" s="15">
        <v>580000</v>
      </c>
    </row>
    <row r="14" spans="1:8" x14ac:dyDescent="0.35">
      <c r="A14" s="9">
        <v>1</v>
      </c>
      <c r="B14" s="9">
        <v>13</v>
      </c>
      <c r="C14" s="9" t="s">
        <v>71</v>
      </c>
      <c r="D14" s="15">
        <v>1</v>
      </c>
      <c r="E14" s="15">
        <v>5</v>
      </c>
      <c r="F14" s="22">
        <v>20</v>
      </c>
      <c r="H14" s="15">
        <v>11.3</v>
      </c>
    </row>
    <row r="15" spans="1:8" x14ac:dyDescent="0.35">
      <c r="A15" s="9">
        <v>1</v>
      </c>
      <c r="B15" s="9">
        <v>14</v>
      </c>
      <c r="C15" s="9" t="s">
        <v>72</v>
      </c>
      <c r="D15" s="15">
        <v>1</v>
      </c>
      <c r="E15" s="15">
        <v>5</v>
      </c>
      <c r="F15" s="22">
        <v>30</v>
      </c>
      <c r="H15" s="15">
        <v>23.8</v>
      </c>
    </row>
    <row r="16" spans="1:8" x14ac:dyDescent="0.35">
      <c r="A16" s="9">
        <v>1</v>
      </c>
      <c r="B16" s="9">
        <v>15</v>
      </c>
      <c r="C16" s="9" t="s">
        <v>73</v>
      </c>
      <c r="D16" s="15">
        <v>5</v>
      </c>
      <c r="E16" s="15">
        <v>15</v>
      </c>
      <c r="F16" s="22">
        <v>30</v>
      </c>
      <c r="H16" s="15">
        <v>9</v>
      </c>
    </row>
    <row r="17" spans="1:8" x14ac:dyDescent="0.35">
      <c r="A17" s="9">
        <v>1</v>
      </c>
      <c r="B17" s="9">
        <v>16</v>
      </c>
      <c r="C17" s="9" t="s">
        <v>74</v>
      </c>
      <c r="D17" s="15">
        <v>100000</v>
      </c>
      <c r="E17" s="15">
        <v>250000</v>
      </c>
      <c r="F17" s="22">
        <v>900000</v>
      </c>
      <c r="H17" s="15">
        <v>398000</v>
      </c>
    </row>
    <row r="18" spans="1:8" x14ac:dyDescent="0.35">
      <c r="A18" s="9">
        <v>2</v>
      </c>
      <c r="B18" s="9">
        <v>1</v>
      </c>
      <c r="C18" s="9" t="s">
        <v>59</v>
      </c>
      <c r="D18" s="15">
        <v>250</v>
      </c>
      <c r="E18" s="15">
        <v>550</v>
      </c>
      <c r="F18" s="22">
        <v>1250</v>
      </c>
    </row>
    <row r="19" spans="1:8" x14ac:dyDescent="0.35">
      <c r="A19" s="9">
        <v>2</v>
      </c>
      <c r="B19" s="9">
        <v>2</v>
      </c>
      <c r="C19" s="9" t="s">
        <v>60</v>
      </c>
      <c r="D19" s="15">
        <v>100</v>
      </c>
      <c r="E19" s="15">
        <v>250</v>
      </c>
      <c r="F19" s="22">
        <v>450</v>
      </c>
    </row>
    <row r="20" spans="1:8" x14ac:dyDescent="0.35">
      <c r="A20" s="9">
        <v>2</v>
      </c>
      <c r="B20" s="9">
        <v>3</v>
      </c>
      <c r="C20" s="9" t="s">
        <v>61</v>
      </c>
      <c r="D20" s="15">
        <v>3</v>
      </c>
      <c r="E20" s="15">
        <v>8</v>
      </c>
      <c r="F20" s="22">
        <v>20</v>
      </c>
    </row>
    <row r="21" spans="1:8" x14ac:dyDescent="0.35">
      <c r="A21" s="9">
        <v>2</v>
      </c>
      <c r="B21" s="9">
        <v>4</v>
      </c>
      <c r="C21" s="9" t="s">
        <v>62</v>
      </c>
      <c r="D21" s="15">
        <v>1</v>
      </c>
      <c r="E21" s="15">
        <v>8</v>
      </c>
      <c r="F21" s="22">
        <v>12</v>
      </c>
    </row>
    <row r="22" spans="1:8" x14ac:dyDescent="0.35">
      <c r="A22" s="9">
        <v>2</v>
      </c>
      <c r="B22" s="9">
        <v>5</v>
      </c>
      <c r="C22" s="9" t="s">
        <v>63</v>
      </c>
      <c r="D22" s="15">
        <v>10</v>
      </c>
      <c r="E22" s="15">
        <v>25</v>
      </c>
      <c r="F22" s="22">
        <v>50</v>
      </c>
    </row>
    <row r="23" spans="1:8" x14ac:dyDescent="0.35">
      <c r="A23" s="9">
        <v>2</v>
      </c>
      <c r="B23" s="9">
        <v>6</v>
      </c>
      <c r="C23" s="9" t="s">
        <v>64</v>
      </c>
      <c r="D23" s="15">
        <v>15</v>
      </c>
      <c r="E23" s="15">
        <v>35</v>
      </c>
      <c r="F23" s="22">
        <v>75</v>
      </c>
    </row>
    <row r="24" spans="1:8" x14ac:dyDescent="0.35">
      <c r="A24" s="9">
        <v>2</v>
      </c>
      <c r="B24" s="9">
        <v>7</v>
      </c>
      <c r="C24" s="9" t="s">
        <v>65</v>
      </c>
      <c r="D24" s="15">
        <v>200</v>
      </c>
      <c r="E24" s="15">
        <v>500</v>
      </c>
      <c r="F24" s="22">
        <v>680</v>
      </c>
    </row>
    <row r="25" spans="1:8" x14ac:dyDescent="0.35">
      <c r="A25" s="9">
        <v>2</v>
      </c>
      <c r="B25" s="9">
        <v>8</v>
      </c>
      <c r="C25" s="9" t="s">
        <v>66</v>
      </c>
      <c r="D25" s="15">
        <v>50</v>
      </c>
      <c r="E25" s="15">
        <v>120</v>
      </c>
      <c r="F25" s="22">
        <v>250</v>
      </c>
    </row>
    <row r="26" spans="1:8" x14ac:dyDescent="0.35">
      <c r="A26" s="9">
        <v>2</v>
      </c>
      <c r="B26" s="9">
        <v>9</v>
      </c>
      <c r="C26" s="9" t="s">
        <v>67</v>
      </c>
      <c r="D26" s="15">
        <v>25</v>
      </c>
      <c r="E26" s="15">
        <v>70</v>
      </c>
      <c r="F26" s="22">
        <v>150</v>
      </c>
    </row>
    <row r="27" spans="1:8" x14ac:dyDescent="0.35">
      <c r="A27" s="9">
        <v>2</v>
      </c>
      <c r="B27" s="9">
        <v>10</v>
      </c>
      <c r="C27" s="9" t="s">
        <v>68</v>
      </c>
      <c r="D27" s="15">
        <v>100</v>
      </c>
      <c r="E27" s="15">
        <v>200</v>
      </c>
      <c r="F27" s="22">
        <v>350</v>
      </c>
    </row>
    <row r="28" spans="1:8" x14ac:dyDescent="0.35">
      <c r="A28" s="9">
        <v>2</v>
      </c>
      <c r="B28" s="9">
        <v>11</v>
      </c>
      <c r="C28" s="9" t="s">
        <v>69</v>
      </c>
      <c r="D28" s="15">
        <v>15</v>
      </c>
      <c r="E28" s="15">
        <v>30</v>
      </c>
      <c r="F28" s="22">
        <v>60</v>
      </c>
    </row>
    <row r="29" spans="1:8" x14ac:dyDescent="0.35">
      <c r="A29" s="9">
        <v>2</v>
      </c>
      <c r="B29" s="9">
        <v>12</v>
      </c>
      <c r="C29" s="9" t="s">
        <v>70</v>
      </c>
      <c r="D29" s="15">
        <v>45000000</v>
      </c>
      <c r="E29" s="15">
        <v>90000000</v>
      </c>
      <c r="F29" s="22">
        <v>140000000</v>
      </c>
    </row>
    <row r="30" spans="1:8" x14ac:dyDescent="0.35">
      <c r="A30" s="9">
        <v>2</v>
      </c>
      <c r="B30" s="9">
        <v>13</v>
      </c>
      <c r="C30" s="9" t="s">
        <v>71</v>
      </c>
      <c r="D30" s="15">
        <v>15</v>
      </c>
      <c r="E30" s="15">
        <v>45</v>
      </c>
      <c r="F30" s="22">
        <v>60</v>
      </c>
    </row>
    <row r="31" spans="1:8" x14ac:dyDescent="0.35">
      <c r="A31" s="9">
        <v>2</v>
      </c>
      <c r="B31" s="9">
        <v>14</v>
      </c>
      <c r="C31" s="9" t="s">
        <v>72</v>
      </c>
      <c r="D31" s="15">
        <v>6</v>
      </c>
      <c r="E31" s="15">
        <v>25</v>
      </c>
      <c r="F31" s="22">
        <v>45</v>
      </c>
    </row>
    <row r="32" spans="1:8" x14ac:dyDescent="0.35">
      <c r="A32" s="9">
        <v>2</v>
      </c>
      <c r="B32" s="9">
        <v>15</v>
      </c>
      <c r="C32" s="9" t="s">
        <v>73</v>
      </c>
      <c r="D32" s="15">
        <v>25</v>
      </c>
      <c r="E32" s="15">
        <v>40</v>
      </c>
      <c r="F32" s="22">
        <v>75</v>
      </c>
    </row>
    <row r="33" spans="1:6" x14ac:dyDescent="0.35">
      <c r="A33" s="9">
        <v>2</v>
      </c>
      <c r="B33" s="9">
        <v>16</v>
      </c>
      <c r="C33" s="9" t="s">
        <v>74</v>
      </c>
      <c r="D33" s="15">
        <v>250000</v>
      </c>
      <c r="E33" s="15">
        <v>750000</v>
      </c>
      <c r="F33" s="22">
        <v>1800000</v>
      </c>
    </row>
    <row r="34" spans="1:6" x14ac:dyDescent="0.35">
      <c r="A34" s="9">
        <v>3</v>
      </c>
      <c r="B34" s="9">
        <v>1</v>
      </c>
      <c r="C34" s="9" t="s">
        <v>59</v>
      </c>
      <c r="D34" s="15">
        <v>50</v>
      </c>
      <c r="E34" s="15">
        <v>200</v>
      </c>
      <c r="F34" s="22">
        <v>600</v>
      </c>
    </row>
    <row r="35" spans="1:6" x14ac:dyDescent="0.35">
      <c r="A35" s="9">
        <v>3</v>
      </c>
      <c r="B35" s="9">
        <v>2</v>
      </c>
      <c r="C35" s="9" t="s">
        <v>60</v>
      </c>
      <c r="D35" s="15">
        <v>5</v>
      </c>
      <c r="E35" s="15">
        <v>90</v>
      </c>
      <c r="F35" s="22">
        <v>400</v>
      </c>
    </row>
    <row r="36" spans="1:6" x14ac:dyDescent="0.35">
      <c r="A36" s="9">
        <v>3</v>
      </c>
      <c r="B36" s="9">
        <v>3</v>
      </c>
      <c r="C36" s="9" t="s">
        <v>61</v>
      </c>
      <c r="D36" s="15">
        <v>5</v>
      </c>
      <c r="E36" s="15">
        <v>15</v>
      </c>
      <c r="F36" s="22">
        <v>200</v>
      </c>
    </row>
    <row r="37" spans="1:6" x14ac:dyDescent="0.35">
      <c r="A37" s="9">
        <v>3</v>
      </c>
      <c r="B37" s="9">
        <v>4</v>
      </c>
      <c r="C37" s="9" t="s">
        <v>62</v>
      </c>
      <c r="D37" s="15">
        <v>1</v>
      </c>
      <c r="E37" s="15">
        <v>5</v>
      </c>
      <c r="F37" s="22">
        <v>100</v>
      </c>
    </row>
    <row r="38" spans="1:6" x14ac:dyDescent="0.35">
      <c r="A38" s="9">
        <v>3</v>
      </c>
      <c r="B38" s="9">
        <v>5</v>
      </c>
      <c r="C38" s="9" t="s">
        <v>63</v>
      </c>
      <c r="D38" s="15">
        <v>1</v>
      </c>
      <c r="E38" s="15">
        <v>5</v>
      </c>
      <c r="F38" s="22">
        <v>100</v>
      </c>
    </row>
    <row r="39" spans="1:6" x14ac:dyDescent="0.35">
      <c r="A39" s="9">
        <v>3</v>
      </c>
      <c r="B39" s="9">
        <v>6</v>
      </c>
      <c r="C39" s="9" t="s">
        <v>64</v>
      </c>
      <c r="D39" s="15">
        <v>5</v>
      </c>
      <c r="E39" s="15">
        <v>15</v>
      </c>
      <c r="F39" s="22">
        <v>50</v>
      </c>
    </row>
    <row r="40" spans="1:6" x14ac:dyDescent="0.35">
      <c r="A40" s="9">
        <v>3</v>
      </c>
      <c r="B40" s="9">
        <v>7</v>
      </c>
      <c r="C40" s="9" t="s">
        <v>65</v>
      </c>
      <c r="D40" s="15">
        <v>5</v>
      </c>
      <c r="E40" s="15">
        <v>10</v>
      </c>
      <c r="F40" s="22">
        <v>50</v>
      </c>
    </row>
    <row r="41" spans="1:6" x14ac:dyDescent="0.35">
      <c r="A41" s="9">
        <v>3</v>
      </c>
      <c r="B41" s="9">
        <v>8</v>
      </c>
      <c r="C41" s="9" t="s">
        <v>66</v>
      </c>
      <c r="D41" s="15">
        <v>-300</v>
      </c>
      <c r="E41" s="15">
        <v>-10</v>
      </c>
      <c r="F41" s="22">
        <v>-5</v>
      </c>
    </row>
    <row r="42" spans="1:6" x14ac:dyDescent="0.35">
      <c r="A42" s="9">
        <v>3</v>
      </c>
      <c r="B42" s="9">
        <v>9</v>
      </c>
      <c r="C42" s="9" t="s">
        <v>67</v>
      </c>
      <c r="D42" s="15">
        <v>1</v>
      </c>
      <c r="E42" s="15">
        <v>5</v>
      </c>
      <c r="F42" s="22">
        <v>30</v>
      </c>
    </row>
    <row r="43" spans="1:6" x14ac:dyDescent="0.35">
      <c r="A43" s="9">
        <v>3</v>
      </c>
      <c r="B43" s="9">
        <v>10</v>
      </c>
      <c r="C43" s="9" t="s">
        <v>68</v>
      </c>
      <c r="D43" s="15">
        <v>3</v>
      </c>
      <c r="E43" s="15">
        <v>30</v>
      </c>
      <c r="F43" s="22">
        <v>100</v>
      </c>
    </row>
    <row r="44" spans="1:6" x14ac:dyDescent="0.35">
      <c r="A44" s="9">
        <v>3</v>
      </c>
      <c r="B44" s="9">
        <v>11</v>
      </c>
      <c r="C44" s="9" t="s">
        <v>69</v>
      </c>
      <c r="D44" s="15">
        <v>1</v>
      </c>
      <c r="E44" s="15">
        <v>2</v>
      </c>
      <c r="F44" s="22">
        <v>20</v>
      </c>
    </row>
    <row r="45" spans="1:6" x14ac:dyDescent="0.35">
      <c r="A45" s="9">
        <v>3</v>
      </c>
      <c r="B45" s="9">
        <v>12</v>
      </c>
      <c r="C45" s="9" t="s">
        <v>70</v>
      </c>
      <c r="D45" s="15">
        <v>100</v>
      </c>
      <c r="E45" s="15">
        <v>600</v>
      </c>
      <c r="F45" s="22">
        <v>1000</v>
      </c>
    </row>
    <row r="46" spans="1:6" x14ac:dyDescent="0.35">
      <c r="A46" s="9">
        <v>3</v>
      </c>
      <c r="B46" s="9">
        <v>13</v>
      </c>
      <c r="C46" s="9" t="s">
        <v>71</v>
      </c>
      <c r="D46" s="15">
        <v>1</v>
      </c>
      <c r="E46" s="15">
        <v>10</v>
      </c>
      <c r="F46" s="22">
        <v>30</v>
      </c>
    </row>
    <row r="47" spans="1:6" x14ac:dyDescent="0.35">
      <c r="A47" s="9">
        <v>3</v>
      </c>
      <c r="B47" s="9">
        <v>14</v>
      </c>
      <c r="C47" s="9" t="s">
        <v>72</v>
      </c>
      <c r="D47" s="15">
        <v>15</v>
      </c>
      <c r="E47" s="15">
        <v>30</v>
      </c>
      <c r="F47" s="22">
        <v>50</v>
      </c>
    </row>
    <row r="48" spans="1:6" x14ac:dyDescent="0.35">
      <c r="A48" s="9">
        <v>3</v>
      </c>
      <c r="B48" s="9">
        <v>15</v>
      </c>
      <c r="C48" s="9" t="s">
        <v>73</v>
      </c>
      <c r="D48" s="15">
        <v>3</v>
      </c>
      <c r="E48" s="15">
        <v>10</v>
      </c>
      <c r="F48" s="22">
        <v>30</v>
      </c>
    </row>
    <row r="49" spans="1:6" x14ac:dyDescent="0.35">
      <c r="A49" s="9">
        <v>3</v>
      </c>
      <c r="B49" s="9">
        <v>16</v>
      </c>
      <c r="C49" s="9" t="s">
        <v>74</v>
      </c>
      <c r="D49" s="15">
        <v>10000</v>
      </c>
      <c r="E49" s="15">
        <v>60000</v>
      </c>
      <c r="F49" s="22">
        <v>100000</v>
      </c>
    </row>
    <row r="50" spans="1:6" x14ac:dyDescent="0.35">
      <c r="A50" s="9">
        <v>4</v>
      </c>
      <c r="B50" s="9">
        <v>1</v>
      </c>
      <c r="C50" s="9" t="s">
        <v>59</v>
      </c>
      <c r="D50" s="15">
        <v>500</v>
      </c>
      <c r="E50" s="15">
        <v>8000</v>
      </c>
      <c r="F50" s="22">
        <v>15000</v>
      </c>
    </row>
    <row r="51" spans="1:6" x14ac:dyDescent="0.35">
      <c r="A51" s="9">
        <v>4</v>
      </c>
      <c r="B51" s="9">
        <v>2</v>
      </c>
      <c r="C51" s="9" t="s">
        <v>60</v>
      </c>
      <c r="D51" s="15">
        <v>5</v>
      </c>
      <c r="E51" s="15">
        <v>500</v>
      </c>
      <c r="F51" s="22">
        <v>2000</v>
      </c>
    </row>
    <row r="52" spans="1:6" x14ac:dyDescent="0.35">
      <c r="A52" s="9">
        <v>4</v>
      </c>
      <c r="B52" s="9">
        <v>3</v>
      </c>
      <c r="C52" s="9" t="s">
        <v>61</v>
      </c>
      <c r="D52" s="15">
        <v>5</v>
      </c>
      <c r="E52" s="15">
        <v>10</v>
      </c>
      <c r="F52" s="22">
        <v>50</v>
      </c>
    </row>
    <row r="53" spans="1:6" x14ac:dyDescent="0.35">
      <c r="A53" s="9">
        <v>4</v>
      </c>
      <c r="B53" s="9">
        <v>4</v>
      </c>
      <c r="C53" s="9" t="s">
        <v>62</v>
      </c>
      <c r="D53" s="15">
        <v>5</v>
      </c>
      <c r="E53" s="15">
        <v>8</v>
      </c>
      <c r="F53" s="22">
        <v>40</v>
      </c>
    </row>
    <row r="54" spans="1:6" x14ac:dyDescent="0.35">
      <c r="A54" s="9">
        <v>4</v>
      </c>
      <c r="B54" s="9">
        <v>5</v>
      </c>
      <c r="C54" s="9" t="s">
        <v>63</v>
      </c>
      <c r="D54" s="15">
        <v>10</v>
      </c>
      <c r="E54" s="15">
        <v>35</v>
      </c>
      <c r="F54" s="22">
        <v>100</v>
      </c>
    </row>
    <row r="55" spans="1:6" x14ac:dyDescent="0.35">
      <c r="A55" s="9">
        <v>4</v>
      </c>
      <c r="B55" s="9">
        <v>6</v>
      </c>
      <c r="C55" s="9" t="s">
        <v>64</v>
      </c>
      <c r="D55" s="15">
        <v>10</v>
      </c>
      <c r="E55" s="15">
        <v>25</v>
      </c>
      <c r="F55" s="22">
        <v>60</v>
      </c>
    </row>
    <row r="56" spans="1:6" x14ac:dyDescent="0.35">
      <c r="A56" s="9">
        <v>4</v>
      </c>
      <c r="B56" s="9">
        <v>7</v>
      </c>
      <c r="C56" s="9" t="s">
        <v>65</v>
      </c>
      <c r="D56" s="15">
        <v>5</v>
      </c>
      <c r="E56" s="15">
        <v>25</v>
      </c>
      <c r="F56" s="22">
        <v>40</v>
      </c>
    </row>
    <row r="57" spans="1:6" x14ac:dyDescent="0.35">
      <c r="A57" s="9">
        <v>4</v>
      </c>
      <c r="B57" s="9">
        <v>8</v>
      </c>
      <c r="C57" s="9" t="s">
        <v>66</v>
      </c>
      <c r="D57" s="15">
        <v>-100</v>
      </c>
      <c r="E57" s="15">
        <v>100</v>
      </c>
      <c r="F57" s="22">
        <v>500</v>
      </c>
    </row>
    <row r="58" spans="1:6" x14ac:dyDescent="0.35">
      <c r="A58" s="9">
        <v>4</v>
      </c>
      <c r="B58" s="9">
        <v>9</v>
      </c>
      <c r="C58" s="9" t="s">
        <v>67</v>
      </c>
      <c r="D58" s="15">
        <v>5</v>
      </c>
      <c r="E58" s="15">
        <v>10</v>
      </c>
      <c r="F58" s="22">
        <v>20</v>
      </c>
    </row>
    <row r="59" spans="1:6" x14ac:dyDescent="0.35">
      <c r="A59" s="9">
        <v>4</v>
      </c>
      <c r="B59" s="9">
        <v>10</v>
      </c>
      <c r="C59" s="9" t="s">
        <v>68</v>
      </c>
      <c r="D59" s="15">
        <v>5</v>
      </c>
      <c r="E59" s="15">
        <v>50</v>
      </c>
      <c r="F59" s="22">
        <v>100</v>
      </c>
    </row>
    <row r="60" spans="1:6" x14ac:dyDescent="0.35">
      <c r="A60" s="9">
        <v>4</v>
      </c>
      <c r="B60" s="9">
        <v>11</v>
      </c>
      <c r="C60" s="9" t="s">
        <v>69</v>
      </c>
      <c r="D60" s="15">
        <v>10</v>
      </c>
      <c r="E60" s="15">
        <v>25</v>
      </c>
      <c r="F60" s="22">
        <v>50</v>
      </c>
    </row>
    <row r="61" spans="1:6" x14ac:dyDescent="0.35">
      <c r="A61" s="9">
        <v>4</v>
      </c>
      <c r="B61" s="9">
        <v>12</v>
      </c>
      <c r="C61" s="9" t="s">
        <v>70</v>
      </c>
      <c r="D61" s="15">
        <v>100000</v>
      </c>
      <c r="E61" s="15">
        <v>500000</v>
      </c>
      <c r="F61" s="22">
        <v>1000000</v>
      </c>
    </row>
    <row r="62" spans="1:6" x14ac:dyDescent="0.35">
      <c r="A62" s="9">
        <v>4</v>
      </c>
      <c r="B62" s="9">
        <v>13</v>
      </c>
      <c r="C62" s="9" t="s">
        <v>71</v>
      </c>
      <c r="D62" s="15">
        <v>2.5</v>
      </c>
      <c r="E62" s="15">
        <v>5</v>
      </c>
      <c r="F62" s="22">
        <v>20</v>
      </c>
    </row>
    <row r="63" spans="1:6" x14ac:dyDescent="0.35">
      <c r="A63" s="9">
        <v>4</v>
      </c>
      <c r="B63" s="9">
        <v>14</v>
      </c>
      <c r="C63" s="9" t="s">
        <v>72</v>
      </c>
      <c r="D63" s="15">
        <v>10</v>
      </c>
      <c r="E63" s="15">
        <v>20</v>
      </c>
      <c r="F63" s="22">
        <v>40</v>
      </c>
    </row>
    <row r="64" spans="1:6" x14ac:dyDescent="0.35">
      <c r="A64" s="9">
        <v>4</v>
      </c>
      <c r="B64" s="9">
        <v>15</v>
      </c>
      <c r="C64" s="9" t="s">
        <v>73</v>
      </c>
      <c r="D64" s="15">
        <v>5</v>
      </c>
      <c r="E64" s="15">
        <v>10</v>
      </c>
      <c r="F64" s="22">
        <v>30</v>
      </c>
    </row>
    <row r="65" spans="1:6" x14ac:dyDescent="0.35">
      <c r="A65" s="9">
        <v>4</v>
      </c>
      <c r="B65" s="9">
        <v>16</v>
      </c>
      <c r="C65" s="9" t="s">
        <v>74</v>
      </c>
      <c r="D65" s="15">
        <v>50000</v>
      </c>
      <c r="E65" s="15">
        <v>200000</v>
      </c>
      <c r="F65" s="22">
        <v>2000000</v>
      </c>
    </row>
    <row r="66" spans="1:6" x14ac:dyDescent="0.35">
      <c r="A66" s="9">
        <v>5</v>
      </c>
      <c r="B66" s="9">
        <v>1</v>
      </c>
      <c r="C66" s="9" t="s">
        <v>59</v>
      </c>
      <c r="D66" s="15">
        <v>30</v>
      </c>
      <c r="E66" s="15">
        <v>75</v>
      </c>
      <c r="F66" s="22">
        <v>100</v>
      </c>
    </row>
    <row r="67" spans="1:6" x14ac:dyDescent="0.35">
      <c r="A67" s="9">
        <v>5</v>
      </c>
      <c r="B67" s="9">
        <v>2</v>
      </c>
      <c r="C67" s="9" t="s">
        <v>60</v>
      </c>
      <c r="D67" s="15">
        <v>10</v>
      </c>
      <c r="E67" s="15">
        <v>40</v>
      </c>
      <c r="F67" s="22">
        <v>50</v>
      </c>
    </row>
    <row r="68" spans="1:6" x14ac:dyDescent="0.35">
      <c r="A68" s="9">
        <v>5</v>
      </c>
      <c r="B68" s="9">
        <v>3</v>
      </c>
      <c r="C68" s="9" t="s">
        <v>61</v>
      </c>
      <c r="D68" s="15">
        <v>40</v>
      </c>
      <c r="E68" s="15">
        <v>120</v>
      </c>
      <c r="F68" s="22">
        <v>300</v>
      </c>
    </row>
    <row r="69" spans="1:6" x14ac:dyDescent="0.35">
      <c r="A69" s="9">
        <v>5</v>
      </c>
      <c r="B69" s="9">
        <v>4</v>
      </c>
      <c r="C69" s="9" t="s">
        <v>62</v>
      </c>
      <c r="D69" s="15">
        <v>20</v>
      </c>
      <c r="E69" s="15">
        <v>80</v>
      </c>
      <c r="F69" s="22">
        <v>100</v>
      </c>
    </row>
    <row r="70" spans="1:6" x14ac:dyDescent="0.35">
      <c r="A70" s="9">
        <v>5</v>
      </c>
      <c r="B70" s="9">
        <v>5</v>
      </c>
      <c r="C70" s="9" t="s">
        <v>63</v>
      </c>
      <c r="D70" s="15">
        <v>100</v>
      </c>
      <c r="E70" s="15">
        <v>250</v>
      </c>
      <c r="F70" s="22">
        <v>500</v>
      </c>
    </row>
    <row r="71" spans="1:6" x14ac:dyDescent="0.35">
      <c r="A71" s="9">
        <v>5</v>
      </c>
      <c r="B71" s="9">
        <v>6</v>
      </c>
      <c r="C71" s="9" t="s">
        <v>64</v>
      </c>
      <c r="D71" s="15">
        <v>10</v>
      </c>
      <c r="E71" s="15">
        <v>40</v>
      </c>
      <c r="F71" s="22">
        <v>60</v>
      </c>
    </row>
    <row r="72" spans="1:6" x14ac:dyDescent="0.35">
      <c r="A72" s="9">
        <v>5</v>
      </c>
      <c r="B72" s="9">
        <v>7</v>
      </c>
      <c r="C72" s="9" t="s">
        <v>65</v>
      </c>
      <c r="D72" s="15">
        <v>5</v>
      </c>
      <c r="E72" s="15">
        <v>20</v>
      </c>
      <c r="F72" s="22">
        <v>50</v>
      </c>
    </row>
    <row r="73" spans="1:6" x14ac:dyDescent="0.35">
      <c r="A73" s="9">
        <v>5</v>
      </c>
      <c r="B73" s="9">
        <v>8</v>
      </c>
      <c r="C73" s="9" t="s">
        <v>66</v>
      </c>
      <c r="D73" s="15">
        <v>50</v>
      </c>
      <c r="E73" s="15">
        <v>100</v>
      </c>
      <c r="F73" s="22">
        <v>200</v>
      </c>
    </row>
    <row r="74" spans="1:6" x14ac:dyDescent="0.35">
      <c r="A74" s="9">
        <v>5</v>
      </c>
      <c r="B74" s="9">
        <v>9</v>
      </c>
      <c r="C74" s="9" t="s">
        <v>67</v>
      </c>
      <c r="D74" s="15">
        <v>2</v>
      </c>
      <c r="E74" s="15">
        <v>5</v>
      </c>
      <c r="F74" s="22">
        <v>15</v>
      </c>
    </row>
    <row r="75" spans="1:6" x14ac:dyDescent="0.35">
      <c r="A75" s="9">
        <v>5</v>
      </c>
      <c r="B75" s="9">
        <v>10</v>
      </c>
      <c r="C75" s="9" t="s">
        <v>68</v>
      </c>
      <c r="D75" s="15">
        <v>20</v>
      </c>
      <c r="E75" s="15">
        <v>35</v>
      </c>
      <c r="F75" s="22">
        <v>60</v>
      </c>
    </row>
    <row r="76" spans="1:6" x14ac:dyDescent="0.35">
      <c r="A76" s="9">
        <v>5</v>
      </c>
      <c r="B76" s="9">
        <v>11</v>
      </c>
      <c r="C76" s="9" t="s">
        <v>69</v>
      </c>
      <c r="D76" s="15">
        <v>0.01</v>
      </c>
      <c r="E76" s="15">
        <v>2</v>
      </c>
      <c r="F76" s="22">
        <v>5</v>
      </c>
    </row>
    <row r="77" spans="1:6" x14ac:dyDescent="0.35">
      <c r="A77" s="9">
        <v>5</v>
      </c>
      <c r="B77" s="9">
        <v>12</v>
      </c>
      <c r="C77" s="9" t="s">
        <v>70</v>
      </c>
      <c r="D77" s="15">
        <v>1000</v>
      </c>
      <c r="E77" s="15">
        <v>10000</v>
      </c>
      <c r="F77" s="22">
        <v>30000</v>
      </c>
    </row>
    <row r="78" spans="1:6" x14ac:dyDescent="0.35">
      <c r="A78" s="9">
        <v>5</v>
      </c>
      <c r="B78" s="9">
        <v>13</v>
      </c>
      <c r="C78" s="9" t="s">
        <v>71</v>
      </c>
      <c r="D78" s="15">
        <v>5</v>
      </c>
      <c r="E78" s="15">
        <v>20</v>
      </c>
      <c r="F78" s="22">
        <v>30</v>
      </c>
    </row>
    <row r="79" spans="1:6" x14ac:dyDescent="0.35">
      <c r="A79" s="9">
        <v>5</v>
      </c>
      <c r="B79" s="9">
        <v>14</v>
      </c>
      <c r="C79" s="9" t="s">
        <v>72</v>
      </c>
      <c r="D79" s="15">
        <v>4</v>
      </c>
      <c r="E79" s="15">
        <v>8</v>
      </c>
      <c r="F79" s="22">
        <v>15</v>
      </c>
    </row>
    <row r="80" spans="1:6" x14ac:dyDescent="0.35">
      <c r="A80" s="9">
        <v>5</v>
      </c>
      <c r="B80" s="9">
        <v>15</v>
      </c>
      <c r="C80" s="9" t="s">
        <v>73</v>
      </c>
      <c r="D80" s="15">
        <v>10</v>
      </c>
      <c r="E80" s="15">
        <v>20</v>
      </c>
      <c r="F80" s="22">
        <v>35</v>
      </c>
    </row>
    <row r="81" spans="1:6" x14ac:dyDescent="0.35">
      <c r="A81" s="9">
        <v>5</v>
      </c>
      <c r="B81" s="9">
        <v>16</v>
      </c>
      <c r="C81" s="9" t="s">
        <v>74</v>
      </c>
      <c r="D81" s="15">
        <v>100000</v>
      </c>
      <c r="E81" s="15">
        <v>200000</v>
      </c>
      <c r="F81" s="22">
        <v>300000</v>
      </c>
    </row>
    <row r="82" spans="1:6" x14ac:dyDescent="0.35">
      <c r="A82" s="9">
        <v>6</v>
      </c>
      <c r="B82" s="9">
        <v>1</v>
      </c>
      <c r="C82" s="9" t="s">
        <v>59</v>
      </c>
      <c r="D82" s="15">
        <v>10</v>
      </c>
      <c r="E82" s="15">
        <v>15</v>
      </c>
      <c r="F82" s="22">
        <v>30</v>
      </c>
    </row>
    <row r="83" spans="1:6" x14ac:dyDescent="0.35">
      <c r="A83" s="9">
        <v>6</v>
      </c>
      <c r="B83" s="9">
        <v>2</v>
      </c>
      <c r="C83" s="9" t="s">
        <v>60</v>
      </c>
      <c r="D83" s="15">
        <v>13</v>
      </c>
      <c r="E83" s="15">
        <v>20</v>
      </c>
      <c r="F83" s="22">
        <v>40</v>
      </c>
    </row>
    <row r="84" spans="1:6" x14ac:dyDescent="0.35">
      <c r="A84" s="9">
        <v>6</v>
      </c>
      <c r="B84" s="9">
        <v>3</v>
      </c>
      <c r="C84" s="9" t="s">
        <v>61</v>
      </c>
      <c r="D84" s="15">
        <v>4</v>
      </c>
      <c r="E84" s="15">
        <v>7</v>
      </c>
      <c r="F84" s="22">
        <v>12</v>
      </c>
    </row>
    <row r="85" spans="1:6" x14ac:dyDescent="0.35">
      <c r="A85" s="9">
        <v>6</v>
      </c>
      <c r="B85" s="9">
        <v>4</v>
      </c>
      <c r="C85" s="9" t="s">
        <v>62</v>
      </c>
      <c r="D85" s="15">
        <v>15</v>
      </c>
      <c r="E85" s="15">
        <v>22</v>
      </c>
      <c r="F85" s="22">
        <v>30</v>
      </c>
    </row>
    <row r="86" spans="1:6" x14ac:dyDescent="0.35">
      <c r="A86" s="9">
        <v>6</v>
      </c>
      <c r="B86" s="9">
        <v>5</v>
      </c>
      <c r="C86" s="9" t="s">
        <v>63</v>
      </c>
      <c r="D86" s="15">
        <v>18</v>
      </c>
      <c r="E86" s="15">
        <v>25</v>
      </c>
      <c r="F86" s="22">
        <v>35</v>
      </c>
    </row>
    <row r="87" spans="1:6" x14ac:dyDescent="0.35">
      <c r="A87" s="9">
        <v>6</v>
      </c>
      <c r="B87" s="9">
        <v>6</v>
      </c>
      <c r="C87" s="9" t="s">
        <v>64</v>
      </c>
      <c r="D87" s="15">
        <v>10</v>
      </c>
      <c r="E87" s="15">
        <v>15</v>
      </c>
      <c r="F87" s="22">
        <v>30</v>
      </c>
    </row>
    <row r="88" spans="1:6" x14ac:dyDescent="0.35">
      <c r="A88" s="9">
        <v>6</v>
      </c>
      <c r="B88" s="9">
        <v>7</v>
      </c>
      <c r="C88" s="9" t="s">
        <v>65</v>
      </c>
      <c r="D88" s="15">
        <v>15</v>
      </c>
      <c r="E88" s="15">
        <v>25</v>
      </c>
      <c r="F88" s="22">
        <v>42</v>
      </c>
    </row>
    <row r="89" spans="1:6" x14ac:dyDescent="0.35">
      <c r="A89" s="9">
        <v>6</v>
      </c>
      <c r="B89" s="9">
        <v>8</v>
      </c>
      <c r="C89" s="9" t="s">
        <v>66</v>
      </c>
      <c r="D89" s="15">
        <v>10</v>
      </c>
      <c r="E89" s="15">
        <v>15</v>
      </c>
      <c r="F89" s="22">
        <v>25</v>
      </c>
    </row>
    <row r="90" spans="1:6" x14ac:dyDescent="0.35">
      <c r="A90" s="9">
        <v>6</v>
      </c>
      <c r="B90" s="9">
        <v>9</v>
      </c>
      <c r="C90" s="9" t="s">
        <v>67</v>
      </c>
      <c r="D90" s="15">
        <v>10</v>
      </c>
      <c r="E90" s="15">
        <v>15</v>
      </c>
      <c r="F90" s="22">
        <v>25</v>
      </c>
    </row>
    <row r="91" spans="1:6" x14ac:dyDescent="0.35">
      <c r="A91" s="9">
        <v>6</v>
      </c>
      <c r="B91" s="9">
        <v>10</v>
      </c>
      <c r="C91" s="9" t="s">
        <v>68</v>
      </c>
      <c r="D91" s="15">
        <v>12</v>
      </c>
      <c r="E91" s="15">
        <v>18</v>
      </c>
      <c r="F91" s="22">
        <v>30</v>
      </c>
    </row>
    <row r="92" spans="1:6" x14ac:dyDescent="0.35">
      <c r="A92" s="9">
        <v>6</v>
      </c>
      <c r="B92" s="9">
        <v>11</v>
      </c>
      <c r="C92" s="9" t="s">
        <v>69</v>
      </c>
      <c r="D92" s="15">
        <v>3</v>
      </c>
      <c r="E92" s="15">
        <v>4</v>
      </c>
      <c r="F92" s="22">
        <v>7</v>
      </c>
    </row>
    <row r="93" spans="1:6" x14ac:dyDescent="0.35">
      <c r="A93" s="9">
        <v>6</v>
      </c>
      <c r="B93" s="9">
        <v>12</v>
      </c>
      <c r="C93" s="9" t="s">
        <v>70</v>
      </c>
      <c r="D93" s="15">
        <v>10000</v>
      </c>
      <c r="E93" s="15">
        <v>20000</v>
      </c>
      <c r="F93" s="22">
        <v>60000</v>
      </c>
    </row>
    <row r="94" spans="1:6" x14ac:dyDescent="0.35">
      <c r="A94" s="9">
        <v>6</v>
      </c>
      <c r="B94" s="9">
        <v>13</v>
      </c>
      <c r="C94" s="9" t="s">
        <v>71</v>
      </c>
      <c r="D94" s="15">
        <v>3</v>
      </c>
      <c r="E94" s="15">
        <v>12</v>
      </c>
      <c r="F94" s="22">
        <v>20</v>
      </c>
    </row>
    <row r="95" spans="1:6" x14ac:dyDescent="0.35">
      <c r="A95" s="9">
        <v>6</v>
      </c>
      <c r="B95" s="9">
        <v>14</v>
      </c>
      <c r="C95" s="9" t="s">
        <v>72</v>
      </c>
      <c r="D95" s="15">
        <v>15</v>
      </c>
      <c r="E95" s="15">
        <v>18</v>
      </c>
      <c r="F95" s="22">
        <v>25</v>
      </c>
    </row>
    <row r="96" spans="1:6" x14ac:dyDescent="0.35">
      <c r="A96" s="9">
        <v>6</v>
      </c>
      <c r="B96" s="9">
        <v>15</v>
      </c>
      <c r="C96" s="9" t="s">
        <v>73</v>
      </c>
      <c r="D96" s="15">
        <v>20</v>
      </c>
      <c r="E96" s="15">
        <v>35</v>
      </c>
      <c r="F96" s="22">
        <v>50</v>
      </c>
    </row>
    <row r="97" spans="1:6" x14ac:dyDescent="0.35">
      <c r="A97" s="9">
        <v>6</v>
      </c>
      <c r="B97" s="9">
        <v>16</v>
      </c>
      <c r="C97" s="9" t="s">
        <v>74</v>
      </c>
      <c r="D97" s="15">
        <v>800</v>
      </c>
      <c r="E97" s="15">
        <v>1700000</v>
      </c>
      <c r="F97" s="22">
        <v>2800000</v>
      </c>
    </row>
    <row r="98" spans="1:6" x14ac:dyDescent="0.35">
      <c r="A98" s="9">
        <v>7</v>
      </c>
      <c r="B98" s="9">
        <v>1</v>
      </c>
      <c r="C98" s="9" t="s">
        <v>59</v>
      </c>
      <c r="D98" s="15">
        <v>400</v>
      </c>
      <c r="E98" s="15">
        <v>600</v>
      </c>
      <c r="F98" s="22">
        <v>1000</v>
      </c>
    </row>
    <row r="99" spans="1:6" x14ac:dyDescent="0.35">
      <c r="A99" s="9">
        <v>7</v>
      </c>
      <c r="B99" s="9">
        <v>2</v>
      </c>
      <c r="C99" s="9" t="s">
        <v>60</v>
      </c>
      <c r="D99" s="15">
        <v>200</v>
      </c>
      <c r="E99" s="15">
        <v>500</v>
      </c>
      <c r="F99" s="22">
        <v>1000</v>
      </c>
    </row>
    <row r="100" spans="1:6" x14ac:dyDescent="0.35">
      <c r="A100" s="9">
        <v>7</v>
      </c>
      <c r="B100" s="9">
        <v>3</v>
      </c>
      <c r="C100" s="9" t="s">
        <v>61</v>
      </c>
      <c r="D100" s="15">
        <v>500</v>
      </c>
      <c r="E100" s="15">
        <v>1000</v>
      </c>
      <c r="F100" s="22">
        <v>1500</v>
      </c>
    </row>
    <row r="101" spans="1:6" x14ac:dyDescent="0.35">
      <c r="A101" s="9">
        <v>7</v>
      </c>
      <c r="B101" s="9">
        <v>4</v>
      </c>
      <c r="C101" s="9" t="s">
        <v>62</v>
      </c>
      <c r="D101" s="15">
        <v>250</v>
      </c>
      <c r="E101" s="15">
        <v>500</v>
      </c>
      <c r="F101" s="22">
        <v>800</v>
      </c>
    </row>
    <row r="102" spans="1:6" x14ac:dyDescent="0.35">
      <c r="A102" s="9">
        <v>7</v>
      </c>
      <c r="B102" s="9">
        <v>5</v>
      </c>
      <c r="C102" s="9" t="s">
        <v>63</v>
      </c>
      <c r="D102" s="15">
        <v>300</v>
      </c>
      <c r="E102" s="15">
        <v>600</v>
      </c>
      <c r="F102" s="22">
        <v>1000</v>
      </c>
    </row>
    <row r="103" spans="1:6" x14ac:dyDescent="0.35">
      <c r="A103" s="9">
        <v>7</v>
      </c>
      <c r="B103" s="9">
        <v>6</v>
      </c>
      <c r="C103" s="9" t="s">
        <v>64</v>
      </c>
      <c r="D103" s="15">
        <v>20</v>
      </c>
      <c r="E103" s="15">
        <v>40</v>
      </c>
      <c r="F103" s="22">
        <v>60</v>
      </c>
    </row>
    <row r="104" spans="1:6" x14ac:dyDescent="0.35">
      <c r="A104" s="9">
        <v>7</v>
      </c>
      <c r="B104" s="9">
        <v>7</v>
      </c>
      <c r="C104" s="9" t="s">
        <v>65</v>
      </c>
      <c r="D104" s="15">
        <v>10</v>
      </c>
      <c r="E104" s="15">
        <v>25</v>
      </c>
      <c r="F104" s="22">
        <v>50</v>
      </c>
    </row>
    <row r="105" spans="1:6" x14ac:dyDescent="0.35">
      <c r="A105" s="9">
        <v>7</v>
      </c>
      <c r="B105" s="9">
        <v>8</v>
      </c>
      <c r="C105" s="9" t="s">
        <v>66</v>
      </c>
      <c r="D105" s="15">
        <v>50</v>
      </c>
      <c r="E105" s="15">
        <v>70</v>
      </c>
      <c r="F105" s="22">
        <v>90</v>
      </c>
    </row>
    <row r="106" spans="1:6" x14ac:dyDescent="0.35">
      <c r="A106" s="9">
        <v>7</v>
      </c>
      <c r="B106" s="9">
        <v>9</v>
      </c>
      <c r="C106" s="9" t="s">
        <v>67</v>
      </c>
      <c r="D106" s="15">
        <v>240</v>
      </c>
      <c r="E106" s="15">
        <v>600</v>
      </c>
      <c r="F106" s="22">
        <v>800</v>
      </c>
    </row>
    <row r="107" spans="1:6" x14ac:dyDescent="0.35">
      <c r="A107" s="9">
        <v>7</v>
      </c>
      <c r="B107" s="9">
        <v>10</v>
      </c>
      <c r="C107" s="9" t="s">
        <v>68</v>
      </c>
      <c r="D107" s="15">
        <v>200</v>
      </c>
      <c r="E107" s="15">
        <v>400</v>
      </c>
      <c r="F107" s="22">
        <v>600</v>
      </c>
    </row>
    <row r="108" spans="1:6" x14ac:dyDescent="0.35">
      <c r="A108" s="9">
        <v>7</v>
      </c>
      <c r="B108" s="9">
        <v>11</v>
      </c>
      <c r="C108" s="9" t="s">
        <v>69</v>
      </c>
      <c r="D108" s="15">
        <v>15</v>
      </c>
      <c r="E108" s="15">
        <v>40</v>
      </c>
      <c r="F108" s="22">
        <v>70</v>
      </c>
    </row>
    <row r="109" spans="1:6" x14ac:dyDescent="0.35">
      <c r="A109" s="9">
        <v>7</v>
      </c>
      <c r="B109" s="9">
        <v>12</v>
      </c>
      <c r="C109" s="9" t="s">
        <v>70</v>
      </c>
      <c r="D109" s="15">
        <v>1000</v>
      </c>
      <c r="E109" s="15">
        <v>4000</v>
      </c>
      <c r="F109" s="22">
        <v>10000</v>
      </c>
    </row>
    <row r="110" spans="1:6" x14ac:dyDescent="0.35">
      <c r="A110" s="9">
        <v>7</v>
      </c>
      <c r="B110" s="9">
        <v>13</v>
      </c>
      <c r="C110" s="9" t="s">
        <v>71</v>
      </c>
      <c r="D110" s="15">
        <v>5</v>
      </c>
      <c r="E110" s="15">
        <v>20</v>
      </c>
      <c r="F110" s="22">
        <v>40</v>
      </c>
    </row>
    <row r="111" spans="1:6" x14ac:dyDescent="0.35">
      <c r="A111" s="9">
        <v>7</v>
      </c>
      <c r="B111" s="9">
        <v>14</v>
      </c>
      <c r="C111" s="9" t="s">
        <v>72</v>
      </c>
      <c r="D111" s="15">
        <v>20</v>
      </c>
      <c r="E111" s="15">
        <v>27</v>
      </c>
      <c r="F111" s="22">
        <v>40</v>
      </c>
    </row>
    <row r="112" spans="1:6" x14ac:dyDescent="0.35">
      <c r="A112" s="9">
        <v>7</v>
      </c>
      <c r="B112" s="9">
        <v>15</v>
      </c>
      <c r="C112" s="9" t="s">
        <v>73</v>
      </c>
      <c r="D112" s="15">
        <v>15</v>
      </c>
      <c r="E112" s="15">
        <v>20</v>
      </c>
      <c r="F112" s="22">
        <v>30</v>
      </c>
    </row>
    <row r="113" spans="1:6" x14ac:dyDescent="0.35">
      <c r="A113" s="9">
        <v>7</v>
      </c>
      <c r="B113" s="9">
        <v>16</v>
      </c>
      <c r="C113" s="9" t="s">
        <v>74</v>
      </c>
      <c r="D113" s="15">
        <v>3000</v>
      </c>
      <c r="E113" s="15">
        <v>4000</v>
      </c>
      <c r="F113" s="22">
        <v>6000</v>
      </c>
    </row>
    <row r="114" spans="1:6" x14ac:dyDescent="0.35">
      <c r="A114" s="9">
        <v>8</v>
      </c>
      <c r="B114" s="9">
        <v>1</v>
      </c>
      <c r="C114" s="9" t="s">
        <v>59</v>
      </c>
      <c r="D114" s="15">
        <v>20</v>
      </c>
      <c r="E114" s="15">
        <v>50</v>
      </c>
      <c r="F114" s="22">
        <v>100</v>
      </c>
    </row>
    <row r="115" spans="1:6" x14ac:dyDescent="0.35">
      <c r="A115" s="9">
        <v>8</v>
      </c>
      <c r="B115" s="9">
        <v>2</v>
      </c>
      <c r="C115" s="9" t="s">
        <v>60</v>
      </c>
      <c r="D115" s="15">
        <v>40</v>
      </c>
      <c r="E115" s="15">
        <v>60</v>
      </c>
      <c r="F115" s="22">
        <v>120</v>
      </c>
    </row>
    <row r="116" spans="1:6" x14ac:dyDescent="0.35">
      <c r="A116" s="9">
        <v>8</v>
      </c>
      <c r="B116" s="9">
        <v>3</v>
      </c>
      <c r="C116" s="9" t="s">
        <v>61</v>
      </c>
      <c r="D116" s="15">
        <v>10</v>
      </c>
      <c r="E116" s="15">
        <v>25</v>
      </c>
      <c r="F116" s="22">
        <v>50</v>
      </c>
    </row>
    <row r="117" spans="1:6" x14ac:dyDescent="0.35">
      <c r="A117" s="9">
        <v>8</v>
      </c>
      <c r="B117" s="9">
        <v>4</v>
      </c>
      <c r="C117" s="9" t="s">
        <v>62</v>
      </c>
      <c r="D117" s="15">
        <v>15</v>
      </c>
      <c r="E117" s="15">
        <v>30</v>
      </c>
      <c r="F117" s="22">
        <v>60</v>
      </c>
    </row>
    <row r="118" spans="1:6" x14ac:dyDescent="0.35">
      <c r="A118" s="9">
        <v>8</v>
      </c>
      <c r="B118" s="9">
        <v>5</v>
      </c>
      <c r="C118" s="9" t="s">
        <v>63</v>
      </c>
      <c r="D118" s="15">
        <v>15</v>
      </c>
      <c r="E118" s="15">
        <v>30</v>
      </c>
      <c r="F118" s="22">
        <v>60</v>
      </c>
    </row>
    <row r="119" spans="1:6" x14ac:dyDescent="0.35">
      <c r="A119" s="9">
        <v>8</v>
      </c>
      <c r="B119" s="9">
        <v>6</v>
      </c>
      <c r="C119" s="9" t="s">
        <v>64</v>
      </c>
      <c r="D119" s="15">
        <v>30</v>
      </c>
      <c r="E119" s="15">
        <v>60</v>
      </c>
      <c r="F119" s="22">
        <v>75</v>
      </c>
    </row>
    <row r="120" spans="1:6" x14ac:dyDescent="0.35">
      <c r="A120" s="9">
        <v>8</v>
      </c>
      <c r="B120" s="9">
        <v>7</v>
      </c>
      <c r="C120" s="9" t="s">
        <v>65</v>
      </c>
      <c r="D120" s="15">
        <v>25</v>
      </c>
      <c r="E120" s="15">
        <v>50</v>
      </c>
      <c r="F120" s="22">
        <v>70</v>
      </c>
    </row>
    <row r="121" spans="1:6" x14ac:dyDescent="0.35">
      <c r="A121" s="9">
        <v>8</v>
      </c>
      <c r="B121" s="9">
        <v>8</v>
      </c>
      <c r="C121" s="9" t="s">
        <v>66</v>
      </c>
      <c r="D121" s="15">
        <v>10</v>
      </c>
      <c r="E121" s="15">
        <v>20</v>
      </c>
      <c r="F121" s="22">
        <v>50</v>
      </c>
    </row>
    <row r="122" spans="1:6" x14ac:dyDescent="0.35">
      <c r="A122" s="9">
        <v>8</v>
      </c>
      <c r="B122" s="9">
        <v>9</v>
      </c>
      <c r="C122" s="9" t="s">
        <v>67</v>
      </c>
      <c r="D122" s="15">
        <v>2</v>
      </c>
      <c r="E122" s="15">
        <v>5</v>
      </c>
      <c r="F122" s="22">
        <v>10</v>
      </c>
    </row>
    <row r="123" spans="1:6" x14ac:dyDescent="0.35">
      <c r="A123" s="9">
        <v>8</v>
      </c>
      <c r="B123" s="9">
        <v>10</v>
      </c>
      <c r="C123" s="9" t="s">
        <v>68</v>
      </c>
      <c r="D123" s="15">
        <v>2</v>
      </c>
      <c r="E123" s="15">
        <v>4</v>
      </c>
      <c r="F123" s="22">
        <v>9</v>
      </c>
    </row>
    <row r="124" spans="1:6" x14ac:dyDescent="0.35">
      <c r="A124" s="9">
        <v>8</v>
      </c>
      <c r="B124" s="9">
        <v>11</v>
      </c>
      <c r="C124" s="9" t="s">
        <v>69</v>
      </c>
      <c r="D124" s="15">
        <v>5</v>
      </c>
      <c r="E124" s="15">
        <v>30</v>
      </c>
      <c r="F124" s="22">
        <v>70</v>
      </c>
    </row>
    <row r="125" spans="1:6" x14ac:dyDescent="0.35">
      <c r="A125" s="9">
        <v>8</v>
      </c>
      <c r="B125" s="9">
        <v>12</v>
      </c>
      <c r="C125" s="9" t="s">
        <v>70</v>
      </c>
      <c r="D125" s="15">
        <v>20000</v>
      </c>
      <c r="E125" s="15">
        <v>100000</v>
      </c>
      <c r="F125" s="22">
        <v>250000</v>
      </c>
    </row>
    <row r="126" spans="1:6" x14ac:dyDescent="0.35">
      <c r="A126" s="9">
        <v>8</v>
      </c>
      <c r="B126" s="9">
        <v>13</v>
      </c>
      <c r="C126" s="9" t="s">
        <v>71</v>
      </c>
      <c r="D126" s="15">
        <v>2</v>
      </c>
      <c r="E126" s="15">
        <v>10</v>
      </c>
      <c r="F126" s="22">
        <v>15</v>
      </c>
    </row>
    <row r="127" spans="1:6" x14ac:dyDescent="0.35">
      <c r="A127" s="9">
        <v>8</v>
      </c>
      <c r="B127" s="9">
        <v>14</v>
      </c>
      <c r="C127" s="9" t="s">
        <v>72</v>
      </c>
      <c r="D127" s="15">
        <v>4</v>
      </c>
      <c r="E127" s="15">
        <v>15</v>
      </c>
      <c r="F127" s="22">
        <v>25</v>
      </c>
    </row>
    <row r="128" spans="1:6" x14ac:dyDescent="0.35">
      <c r="A128" s="9">
        <v>8</v>
      </c>
      <c r="B128" s="9">
        <v>15</v>
      </c>
      <c r="C128" s="9" t="s">
        <v>73</v>
      </c>
      <c r="D128" s="15">
        <v>5</v>
      </c>
      <c r="E128" s="15">
        <v>9</v>
      </c>
      <c r="F128" s="22">
        <v>15</v>
      </c>
    </row>
    <row r="129" spans="1:6" x14ac:dyDescent="0.35">
      <c r="A129" s="9">
        <v>8</v>
      </c>
      <c r="B129" s="9">
        <v>16</v>
      </c>
      <c r="C129" s="9" t="s">
        <v>74</v>
      </c>
      <c r="D129" s="15">
        <v>200000</v>
      </c>
      <c r="E129" s="15">
        <v>300000</v>
      </c>
      <c r="F129" s="22">
        <v>500000</v>
      </c>
    </row>
    <row r="130" spans="1:6" x14ac:dyDescent="0.35">
      <c r="A130" s="9">
        <v>9</v>
      </c>
      <c r="B130" s="9">
        <v>1</v>
      </c>
      <c r="C130" s="9" t="s">
        <v>59</v>
      </c>
      <c r="D130" s="15">
        <v>400</v>
      </c>
      <c r="E130" s="15">
        <v>1500</v>
      </c>
      <c r="F130" s="22">
        <v>5000</v>
      </c>
    </row>
    <row r="131" spans="1:6" x14ac:dyDescent="0.35">
      <c r="A131" s="9">
        <v>9</v>
      </c>
      <c r="B131" s="9">
        <v>2</v>
      </c>
      <c r="C131" s="9" t="s">
        <v>60</v>
      </c>
      <c r="D131" s="15">
        <v>200</v>
      </c>
      <c r="E131" s="15">
        <v>2500</v>
      </c>
      <c r="F131" s="22">
        <v>5000</v>
      </c>
    </row>
    <row r="132" spans="1:6" x14ac:dyDescent="0.35">
      <c r="A132" s="9">
        <v>9</v>
      </c>
      <c r="B132" s="9">
        <v>3</v>
      </c>
      <c r="C132" s="9" t="s">
        <v>61</v>
      </c>
      <c r="D132" s="15">
        <v>150</v>
      </c>
      <c r="E132" s="15">
        <v>500</v>
      </c>
      <c r="F132" s="22">
        <v>4000</v>
      </c>
    </row>
    <row r="133" spans="1:6" x14ac:dyDescent="0.35">
      <c r="A133" s="9">
        <v>9</v>
      </c>
      <c r="B133" s="9">
        <v>4</v>
      </c>
      <c r="C133" s="9" t="s">
        <v>62</v>
      </c>
      <c r="D133" s="15">
        <v>100</v>
      </c>
      <c r="E133" s="15">
        <v>500</v>
      </c>
      <c r="F133" s="22">
        <v>2500</v>
      </c>
    </row>
    <row r="134" spans="1:6" x14ac:dyDescent="0.35">
      <c r="A134" s="9">
        <v>9</v>
      </c>
      <c r="B134" s="9">
        <v>5</v>
      </c>
      <c r="C134" s="9" t="s">
        <v>63</v>
      </c>
      <c r="D134" s="15">
        <v>100</v>
      </c>
      <c r="E134" s="15">
        <v>400</v>
      </c>
      <c r="F134" s="22">
        <v>2500</v>
      </c>
    </row>
    <row r="135" spans="1:6" x14ac:dyDescent="0.35">
      <c r="A135" s="9">
        <v>9</v>
      </c>
      <c r="B135" s="9">
        <v>6</v>
      </c>
      <c r="C135" s="9" t="s">
        <v>64</v>
      </c>
      <c r="D135" s="15">
        <v>5</v>
      </c>
      <c r="E135" s="15">
        <v>20</v>
      </c>
      <c r="F135" s="22">
        <v>50</v>
      </c>
    </row>
    <row r="136" spans="1:6" x14ac:dyDescent="0.35">
      <c r="A136" s="9">
        <v>9</v>
      </c>
      <c r="B136" s="9">
        <v>7</v>
      </c>
      <c r="C136" s="9" t="s">
        <v>65</v>
      </c>
      <c r="D136" s="15">
        <v>4</v>
      </c>
      <c r="E136" s="15">
        <v>18</v>
      </c>
      <c r="F136" s="22">
        <v>40</v>
      </c>
    </row>
    <row r="137" spans="1:6" x14ac:dyDescent="0.35">
      <c r="A137" s="9">
        <v>9</v>
      </c>
      <c r="B137" s="9">
        <v>8</v>
      </c>
      <c r="C137" s="9" t="s">
        <v>66</v>
      </c>
      <c r="D137" s="15">
        <v>-200</v>
      </c>
      <c r="E137" s="15">
        <v>250</v>
      </c>
      <c r="F137" s="22">
        <v>1000</v>
      </c>
    </row>
    <row r="138" spans="1:6" x14ac:dyDescent="0.35">
      <c r="A138" s="9">
        <v>9</v>
      </c>
      <c r="B138" s="9">
        <v>9</v>
      </c>
      <c r="C138" s="9" t="s">
        <v>67</v>
      </c>
      <c r="D138" s="15">
        <v>50</v>
      </c>
      <c r="E138" s="15">
        <v>200</v>
      </c>
      <c r="F138" s="22">
        <v>1000</v>
      </c>
    </row>
    <row r="139" spans="1:6" x14ac:dyDescent="0.35">
      <c r="A139" s="9">
        <v>9</v>
      </c>
      <c r="B139" s="9">
        <v>10</v>
      </c>
      <c r="C139" s="9" t="s">
        <v>68</v>
      </c>
      <c r="D139" s="15">
        <v>70</v>
      </c>
      <c r="E139" s="15">
        <v>200</v>
      </c>
      <c r="F139" s="22">
        <v>1200</v>
      </c>
    </row>
    <row r="140" spans="1:6" x14ac:dyDescent="0.35">
      <c r="A140" s="9">
        <v>9</v>
      </c>
      <c r="B140" s="9">
        <v>11</v>
      </c>
      <c r="C140" s="9" t="s">
        <v>69</v>
      </c>
      <c r="D140" s="15">
        <v>0.5</v>
      </c>
      <c r="E140" s="15">
        <v>1.5</v>
      </c>
      <c r="F140" s="22">
        <v>5</v>
      </c>
    </row>
    <row r="141" spans="1:6" x14ac:dyDescent="0.35">
      <c r="A141" s="9">
        <v>9</v>
      </c>
      <c r="B141" s="9">
        <v>12</v>
      </c>
      <c r="C141" s="9" t="s">
        <v>70</v>
      </c>
      <c r="D141" s="15">
        <v>50000</v>
      </c>
      <c r="E141" s="15">
        <v>250000</v>
      </c>
      <c r="F141" s="22">
        <v>10000000</v>
      </c>
    </row>
    <row r="142" spans="1:6" x14ac:dyDescent="0.35">
      <c r="A142" s="9">
        <v>9</v>
      </c>
      <c r="B142" s="9">
        <v>13</v>
      </c>
      <c r="C142" s="9" t="s">
        <v>71</v>
      </c>
      <c r="D142" s="15">
        <v>5</v>
      </c>
      <c r="E142" s="15">
        <v>20</v>
      </c>
      <c r="F142" s="22">
        <v>100</v>
      </c>
    </row>
    <row r="143" spans="1:6" x14ac:dyDescent="0.35">
      <c r="A143" s="9">
        <v>9</v>
      </c>
      <c r="B143" s="9">
        <v>14</v>
      </c>
      <c r="C143" s="9" t="s">
        <v>72</v>
      </c>
      <c r="D143" s="15">
        <v>10</v>
      </c>
      <c r="E143" s="15">
        <v>50</v>
      </c>
      <c r="F143" s="22">
        <v>70</v>
      </c>
    </row>
    <row r="144" spans="1:6" x14ac:dyDescent="0.35">
      <c r="A144" s="9">
        <v>9</v>
      </c>
      <c r="B144" s="9">
        <v>15</v>
      </c>
      <c r="C144" s="9" t="s">
        <v>73</v>
      </c>
      <c r="D144" s="15">
        <v>20</v>
      </c>
      <c r="E144" s="15">
        <v>50</v>
      </c>
      <c r="F144" s="22">
        <v>200</v>
      </c>
    </row>
    <row r="145" spans="1:6" x14ac:dyDescent="0.35">
      <c r="A145" s="9">
        <v>9</v>
      </c>
      <c r="B145" s="9">
        <v>16</v>
      </c>
      <c r="C145" s="9" t="s">
        <v>74</v>
      </c>
      <c r="D145" s="15">
        <v>1000</v>
      </c>
      <c r="E145" s="15">
        <v>25000</v>
      </c>
      <c r="F145" s="22">
        <v>40000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5"/>
  <dimension ref="A1:BT169"/>
  <sheetViews>
    <sheetView workbookViewId="0">
      <selection activeCell="H15" sqref="H15"/>
    </sheetView>
  </sheetViews>
  <sheetFormatPr defaultRowHeight="14.5" x14ac:dyDescent="0.35"/>
  <cols>
    <col min="8" max="8" width="12.26953125" customWidth="1"/>
    <col min="9" max="9" width="10" customWidth="1"/>
    <col min="10" max="10" width="10.6328125" customWidth="1"/>
  </cols>
  <sheetData>
    <row r="1" spans="1:72" x14ac:dyDescent="0.35">
      <c r="A1" t="s">
        <v>263</v>
      </c>
      <c r="H1" t="s">
        <v>34</v>
      </c>
      <c r="I1" t="s">
        <v>1078</v>
      </c>
      <c r="J1" s="4" t="s">
        <v>1079</v>
      </c>
      <c r="K1" t="s">
        <v>1080</v>
      </c>
      <c r="L1" t="s">
        <v>1081</v>
      </c>
      <c r="M1" t="s">
        <v>1082</v>
      </c>
      <c r="Q1" t="s">
        <v>1078</v>
      </c>
      <c r="R1" t="s">
        <v>1078</v>
      </c>
      <c r="S1" t="s">
        <v>1078</v>
      </c>
      <c r="T1" t="s">
        <v>1078</v>
      </c>
      <c r="U1" t="s">
        <v>1078</v>
      </c>
      <c r="V1" t="s">
        <v>1078</v>
      </c>
      <c r="W1" t="s">
        <v>1078</v>
      </c>
      <c r="X1" t="s">
        <v>1078</v>
      </c>
      <c r="Y1" t="s">
        <v>1078</v>
      </c>
      <c r="Z1" t="s">
        <v>1078</v>
      </c>
      <c r="AA1" t="s">
        <v>1078</v>
      </c>
      <c r="AB1" t="s">
        <v>1078</v>
      </c>
      <c r="AC1" t="s">
        <v>1078</v>
      </c>
      <c r="AD1" t="s">
        <v>1078</v>
      </c>
      <c r="AE1" t="s">
        <v>1079</v>
      </c>
      <c r="AF1" t="s">
        <v>1079</v>
      </c>
      <c r="AG1" t="s">
        <v>1079</v>
      </c>
      <c r="AH1" t="s">
        <v>1079</v>
      </c>
      <c r="AI1" t="s">
        <v>1079</v>
      </c>
      <c r="AJ1" t="s">
        <v>1079</v>
      </c>
      <c r="AK1" t="s">
        <v>1079</v>
      </c>
      <c r="AL1" t="s">
        <v>1079</v>
      </c>
      <c r="AM1" t="s">
        <v>1079</v>
      </c>
      <c r="AN1" t="s">
        <v>1079</v>
      </c>
      <c r="AO1" t="s">
        <v>1079</v>
      </c>
      <c r="AP1" t="s">
        <v>1079</v>
      </c>
      <c r="AQ1" t="s">
        <v>1079</v>
      </c>
      <c r="AR1" t="s">
        <v>1079</v>
      </c>
      <c r="AS1" t="s">
        <v>1080</v>
      </c>
      <c r="AT1" t="s">
        <v>1080</v>
      </c>
      <c r="AU1" t="s">
        <v>1080</v>
      </c>
      <c r="AV1" t="s">
        <v>1080</v>
      </c>
      <c r="AW1" t="s">
        <v>1080</v>
      </c>
      <c r="AX1" t="s">
        <v>1080</v>
      </c>
      <c r="AY1" t="s">
        <v>1080</v>
      </c>
      <c r="AZ1" t="s">
        <v>1080</v>
      </c>
      <c r="BA1" t="s">
        <v>1080</v>
      </c>
      <c r="BB1" t="s">
        <v>1080</v>
      </c>
      <c r="BC1" t="s">
        <v>1080</v>
      </c>
      <c r="BD1" t="s">
        <v>1080</v>
      </c>
      <c r="BE1" t="s">
        <v>1080</v>
      </c>
      <c r="BF1" t="s">
        <v>1080</v>
      </c>
      <c r="BG1" t="s">
        <v>1081</v>
      </c>
      <c r="BH1" t="s">
        <v>1081</v>
      </c>
      <c r="BI1" t="s">
        <v>1081</v>
      </c>
      <c r="BJ1" t="s">
        <v>1081</v>
      </c>
      <c r="BK1" t="s">
        <v>1081</v>
      </c>
      <c r="BL1" t="s">
        <v>1081</v>
      </c>
      <c r="BM1" t="s">
        <v>1081</v>
      </c>
      <c r="BN1" t="s">
        <v>1081</v>
      </c>
      <c r="BO1" t="s">
        <v>1081</v>
      </c>
      <c r="BP1" t="s">
        <v>1081</v>
      </c>
      <c r="BQ1" t="s">
        <v>1081</v>
      </c>
      <c r="BR1" t="s">
        <v>1081</v>
      </c>
      <c r="BS1" t="s">
        <v>1081</v>
      </c>
      <c r="BT1" t="s">
        <v>1081</v>
      </c>
    </row>
    <row r="2" spans="1:72" x14ac:dyDescent="0.35">
      <c r="A2">
        <v>1</v>
      </c>
      <c r="B2" s="10">
        <v>1</v>
      </c>
      <c r="C2" s="4" t="s">
        <v>196</v>
      </c>
      <c r="D2" s="4">
        <v>200</v>
      </c>
      <c r="E2" s="4">
        <v>400</v>
      </c>
      <c r="F2" s="4">
        <v>600</v>
      </c>
      <c r="H2">
        <v>890</v>
      </c>
      <c r="I2">
        <v>29.79</v>
      </c>
      <c r="J2" s="4">
        <v>19.98</v>
      </c>
      <c r="K2">
        <v>271.10000000000002</v>
      </c>
      <c r="L2">
        <v>440.7</v>
      </c>
      <c r="M2">
        <v>551.83333333333326</v>
      </c>
      <c r="P2" t="s">
        <v>1083</v>
      </c>
      <c r="Q2" t="s">
        <v>1084</v>
      </c>
      <c r="R2" t="s">
        <v>1085</v>
      </c>
      <c r="S2" t="s">
        <v>1086</v>
      </c>
      <c r="T2" t="s">
        <v>1087</v>
      </c>
      <c r="U2" t="s">
        <v>1088</v>
      </c>
      <c r="V2" t="s">
        <v>1089</v>
      </c>
      <c r="W2" t="s">
        <v>1090</v>
      </c>
      <c r="X2" t="s">
        <v>1091</v>
      </c>
      <c r="Y2" t="s">
        <v>1092</v>
      </c>
      <c r="Z2" t="s">
        <v>1093</v>
      </c>
      <c r="AA2" t="s">
        <v>1094</v>
      </c>
      <c r="AB2" t="s">
        <v>1095</v>
      </c>
      <c r="AC2" t="s">
        <v>1096</v>
      </c>
      <c r="AD2" t="s">
        <v>1097</v>
      </c>
      <c r="AE2" t="s">
        <v>1084</v>
      </c>
      <c r="AF2" t="s">
        <v>1085</v>
      </c>
      <c r="AG2" t="s">
        <v>1086</v>
      </c>
      <c r="AH2" t="s">
        <v>1087</v>
      </c>
      <c r="AI2" t="s">
        <v>1088</v>
      </c>
      <c r="AJ2" t="s">
        <v>1089</v>
      </c>
      <c r="AK2" t="s">
        <v>1090</v>
      </c>
      <c r="AL2" t="s">
        <v>1091</v>
      </c>
      <c r="AM2" t="s">
        <v>1092</v>
      </c>
      <c r="AN2" t="s">
        <v>1093</v>
      </c>
      <c r="AO2" t="s">
        <v>1094</v>
      </c>
      <c r="AP2" t="s">
        <v>1095</v>
      </c>
      <c r="AQ2" t="s">
        <v>1096</v>
      </c>
      <c r="AR2" t="s">
        <v>1097</v>
      </c>
      <c r="AS2" t="s">
        <v>1084</v>
      </c>
      <c r="AT2" t="s">
        <v>1085</v>
      </c>
      <c r="AU2" t="s">
        <v>1086</v>
      </c>
      <c r="AV2" t="s">
        <v>1087</v>
      </c>
      <c r="AW2" t="s">
        <v>1088</v>
      </c>
      <c r="AX2" t="s">
        <v>1089</v>
      </c>
      <c r="AY2" t="s">
        <v>1090</v>
      </c>
      <c r="AZ2" t="s">
        <v>1091</v>
      </c>
      <c r="BA2" t="s">
        <v>1092</v>
      </c>
      <c r="BB2" t="s">
        <v>1093</v>
      </c>
      <c r="BC2" t="s">
        <v>1094</v>
      </c>
      <c r="BD2" t="s">
        <v>1095</v>
      </c>
      <c r="BE2" t="s">
        <v>1096</v>
      </c>
      <c r="BF2" t="s">
        <v>1097</v>
      </c>
      <c r="BG2" t="s">
        <v>1084</v>
      </c>
      <c r="BH2" t="s">
        <v>1085</v>
      </c>
      <c r="BI2" t="s">
        <v>1086</v>
      </c>
      <c r="BJ2" t="s">
        <v>1087</v>
      </c>
      <c r="BK2" t="s">
        <v>1088</v>
      </c>
      <c r="BL2" t="s">
        <v>1089</v>
      </c>
      <c r="BM2" t="s">
        <v>1090</v>
      </c>
      <c r="BN2" t="s">
        <v>1091</v>
      </c>
      <c r="BO2" t="s">
        <v>1092</v>
      </c>
      <c r="BP2" t="s">
        <v>1093</v>
      </c>
      <c r="BQ2" t="s">
        <v>1094</v>
      </c>
      <c r="BR2" t="s">
        <v>1095</v>
      </c>
      <c r="BS2" t="s">
        <v>1096</v>
      </c>
      <c r="BT2" t="s">
        <v>1097</v>
      </c>
    </row>
    <row r="3" spans="1:72" x14ac:dyDescent="0.35">
      <c r="A3">
        <v>1</v>
      </c>
      <c r="B3" s="10">
        <v>2</v>
      </c>
      <c r="C3" s="4" t="s">
        <v>197</v>
      </c>
      <c r="D3" s="4">
        <v>5</v>
      </c>
      <c r="E3" s="4">
        <v>10</v>
      </c>
      <c r="F3" s="4">
        <v>30</v>
      </c>
      <c r="H3">
        <v>2</v>
      </c>
      <c r="I3">
        <v>0.90569999999999995</v>
      </c>
      <c r="J3" s="4">
        <v>0.93859999999999999</v>
      </c>
      <c r="K3">
        <v>1.5940000000000001</v>
      </c>
      <c r="L3">
        <v>1.881</v>
      </c>
      <c r="M3">
        <v>2.5</v>
      </c>
      <c r="P3" s="6">
        <v>0.1</v>
      </c>
      <c r="Q3">
        <v>0.49130000000000001</v>
      </c>
      <c r="R3">
        <v>5.151E-2</v>
      </c>
      <c r="S3">
        <v>5.1740000000000004</v>
      </c>
      <c r="T3">
        <v>6.368E-2</v>
      </c>
      <c r="U3">
        <v>50</v>
      </c>
      <c r="V3">
        <v>2.1520000000000001</v>
      </c>
      <c r="W3">
        <v>14.48</v>
      </c>
      <c r="X3">
        <v>24.52</v>
      </c>
      <c r="Y3">
        <v>1.42</v>
      </c>
      <c r="Z3">
        <v>-65.540000000000006</v>
      </c>
      <c r="AA3" s="4">
        <v>7.0350000000000002E-5</v>
      </c>
      <c r="AB3">
        <v>5.9650000000000002E-2</v>
      </c>
      <c r="AC3">
        <v>1.92E-3</v>
      </c>
      <c r="AD3">
        <v>1.218E-2</v>
      </c>
      <c r="AE3">
        <v>0.20930000000000001</v>
      </c>
      <c r="AF3">
        <v>5.246E-2</v>
      </c>
      <c r="AG3">
        <v>5.2610000000000001</v>
      </c>
      <c r="AH3">
        <v>6.4799999999999996E-2</v>
      </c>
      <c r="AI3">
        <v>50</v>
      </c>
      <c r="AJ3">
        <v>2.2109999999999999</v>
      </c>
      <c r="AK3">
        <v>6.8339999999999996</v>
      </c>
      <c r="AL3">
        <v>24.47</v>
      </c>
      <c r="AM3">
        <v>1.3620000000000001</v>
      </c>
      <c r="AN3">
        <v>-75.599999999999994</v>
      </c>
      <c r="AO3" s="4">
        <v>7.3180000000000001E-5</v>
      </c>
      <c r="AP3">
        <v>5.484E-2</v>
      </c>
      <c r="AQ3">
        <v>5.8739999999999999E-3</v>
      </c>
      <c r="AR3">
        <v>1.376E-2</v>
      </c>
      <c r="AS3">
        <v>0.86209999999999998</v>
      </c>
      <c r="AT3">
        <v>0.1138</v>
      </c>
      <c r="AU3">
        <v>5.899</v>
      </c>
      <c r="AV3">
        <v>7.2660000000000002E-2</v>
      </c>
      <c r="AW3">
        <v>9.282</v>
      </c>
      <c r="AX3">
        <v>0.72560000000000002</v>
      </c>
      <c r="AY3">
        <v>10.92</v>
      </c>
      <c r="AZ3">
        <v>24.24</v>
      </c>
      <c r="BA3">
        <v>1.421</v>
      </c>
      <c r="BB3">
        <v>-64.59</v>
      </c>
      <c r="BC3" s="4">
        <v>7.7319999999999998E-5</v>
      </c>
      <c r="BD3">
        <v>8.0979999999999996E-2</v>
      </c>
      <c r="BE3">
        <v>-21.76</v>
      </c>
      <c r="BF3">
        <v>-1.0109999999999999</v>
      </c>
      <c r="BG3">
        <v>3.7029999999999998</v>
      </c>
      <c r="BH3">
        <v>0.154</v>
      </c>
      <c r="BI3">
        <v>5.4160000000000004</v>
      </c>
      <c r="BJ3">
        <v>9.5140000000000002E-2</v>
      </c>
      <c r="BK3">
        <v>13.84</v>
      </c>
      <c r="BL3">
        <v>0.86760000000000004</v>
      </c>
      <c r="BM3">
        <v>15.39</v>
      </c>
      <c r="BN3">
        <v>6.1779999999999999</v>
      </c>
      <c r="BO3">
        <v>1.4830000000000001</v>
      </c>
      <c r="BP3">
        <v>-44.28</v>
      </c>
      <c r="BQ3">
        <v>1.7479999999999999E-4</v>
      </c>
      <c r="BR3">
        <v>0.12230000000000001</v>
      </c>
      <c r="BS3">
        <v>-17.02</v>
      </c>
      <c r="BT3">
        <v>-0.65839999999999999</v>
      </c>
    </row>
    <row r="4" spans="1:72" x14ac:dyDescent="0.35">
      <c r="A4">
        <v>1</v>
      </c>
      <c r="B4" s="10">
        <v>3</v>
      </c>
      <c r="C4" s="4" t="s">
        <v>198</v>
      </c>
      <c r="D4" s="4">
        <v>5</v>
      </c>
      <c r="E4" s="4">
        <v>20</v>
      </c>
      <c r="F4" s="4">
        <v>50</v>
      </c>
      <c r="H4">
        <v>13.8</v>
      </c>
      <c r="I4">
        <v>13.15</v>
      </c>
      <c r="J4" s="4">
        <v>14.12</v>
      </c>
      <c r="K4">
        <v>23.22</v>
      </c>
      <c r="L4">
        <v>22.71</v>
      </c>
      <c r="M4">
        <v>25.416666666666668</v>
      </c>
      <c r="P4" s="6">
        <v>0.5</v>
      </c>
      <c r="Q4">
        <v>29.79</v>
      </c>
      <c r="R4">
        <v>0.90569999999999995</v>
      </c>
      <c r="S4">
        <v>13.15</v>
      </c>
      <c r="T4">
        <v>0.25619999999999998</v>
      </c>
      <c r="U4">
        <v>125</v>
      </c>
      <c r="V4">
        <v>11.31</v>
      </c>
      <c r="W4">
        <v>87.31</v>
      </c>
      <c r="X4">
        <v>52.31</v>
      </c>
      <c r="Y4">
        <v>5</v>
      </c>
      <c r="Z4">
        <v>25.64</v>
      </c>
      <c r="AA4">
        <v>7.4660000000000004E-3</v>
      </c>
      <c r="AB4">
        <v>0.2</v>
      </c>
      <c r="AC4">
        <v>1.84</v>
      </c>
      <c r="AD4">
        <v>0.63770000000000004</v>
      </c>
      <c r="AE4">
        <v>19.98</v>
      </c>
      <c r="AF4">
        <v>0.93859999999999999</v>
      </c>
      <c r="AG4">
        <v>14.12</v>
      </c>
      <c r="AH4">
        <v>0.25840000000000002</v>
      </c>
      <c r="AI4">
        <v>129.4</v>
      </c>
      <c r="AJ4">
        <v>11.9</v>
      </c>
      <c r="AK4">
        <v>77.62</v>
      </c>
      <c r="AL4">
        <v>52.18</v>
      </c>
      <c r="AM4">
        <v>5</v>
      </c>
      <c r="AN4">
        <v>-26.83</v>
      </c>
      <c r="AO4">
        <v>1.5779999999999999E-2</v>
      </c>
      <c r="AP4">
        <v>0.2</v>
      </c>
      <c r="AQ4">
        <v>3.6859999999999999</v>
      </c>
      <c r="AR4">
        <v>0.74790000000000001</v>
      </c>
      <c r="AS4">
        <v>271.10000000000002</v>
      </c>
      <c r="AT4">
        <v>1.5940000000000001</v>
      </c>
      <c r="AU4">
        <v>23.22</v>
      </c>
      <c r="AV4">
        <v>0.28029999999999999</v>
      </c>
      <c r="AW4">
        <v>77</v>
      </c>
      <c r="AX4">
        <v>11.35</v>
      </c>
      <c r="AY4">
        <v>67.75</v>
      </c>
      <c r="AZ4">
        <v>61.68</v>
      </c>
      <c r="BA4">
        <v>4.101</v>
      </c>
      <c r="BB4">
        <v>-3.9019999999999999E-2</v>
      </c>
      <c r="BC4">
        <v>0.91259999999999997</v>
      </c>
      <c r="BD4">
        <v>0.29549999999999998</v>
      </c>
      <c r="BE4">
        <v>9.3940000000000001</v>
      </c>
      <c r="BF4">
        <v>0.34289999999999998</v>
      </c>
      <c r="BG4">
        <v>440.7</v>
      </c>
      <c r="BH4">
        <v>1.881</v>
      </c>
      <c r="BI4">
        <v>22.71</v>
      </c>
      <c r="BJ4">
        <v>0.30930000000000002</v>
      </c>
      <c r="BK4">
        <v>88.02</v>
      </c>
      <c r="BL4">
        <v>12.46</v>
      </c>
      <c r="BM4">
        <v>61.59</v>
      </c>
      <c r="BN4">
        <v>66.88</v>
      </c>
      <c r="BO4">
        <v>4.5629999999999997</v>
      </c>
      <c r="BP4">
        <v>11.07</v>
      </c>
      <c r="BQ4">
        <v>5.1849999999999996</v>
      </c>
      <c r="BR4">
        <v>0.44209999999999999</v>
      </c>
      <c r="BS4">
        <v>12.57</v>
      </c>
      <c r="BT4">
        <v>0.5867</v>
      </c>
    </row>
    <row r="5" spans="1:72" x14ac:dyDescent="0.35">
      <c r="A5">
        <v>1</v>
      </c>
      <c r="B5" s="10">
        <v>4</v>
      </c>
      <c r="C5" s="4" t="s">
        <v>199</v>
      </c>
      <c r="D5" s="4">
        <v>0.1</v>
      </c>
      <c r="E5" s="4">
        <v>0.3</v>
      </c>
      <c r="F5" s="4">
        <v>0.5</v>
      </c>
      <c r="H5">
        <v>0.115</v>
      </c>
      <c r="I5">
        <v>0.25619999999999998</v>
      </c>
      <c r="J5" s="4">
        <v>0.25840000000000002</v>
      </c>
      <c r="K5">
        <v>0.28029999999999999</v>
      </c>
      <c r="L5">
        <v>0.30930000000000002</v>
      </c>
      <c r="M5">
        <v>0.35</v>
      </c>
      <c r="P5" s="6">
        <v>0.9</v>
      </c>
      <c r="Q5">
        <v>99.16</v>
      </c>
      <c r="R5">
        <v>5</v>
      </c>
      <c r="S5">
        <v>36.79</v>
      </c>
      <c r="T5">
        <v>0.70669999999999999</v>
      </c>
      <c r="U5">
        <v>200</v>
      </c>
      <c r="V5">
        <v>20</v>
      </c>
      <c r="W5">
        <v>94.86</v>
      </c>
      <c r="X5">
        <v>93.08</v>
      </c>
      <c r="Y5">
        <v>14.44</v>
      </c>
      <c r="Z5">
        <v>39.39</v>
      </c>
      <c r="AA5">
        <v>154.80000000000001</v>
      </c>
      <c r="AB5">
        <v>0.48830000000000001</v>
      </c>
      <c r="AC5">
        <v>19.22</v>
      </c>
      <c r="AD5">
        <v>1.496</v>
      </c>
      <c r="AE5">
        <v>97.73</v>
      </c>
      <c r="AF5">
        <v>5</v>
      </c>
      <c r="AG5">
        <v>37.770000000000003</v>
      </c>
      <c r="AH5">
        <v>0.71279999999999999</v>
      </c>
      <c r="AI5">
        <v>200</v>
      </c>
      <c r="AJ5">
        <v>20</v>
      </c>
      <c r="AK5">
        <v>94.31</v>
      </c>
      <c r="AL5">
        <v>93.32</v>
      </c>
      <c r="AM5">
        <v>14.52</v>
      </c>
      <c r="AN5">
        <v>37.81</v>
      </c>
      <c r="AO5">
        <v>172.2</v>
      </c>
      <c r="AP5">
        <v>0.49459999999999998</v>
      </c>
      <c r="AQ5">
        <v>19.739999999999998</v>
      </c>
      <c r="AR5">
        <v>1.498</v>
      </c>
      <c r="AS5">
        <v>1572</v>
      </c>
      <c r="AT5">
        <v>9.6150000000000002</v>
      </c>
      <c r="AU5">
        <v>59.67</v>
      </c>
      <c r="AV5">
        <v>0.73229999999999995</v>
      </c>
      <c r="AW5">
        <v>192.1</v>
      </c>
      <c r="AX5">
        <v>56.2</v>
      </c>
      <c r="AY5">
        <v>97.31</v>
      </c>
      <c r="AZ5">
        <v>200.8</v>
      </c>
      <c r="BA5">
        <v>21.93</v>
      </c>
      <c r="BB5">
        <v>37.33</v>
      </c>
      <c r="BC5">
        <v>472.7</v>
      </c>
      <c r="BD5">
        <v>1.425</v>
      </c>
      <c r="BE5">
        <v>46.44</v>
      </c>
      <c r="BF5">
        <v>3.6840000000000002</v>
      </c>
      <c r="BG5">
        <v>1462</v>
      </c>
      <c r="BH5">
        <v>13.66</v>
      </c>
      <c r="BI5">
        <v>58.38</v>
      </c>
      <c r="BJ5">
        <v>0.79249999999999998</v>
      </c>
      <c r="BK5">
        <v>190.9</v>
      </c>
      <c r="BL5">
        <v>87.92</v>
      </c>
      <c r="BM5">
        <v>96.58</v>
      </c>
      <c r="BN5">
        <v>238.6</v>
      </c>
      <c r="BO5">
        <v>31.98</v>
      </c>
      <c r="BP5">
        <v>42.12</v>
      </c>
      <c r="BQ5">
        <v>337.1</v>
      </c>
      <c r="BR5">
        <v>1.488</v>
      </c>
      <c r="BS5">
        <v>54.21</v>
      </c>
      <c r="BT5">
        <v>11.5</v>
      </c>
    </row>
    <row r="6" spans="1:72" x14ac:dyDescent="0.35">
      <c r="A6">
        <v>1</v>
      </c>
      <c r="B6" s="10">
        <v>5</v>
      </c>
      <c r="C6" s="4" t="s">
        <v>200</v>
      </c>
      <c r="D6" s="4">
        <v>75</v>
      </c>
      <c r="E6" s="4">
        <v>100</v>
      </c>
      <c r="F6" s="4">
        <v>130</v>
      </c>
      <c r="H6">
        <v>82</v>
      </c>
      <c r="I6">
        <v>125</v>
      </c>
      <c r="J6" s="4">
        <v>129.4</v>
      </c>
      <c r="K6">
        <v>77</v>
      </c>
      <c r="L6">
        <v>88.02</v>
      </c>
      <c r="M6">
        <v>87.5</v>
      </c>
    </row>
    <row r="7" spans="1:72" x14ac:dyDescent="0.35">
      <c r="A7">
        <v>1</v>
      </c>
      <c r="B7" s="10">
        <v>6</v>
      </c>
      <c r="C7" s="4" t="s">
        <v>201</v>
      </c>
      <c r="D7" s="4">
        <v>5</v>
      </c>
      <c r="E7" s="4">
        <v>10</v>
      </c>
      <c r="F7" s="4">
        <v>25</v>
      </c>
      <c r="H7">
        <v>15.53</v>
      </c>
      <c r="I7">
        <v>11.31</v>
      </c>
      <c r="J7" s="4">
        <v>11.9</v>
      </c>
      <c r="K7">
        <v>11.35</v>
      </c>
      <c r="L7">
        <v>12.46</v>
      </c>
      <c r="M7">
        <v>16.583333333333336</v>
      </c>
    </row>
    <row r="8" spans="1:72" x14ac:dyDescent="0.35">
      <c r="A8">
        <v>1</v>
      </c>
      <c r="B8" s="10">
        <v>7</v>
      </c>
      <c r="C8" s="4" t="s">
        <v>202</v>
      </c>
      <c r="D8" s="4">
        <v>55</v>
      </c>
      <c r="E8" s="4">
        <v>60</v>
      </c>
      <c r="F8" s="4">
        <v>65</v>
      </c>
      <c r="H8">
        <v>68</v>
      </c>
      <c r="I8">
        <v>87.31</v>
      </c>
      <c r="J8" s="4">
        <v>77.62</v>
      </c>
      <c r="K8">
        <v>67.75</v>
      </c>
      <c r="L8">
        <v>61.59</v>
      </c>
      <c r="M8">
        <v>62.5</v>
      </c>
    </row>
    <row r="9" spans="1:72" x14ac:dyDescent="0.35">
      <c r="A9">
        <v>1</v>
      </c>
      <c r="B9" s="10">
        <v>8</v>
      </c>
      <c r="C9" s="4" t="s">
        <v>203</v>
      </c>
      <c r="D9" s="4">
        <v>15</v>
      </c>
      <c r="E9" s="4">
        <v>35</v>
      </c>
      <c r="F9" s="4">
        <v>70</v>
      </c>
      <c r="H9">
        <v>65.400000000000006</v>
      </c>
      <c r="I9">
        <v>52.31</v>
      </c>
      <c r="J9" s="4">
        <v>52.18</v>
      </c>
      <c r="K9">
        <v>61.68</v>
      </c>
      <c r="L9">
        <v>66.88</v>
      </c>
      <c r="M9">
        <v>86.75</v>
      </c>
      <c r="P9" t="s">
        <v>1098</v>
      </c>
      <c r="Q9" t="s">
        <v>1099</v>
      </c>
      <c r="R9" t="s">
        <v>1100</v>
      </c>
      <c r="S9" t="s">
        <v>1101</v>
      </c>
      <c r="T9" t="s">
        <v>1102</v>
      </c>
    </row>
    <row r="10" spans="1:72" x14ac:dyDescent="0.35">
      <c r="A10">
        <v>1</v>
      </c>
      <c r="B10" s="10">
        <v>9</v>
      </c>
      <c r="C10" s="4" t="s">
        <v>204</v>
      </c>
      <c r="D10" s="4">
        <v>2.5</v>
      </c>
      <c r="E10" s="4">
        <v>4</v>
      </c>
      <c r="F10" s="4">
        <v>6.5</v>
      </c>
      <c r="H10">
        <v>4</v>
      </c>
      <c r="I10">
        <v>5</v>
      </c>
      <c r="J10" s="4">
        <v>5</v>
      </c>
      <c r="K10">
        <v>4.101</v>
      </c>
      <c r="L10">
        <v>4.5629999999999997</v>
      </c>
      <c r="M10">
        <v>9.5833333333333321</v>
      </c>
      <c r="P10">
        <v>0.9665280898876405</v>
      </c>
      <c r="Q10">
        <v>0.97755056179775279</v>
      </c>
      <c r="R10">
        <v>0.69539325842696631</v>
      </c>
      <c r="S10">
        <v>0.5048314606741573</v>
      </c>
      <c r="T10">
        <v>0.37996254681647951</v>
      </c>
    </row>
    <row r="11" spans="1:72" x14ac:dyDescent="0.35">
      <c r="A11">
        <v>1</v>
      </c>
      <c r="B11" s="10">
        <v>10</v>
      </c>
      <c r="C11" s="4" t="s">
        <v>205</v>
      </c>
      <c r="D11" s="4">
        <v>-20</v>
      </c>
      <c r="E11" s="4">
        <v>0</v>
      </c>
      <c r="F11" s="4">
        <v>20</v>
      </c>
      <c r="H11">
        <v>46</v>
      </c>
      <c r="I11">
        <v>25.64</v>
      </c>
      <c r="J11" s="4">
        <v>-26.83</v>
      </c>
      <c r="K11">
        <v>-3.9019999999999999E-2</v>
      </c>
      <c r="L11">
        <v>11.07</v>
      </c>
      <c r="M11">
        <v>7.916666666666667</v>
      </c>
      <c r="P11">
        <v>0.54715000000000003</v>
      </c>
      <c r="Q11">
        <v>0.53069999999999995</v>
      </c>
      <c r="R11">
        <v>0.20299999999999996</v>
      </c>
      <c r="S11">
        <v>5.9499999999999997E-2</v>
      </c>
      <c r="T11">
        <v>0.25</v>
      </c>
    </row>
    <row r="12" spans="1:72" x14ac:dyDescent="0.35">
      <c r="A12">
        <v>1</v>
      </c>
      <c r="B12" s="10">
        <v>11</v>
      </c>
      <c r="C12" s="4" t="s">
        <v>206</v>
      </c>
      <c r="D12" s="4">
        <v>1</v>
      </c>
      <c r="E12" s="4">
        <v>20</v>
      </c>
      <c r="F12" s="4">
        <v>200</v>
      </c>
      <c r="H12">
        <v>5</v>
      </c>
      <c r="I12">
        <v>7.4660000000000004E-3</v>
      </c>
      <c r="J12" s="4">
        <v>1.5779999999999999E-2</v>
      </c>
      <c r="K12">
        <v>0.91259999999999997</v>
      </c>
      <c r="L12">
        <v>5.1849999999999996</v>
      </c>
      <c r="M12">
        <v>7.921383333333333</v>
      </c>
      <c r="P12">
        <v>4.7101449275362341E-2</v>
      </c>
      <c r="Q12">
        <v>2.3188405797101339E-2</v>
      </c>
      <c r="R12">
        <v>0.68260869565217375</v>
      </c>
      <c r="S12">
        <v>0.64565217391304341</v>
      </c>
      <c r="T12">
        <v>0.84178743961352653</v>
      </c>
    </row>
    <row r="13" spans="1:72" x14ac:dyDescent="0.35">
      <c r="A13">
        <v>1</v>
      </c>
      <c r="B13" s="10">
        <v>12</v>
      </c>
      <c r="C13" s="4" t="s">
        <v>207</v>
      </c>
      <c r="D13" s="4">
        <v>0.3</v>
      </c>
      <c r="E13" s="4">
        <v>0.6</v>
      </c>
      <c r="F13" s="4">
        <v>1</v>
      </c>
      <c r="H13">
        <v>0.25</v>
      </c>
      <c r="I13">
        <v>0.2</v>
      </c>
      <c r="J13" s="4">
        <v>0.2</v>
      </c>
      <c r="K13">
        <v>0.29549999999999998</v>
      </c>
      <c r="L13">
        <v>0.44209999999999999</v>
      </c>
      <c r="M13">
        <v>0.58083333333333331</v>
      </c>
      <c r="P13">
        <v>1.2278260869565216</v>
      </c>
      <c r="Q13">
        <v>1.2469565217391305</v>
      </c>
      <c r="R13">
        <v>1.4373913043478261</v>
      </c>
      <c r="S13">
        <v>1.6895652173913045</v>
      </c>
      <c r="T13">
        <v>2.043478260869565</v>
      </c>
    </row>
    <row r="14" spans="1:72" x14ac:dyDescent="0.35">
      <c r="A14">
        <v>1</v>
      </c>
      <c r="B14" s="10">
        <v>13</v>
      </c>
      <c r="C14" s="4" t="s">
        <v>208</v>
      </c>
      <c r="D14" s="4">
        <v>2</v>
      </c>
      <c r="E14" s="4">
        <v>10</v>
      </c>
      <c r="F14" s="4">
        <v>20</v>
      </c>
      <c r="H14">
        <v>2</v>
      </c>
      <c r="I14">
        <v>1.84</v>
      </c>
      <c r="J14">
        <v>3.6859999999999999</v>
      </c>
      <c r="K14">
        <v>9.3940000000000001</v>
      </c>
      <c r="L14">
        <v>12.57</v>
      </c>
      <c r="M14">
        <v>12.166666666666666</v>
      </c>
      <c r="P14">
        <v>0.52439024390243905</v>
      </c>
      <c r="Q14">
        <v>0.57804878048780495</v>
      </c>
      <c r="R14">
        <v>6.097560975609756E-2</v>
      </c>
      <c r="S14">
        <v>7.3414634146341418E-2</v>
      </c>
      <c r="T14">
        <v>6.7073170731707321E-2</v>
      </c>
    </row>
    <row r="15" spans="1:72" x14ac:dyDescent="0.35">
      <c r="A15">
        <v>2</v>
      </c>
      <c r="B15" s="10">
        <v>1</v>
      </c>
      <c r="C15" s="4" t="s">
        <v>196</v>
      </c>
      <c r="D15" s="4">
        <v>500</v>
      </c>
      <c r="E15" s="4">
        <v>1000</v>
      </c>
      <c r="F15" s="4">
        <v>2000</v>
      </c>
      <c r="H15">
        <v>-0.8</v>
      </c>
      <c r="I15">
        <v>0.63770000000000004</v>
      </c>
      <c r="J15">
        <v>0.74790000000000001</v>
      </c>
      <c r="K15">
        <v>0.34289999999999998</v>
      </c>
      <c r="L15">
        <v>0.5867</v>
      </c>
      <c r="M15">
        <v>0.91666666666666663</v>
      </c>
      <c r="P15">
        <v>0.27173213135866059</v>
      </c>
      <c r="Q15">
        <v>0.23374114616870567</v>
      </c>
      <c r="R15">
        <v>0.26915647134578236</v>
      </c>
      <c r="S15">
        <v>0.19768190598840943</v>
      </c>
      <c r="T15">
        <v>6.7825713672462096E-2</v>
      </c>
    </row>
    <row r="16" spans="1:72" x14ac:dyDescent="0.35">
      <c r="A16">
        <v>2</v>
      </c>
      <c r="B16" s="10">
        <v>2</v>
      </c>
      <c r="C16" s="4" t="s">
        <v>197</v>
      </c>
      <c r="D16" s="4">
        <v>0.5</v>
      </c>
      <c r="E16" s="4">
        <v>1</v>
      </c>
      <c r="F16" s="4">
        <v>2</v>
      </c>
      <c r="P16">
        <v>0.28397058823529414</v>
      </c>
      <c r="Q16">
        <v>0.14147058823529418</v>
      </c>
      <c r="R16">
        <v>3.6764705882352941E-3</v>
      </c>
      <c r="S16">
        <v>9.4264705882352889E-2</v>
      </c>
      <c r="T16">
        <v>8.0882352941176475E-2</v>
      </c>
    </row>
    <row r="17" spans="1:20" x14ac:dyDescent="0.35">
      <c r="A17">
        <v>2</v>
      </c>
      <c r="B17" s="10">
        <v>3</v>
      </c>
      <c r="C17" s="4" t="s">
        <v>198</v>
      </c>
      <c r="D17" s="4">
        <v>35</v>
      </c>
      <c r="E17" s="4">
        <v>50</v>
      </c>
      <c r="F17" s="4">
        <v>70</v>
      </c>
      <c r="P17">
        <v>0.20015290519877679</v>
      </c>
      <c r="Q17">
        <v>0.2021406727828747</v>
      </c>
      <c r="R17">
        <v>5.6880733944954215E-2</v>
      </c>
      <c r="S17">
        <v>2.2629969418960085E-2</v>
      </c>
      <c r="T17">
        <v>0.32645259938837912</v>
      </c>
    </row>
    <row r="18" spans="1:20" x14ac:dyDescent="0.35">
      <c r="A18">
        <v>2</v>
      </c>
      <c r="B18" s="10">
        <v>4</v>
      </c>
      <c r="C18" s="4" t="s">
        <v>199</v>
      </c>
      <c r="D18" s="4">
        <v>0.1</v>
      </c>
      <c r="E18" s="4">
        <v>0.15</v>
      </c>
      <c r="F18" s="4">
        <v>0.2</v>
      </c>
      <c r="P18">
        <v>0.25</v>
      </c>
      <c r="Q18">
        <v>0.25</v>
      </c>
      <c r="R18">
        <v>2.5249999999999995E-2</v>
      </c>
      <c r="S18">
        <v>0.14074999999999993</v>
      </c>
      <c r="T18">
        <v>1.395833333333333</v>
      </c>
    </row>
    <row r="19" spans="1:20" x14ac:dyDescent="0.35">
      <c r="A19">
        <v>2</v>
      </c>
      <c r="B19" s="10">
        <v>5</v>
      </c>
      <c r="C19" s="4" t="s">
        <v>200</v>
      </c>
      <c r="D19" s="4">
        <v>50</v>
      </c>
      <c r="E19" s="4">
        <v>100</v>
      </c>
      <c r="F19" s="4">
        <v>150</v>
      </c>
      <c r="P19">
        <v>0.44260869565217392</v>
      </c>
      <c r="Q19">
        <v>1.5832608695652173</v>
      </c>
      <c r="R19">
        <v>1.0008482608695652</v>
      </c>
      <c r="S19">
        <v>0.7593478260869565</v>
      </c>
      <c r="T19">
        <v>0.82789855072463769</v>
      </c>
    </row>
    <row r="20" spans="1:20" x14ac:dyDescent="0.35">
      <c r="A20">
        <v>2</v>
      </c>
      <c r="B20" s="10">
        <v>6</v>
      </c>
      <c r="C20" s="4" t="s">
        <v>201</v>
      </c>
      <c r="D20" s="4">
        <v>10</v>
      </c>
      <c r="E20" s="4">
        <v>20</v>
      </c>
      <c r="F20" s="4">
        <v>30</v>
      </c>
      <c r="P20">
        <v>0.99850680000000003</v>
      </c>
      <c r="Q20">
        <v>0.99684399999999995</v>
      </c>
      <c r="R20">
        <v>0.81747999999999998</v>
      </c>
      <c r="S20">
        <v>3.6999999999999922E-2</v>
      </c>
      <c r="T20">
        <v>0.58427666666666656</v>
      </c>
    </row>
    <row r="21" spans="1:20" x14ac:dyDescent="0.35">
      <c r="A21">
        <v>2</v>
      </c>
      <c r="B21" s="10">
        <v>7</v>
      </c>
      <c r="C21" s="4" t="s">
        <v>202</v>
      </c>
      <c r="D21" s="4">
        <v>20</v>
      </c>
      <c r="E21" s="4">
        <v>35</v>
      </c>
      <c r="F21" s="4">
        <v>50</v>
      </c>
      <c r="P21">
        <v>0.19999999999999996</v>
      </c>
      <c r="Q21">
        <v>0.19999999999999996</v>
      </c>
      <c r="R21">
        <v>0.18199999999999994</v>
      </c>
      <c r="S21">
        <v>0.76839999999999997</v>
      </c>
      <c r="T21">
        <v>1.3233333333333333</v>
      </c>
    </row>
    <row r="22" spans="1:20" x14ac:dyDescent="0.35">
      <c r="A22">
        <v>2</v>
      </c>
      <c r="B22" s="10">
        <v>8</v>
      </c>
      <c r="C22" s="4" t="s">
        <v>203</v>
      </c>
      <c r="D22" s="4">
        <v>120</v>
      </c>
      <c r="E22" s="4">
        <v>200</v>
      </c>
      <c r="F22" s="4">
        <v>240</v>
      </c>
      <c r="P22">
        <v>7.999999999999996E-2</v>
      </c>
      <c r="Q22">
        <v>0.84299999999999997</v>
      </c>
      <c r="R22">
        <v>3.6970000000000001</v>
      </c>
      <c r="S22">
        <v>5.2850000000000001</v>
      </c>
      <c r="T22">
        <v>5.083333333333333</v>
      </c>
    </row>
    <row r="23" spans="1:20" x14ac:dyDescent="0.35">
      <c r="A23">
        <v>2</v>
      </c>
      <c r="B23" s="10">
        <v>9</v>
      </c>
      <c r="C23" s="4" t="s">
        <v>204</v>
      </c>
      <c r="D23" s="4">
        <v>2</v>
      </c>
      <c r="E23" s="4">
        <v>3</v>
      </c>
      <c r="F23" s="4">
        <v>4</v>
      </c>
      <c r="P23">
        <v>1.7971249999999999</v>
      </c>
      <c r="Q23">
        <v>1.9348749999999999</v>
      </c>
      <c r="R23">
        <v>1.428625</v>
      </c>
      <c r="S23">
        <v>1.7333749999999999</v>
      </c>
      <c r="T23">
        <v>2.1458333333333335</v>
      </c>
    </row>
    <row r="24" spans="1:20" x14ac:dyDescent="0.35">
      <c r="A24">
        <v>2</v>
      </c>
      <c r="B24" s="10">
        <v>10</v>
      </c>
      <c r="C24" s="4" t="s">
        <v>205</v>
      </c>
      <c r="D24" s="4">
        <v>-10</v>
      </c>
      <c r="E24" s="4">
        <v>10</v>
      </c>
      <c r="F24" s="4">
        <v>30</v>
      </c>
      <c r="O24" s="3" t="s">
        <v>1103</v>
      </c>
      <c r="P24">
        <f>AVERAGE(P$10:P$23)</f>
        <v>0.55979228503334788</v>
      </c>
      <c r="Q24">
        <f>AVERAGE(Q$10:Q$23)</f>
        <v>0.69584118189813438</v>
      </c>
      <c r="R24">
        <f>AVERAGE(R$10:R$23)</f>
        <v>0.75430612892368587</v>
      </c>
      <c r="S24">
        <f>AVERAGE(S$10:S$23)</f>
        <v>0.8579580638215375</v>
      </c>
      <c r="T24">
        <f>AVERAGE(T$10:T$23)</f>
        <v>1.1012836167684239</v>
      </c>
    </row>
    <row r="25" spans="1:20" x14ac:dyDescent="0.35">
      <c r="A25">
        <v>2</v>
      </c>
      <c r="B25" s="10">
        <v>11</v>
      </c>
      <c r="C25" s="4" t="s">
        <v>206</v>
      </c>
      <c r="D25" s="4">
        <v>1</v>
      </c>
      <c r="E25" s="4">
        <v>5</v>
      </c>
      <c r="F25" s="4">
        <v>20</v>
      </c>
    </row>
    <row r="26" spans="1:20" x14ac:dyDescent="0.35">
      <c r="A26">
        <v>2</v>
      </c>
      <c r="B26" s="10">
        <v>12</v>
      </c>
      <c r="C26" s="4" t="s">
        <v>207</v>
      </c>
      <c r="D26" s="4">
        <v>0.15</v>
      </c>
      <c r="E26" s="4">
        <v>0.22</v>
      </c>
      <c r="F26" s="4">
        <v>0.3</v>
      </c>
    </row>
    <row r="27" spans="1:20" x14ac:dyDescent="0.35">
      <c r="A27">
        <v>2</v>
      </c>
      <c r="B27" s="10">
        <v>13</v>
      </c>
      <c r="C27" s="4" t="s">
        <v>208</v>
      </c>
      <c r="D27" s="4">
        <v>15</v>
      </c>
      <c r="E27" s="4">
        <v>20</v>
      </c>
      <c r="F27" s="4">
        <v>30</v>
      </c>
    </row>
    <row r="28" spans="1:20" x14ac:dyDescent="0.35">
      <c r="A28">
        <v>3</v>
      </c>
      <c r="B28" s="10">
        <v>1</v>
      </c>
      <c r="C28" s="4" t="s">
        <v>196</v>
      </c>
      <c r="D28" s="4">
        <v>200</v>
      </c>
      <c r="E28" s="4">
        <v>600</v>
      </c>
      <c r="F28" s="4">
        <v>900</v>
      </c>
    </row>
    <row r="29" spans="1:20" x14ac:dyDescent="0.35">
      <c r="A29">
        <v>3</v>
      </c>
      <c r="B29" s="10">
        <v>2</v>
      </c>
      <c r="C29" s="4" t="s">
        <v>197</v>
      </c>
      <c r="D29" s="4">
        <v>0.2</v>
      </c>
      <c r="E29" s="4">
        <v>1</v>
      </c>
      <c r="F29" s="4">
        <v>3.5</v>
      </c>
    </row>
    <row r="30" spans="1:20" x14ac:dyDescent="0.35">
      <c r="A30">
        <v>3</v>
      </c>
      <c r="B30" s="10">
        <v>3</v>
      </c>
      <c r="C30" s="4" t="s">
        <v>198</v>
      </c>
      <c r="D30" s="4">
        <v>10</v>
      </c>
      <c r="E30" s="4">
        <v>20</v>
      </c>
      <c r="F30" s="4">
        <v>40</v>
      </c>
    </row>
    <row r="31" spans="1:20" x14ac:dyDescent="0.35">
      <c r="A31">
        <v>3</v>
      </c>
      <c r="B31" s="10">
        <v>4</v>
      </c>
      <c r="C31" s="4" t="s">
        <v>199</v>
      </c>
      <c r="D31" s="4">
        <v>0.4</v>
      </c>
      <c r="E31" s="4">
        <v>0.8</v>
      </c>
      <c r="F31" s="4">
        <v>0.95</v>
      </c>
    </row>
    <row r="32" spans="1:20" x14ac:dyDescent="0.35">
      <c r="A32">
        <v>3</v>
      </c>
      <c r="B32" s="10">
        <v>5</v>
      </c>
      <c r="C32" s="4" t="s">
        <v>200</v>
      </c>
      <c r="D32" s="4">
        <v>50</v>
      </c>
      <c r="E32" s="4">
        <v>100</v>
      </c>
      <c r="F32" s="4">
        <v>150</v>
      </c>
    </row>
    <row r="33" spans="1:6" x14ac:dyDescent="0.35">
      <c r="A33">
        <v>3</v>
      </c>
      <c r="B33" s="10">
        <v>6</v>
      </c>
      <c r="C33" s="4" t="s">
        <v>201</v>
      </c>
      <c r="D33" s="4">
        <v>40</v>
      </c>
      <c r="E33" s="4">
        <v>80</v>
      </c>
      <c r="F33" s="4">
        <v>200</v>
      </c>
    </row>
    <row r="34" spans="1:6" x14ac:dyDescent="0.35">
      <c r="A34">
        <v>3</v>
      </c>
      <c r="B34" s="10">
        <v>7</v>
      </c>
      <c r="C34" s="4" t="s">
        <v>202</v>
      </c>
      <c r="D34" s="4">
        <v>20</v>
      </c>
      <c r="E34" s="4">
        <v>50</v>
      </c>
      <c r="F34" s="4">
        <v>70</v>
      </c>
    </row>
    <row r="35" spans="1:6" x14ac:dyDescent="0.35">
      <c r="A35">
        <v>3</v>
      </c>
      <c r="B35" s="10">
        <v>8</v>
      </c>
      <c r="C35" s="4" t="s">
        <v>203</v>
      </c>
      <c r="D35" s="4">
        <v>30</v>
      </c>
      <c r="E35" s="4">
        <v>70</v>
      </c>
      <c r="F35" s="4">
        <v>100</v>
      </c>
    </row>
    <row r="36" spans="1:6" x14ac:dyDescent="0.35">
      <c r="A36">
        <v>3</v>
      </c>
      <c r="B36" s="10">
        <v>9</v>
      </c>
      <c r="C36" s="4" t="s">
        <v>204</v>
      </c>
      <c r="D36" s="4">
        <v>10</v>
      </c>
      <c r="E36" s="4">
        <v>30</v>
      </c>
      <c r="F36" s="4">
        <v>35</v>
      </c>
    </row>
    <row r="37" spans="1:6" x14ac:dyDescent="0.35">
      <c r="A37">
        <v>3</v>
      </c>
      <c r="B37" s="10">
        <v>10</v>
      </c>
      <c r="C37" s="4" t="s">
        <v>205</v>
      </c>
      <c r="D37" s="4">
        <v>20</v>
      </c>
      <c r="E37" s="4">
        <v>40</v>
      </c>
      <c r="F37" s="4">
        <v>60</v>
      </c>
    </row>
    <row r="38" spans="1:6" x14ac:dyDescent="0.35">
      <c r="A38">
        <v>3</v>
      </c>
      <c r="B38" s="10">
        <v>11</v>
      </c>
      <c r="C38" s="4" t="s">
        <v>206</v>
      </c>
      <c r="D38" s="4">
        <v>1.4E-3</v>
      </c>
      <c r="E38" s="4">
        <v>4.1999999999999997E-3</v>
      </c>
      <c r="F38" s="4">
        <v>1.4E-2</v>
      </c>
    </row>
    <row r="39" spans="1:6" x14ac:dyDescent="0.35">
      <c r="A39">
        <v>3</v>
      </c>
      <c r="B39" s="10">
        <v>12</v>
      </c>
      <c r="C39" s="4" t="s">
        <v>207</v>
      </c>
      <c r="D39" s="4">
        <v>0.2</v>
      </c>
      <c r="E39" s="4">
        <v>0.4</v>
      </c>
      <c r="F39" s="4">
        <v>0.6</v>
      </c>
    </row>
    <row r="40" spans="1:6" x14ac:dyDescent="0.35">
      <c r="A40">
        <v>3</v>
      </c>
      <c r="B40" s="10">
        <v>13</v>
      </c>
      <c r="C40" s="4" t="s">
        <v>208</v>
      </c>
      <c r="D40" s="4">
        <v>10</v>
      </c>
      <c r="E40" s="4">
        <v>20</v>
      </c>
      <c r="F40" s="4">
        <v>40</v>
      </c>
    </row>
    <row r="41" spans="1:6" x14ac:dyDescent="0.35">
      <c r="A41">
        <v>4</v>
      </c>
      <c r="B41" s="10">
        <v>1</v>
      </c>
      <c r="C41" s="4" t="s">
        <v>196</v>
      </c>
      <c r="D41" s="4">
        <v>200</v>
      </c>
      <c r="E41" s="4">
        <v>800</v>
      </c>
      <c r="F41" s="4">
        <v>1400</v>
      </c>
    </row>
    <row r="42" spans="1:6" x14ac:dyDescent="0.35">
      <c r="A42">
        <v>4</v>
      </c>
      <c r="B42" s="10">
        <v>2</v>
      </c>
      <c r="C42" s="4" t="s">
        <v>197</v>
      </c>
      <c r="D42" s="4">
        <v>2</v>
      </c>
      <c r="E42" s="4">
        <v>6</v>
      </c>
      <c r="F42" s="4">
        <v>10</v>
      </c>
    </row>
    <row r="43" spans="1:6" x14ac:dyDescent="0.35">
      <c r="A43">
        <v>4</v>
      </c>
      <c r="B43" s="10">
        <v>3</v>
      </c>
      <c r="C43" s="4" t="s">
        <v>198</v>
      </c>
      <c r="D43" s="4">
        <v>5</v>
      </c>
      <c r="E43" s="4">
        <v>35</v>
      </c>
      <c r="F43" s="4">
        <v>65</v>
      </c>
    </row>
    <row r="44" spans="1:6" x14ac:dyDescent="0.35">
      <c r="A44">
        <v>4</v>
      </c>
      <c r="B44" s="10">
        <v>4</v>
      </c>
      <c r="C44" s="4" t="s">
        <v>199</v>
      </c>
      <c r="D44" s="4">
        <v>0.15</v>
      </c>
      <c r="E44" s="4">
        <v>0.45</v>
      </c>
      <c r="F44" s="4">
        <v>0.75</v>
      </c>
    </row>
    <row r="45" spans="1:6" x14ac:dyDescent="0.35">
      <c r="A45">
        <v>4</v>
      </c>
      <c r="B45" s="10">
        <v>5</v>
      </c>
      <c r="C45" s="4" t="s">
        <v>200</v>
      </c>
      <c r="D45" s="4">
        <v>5</v>
      </c>
      <c r="E45" s="4">
        <v>10</v>
      </c>
      <c r="F45" s="4">
        <v>35</v>
      </c>
    </row>
    <row r="46" spans="1:6" x14ac:dyDescent="0.35">
      <c r="A46">
        <v>4</v>
      </c>
      <c r="B46" s="10">
        <v>6</v>
      </c>
      <c r="C46" s="4" t="s">
        <v>201</v>
      </c>
      <c r="D46" s="4">
        <v>3</v>
      </c>
      <c r="E46" s="4">
        <v>10</v>
      </c>
      <c r="F46" s="4">
        <v>17</v>
      </c>
    </row>
    <row r="47" spans="1:6" x14ac:dyDescent="0.35">
      <c r="A47">
        <v>4</v>
      </c>
      <c r="B47" s="10">
        <v>7</v>
      </c>
      <c r="C47" s="4" t="s">
        <v>202</v>
      </c>
      <c r="D47" s="4">
        <v>50</v>
      </c>
      <c r="E47" s="4">
        <v>75</v>
      </c>
      <c r="F47" s="4">
        <v>95</v>
      </c>
    </row>
    <row r="48" spans="1:6" x14ac:dyDescent="0.35">
      <c r="A48">
        <v>4</v>
      </c>
      <c r="B48" s="10">
        <v>8</v>
      </c>
      <c r="C48" s="4" t="s">
        <v>203</v>
      </c>
      <c r="D48" s="4">
        <v>24</v>
      </c>
      <c r="E48" s="4">
        <v>36</v>
      </c>
      <c r="F48" s="4">
        <v>120</v>
      </c>
    </row>
    <row r="49" spans="1:6" x14ac:dyDescent="0.35">
      <c r="A49">
        <v>4</v>
      </c>
      <c r="B49" s="10">
        <v>9</v>
      </c>
      <c r="C49" s="4" t="s">
        <v>204</v>
      </c>
      <c r="D49" s="4">
        <v>1</v>
      </c>
      <c r="E49" s="4">
        <v>3</v>
      </c>
      <c r="F49" s="4">
        <v>30</v>
      </c>
    </row>
    <row r="50" spans="1:6" x14ac:dyDescent="0.35">
      <c r="A50">
        <v>4</v>
      </c>
      <c r="B50" s="10">
        <v>10</v>
      </c>
      <c r="C50" s="4" t="s">
        <v>205</v>
      </c>
      <c r="D50" s="4">
        <v>-25</v>
      </c>
      <c r="E50" s="4">
        <v>-5</v>
      </c>
      <c r="F50" s="4">
        <v>15</v>
      </c>
    </row>
    <row r="51" spans="1:6" x14ac:dyDescent="0.35">
      <c r="A51">
        <v>4</v>
      </c>
      <c r="B51" s="10">
        <v>11</v>
      </c>
      <c r="C51" s="4" t="s">
        <v>206</v>
      </c>
      <c r="D51" s="4">
        <v>1E-4</v>
      </c>
      <c r="E51" s="4">
        <v>6.8999999999999999E-3</v>
      </c>
      <c r="F51" s="4">
        <v>300</v>
      </c>
    </row>
    <row r="52" spans="1:6" x14ac:dyDescent="0.35">
      <c r="A52">
        <v>4</v>
      </c>
      <c r="B52" s="10">
        <v>12</v>
      </c>
      <c r="C52" s="4" t="s">
        <v>207</v>
      </c>
      <c r="D52" s="4">
        <v>0.2</v>
      </c>
      <c r="E52" s="4">
        <v>0.6</v>
      </c>
      <c r="F52" s="4">
        <v>1</v>
      </c>
    </row>
    <row r="53" spans="1:6" x14ac:dyDescent="0.35">
      <c r="A53">
        <v>4</v>
      </c>
      <c r="B53" s="10">
        <v>13</v>
      </c>
      <c r="C53" s="4" t="s">
        <v>208</v>
      </c>
      <c r="D53" s="4">
        <v>-45</v>
      </c>
      <c r="E53" s="4">
        <v>-15</v>
      </c>
      <c r="F53" s="4">
        <v>15</v>
      </c>
    </row>
    <row r="54" spans="1:6" x14ac:dyDescent="0.35">
      <c r="A54">
        <v>5</v>
      </c>
      <c r="B54" s="10">
        <v>1</v>
      </c>
      <c r="C54" s="4" t="s">
        <v>196</v>
      </c>
      <c r="D54" s="4">
        <v>200</v>
      </c>
      <c r="E54" s="4">
        <v>600</v>
      </c>
      <c r="F54" s="4">
        <v>1200</v>
      </c>
    </row>
    <row r="55" spans="1:6" x14ac:dyDescent="0.35">
      <c r="A55">
        <v>5</v>
      </c>
      <c r="B55" s="10">
        <v>2</v>
      </c>
      <c r="C55" s="4" t="s">
        <v>197</v>
      </c>
      <c r="D55" s="4">
        <v>0.3</v>
      </c>
      <c r="E55" s="4">
        <v>1</v>
      </c>
      <c r="F55" s="4">
        <v>10</v>
      </c>
    </row>
    <row r="56" spans="1:6" x14ac:dyDescent="0.35">
      <c r="A56">
        <v>5</v>
      </c>
      <c r="B56" s="10">
        <v>3</v>
      </c>
      <c r="C56" s="4" t="s">
        <v>198</v>
      </c>
      <c r="D56" s="4">
        <v>10</v>
      </c>
      <c r="E56" s="4">
        <v>40</v>
      </c>
      <c r="F56" s="4">
        <v>65</v>
      </c>
    </row>
    <row r="57" spans="1:6" x14ac:dyDescent="0.35">
      <c r="A57">
        <v>5</v>
      </c>
      <c r="B57" s="10">
        <v>4</v>
      </c>
      <c r="C57" s="4" t="s">
        <v>199</v>
      </c>
      <c r="D57" s="4">
        <v>0.1</v>
      </c>
      <c r="E57" s="4">
        <v>0.3</v>
      </c>
      <c r="F57" s="4">
        <v>0.7</v>
      </c>
    </row>
    <row r="58" spans="1:6" x14ac:dyDescent="0.35">
      <c r="A58">
        <v>5</v>
      </c>
      <c r="B58" s="10">
        <v>5</v>
      </c>
      <c r="C58" s="4" t="s">
        <v>200</v>
      </c>
      <c r="D58" s="4">
        <v>25</v>
      </c>
      <c r="E58" s="4">
        <v>50</v>
      </c>
      <c r="F58" s="4">
        <v>200</v>
      </c>
    </row>
    <row r="59" spans="1:6" x14ac:dyDescent="0.35">
      <c r="A59">
        <v>5</v>
      </c>
      <c r="B59" s="10">
        <v>6</v>
      </c>
      <c r="C59" s="4" t="s">
        <v>201</v>
      </c>
      <c r="D59" s="4">
        <v>0.6</v>
      </c>
      <c r="E59" s="4">
        <v>1</v>
      </c>
      <c r="F59" s="4">
        <v>2.5</v>
      </c>
    </row>
    <row r="60" spans="1:6" x14ac:dyDescent="0.35">
      <c r="A60">
        <v>5</v>
      </c>
      <c r="B60" s="10">
        <v>7</v>
      </c>
      <c r="C60" s="4" t="s">
        <v>202</v>
      </c>
      <c r="D60" s="4">
        <v>55</v>
      </c>
      <c r="E60" s="4">
        <v>65</v>
      </c>
      <c r="F60" s="4">
        <v>75</v>
      </c>
    </row>
    <row r="61" spans="1:6" x14ac:dyDescent="0.35">
      <c r="A61">
        <v>5</v>
      </c>
      <c r="B61" s="10">
        <v>8</v>
      </c>
      <c r="C61" s="4" t="s">
        <v>203</v>
      </c>
      <c r="D61" s="4">
        <v>24</v>
      </c>
      <c r="E61" s="4">
        <v>48</v>
      </c>
      <c r="F61" s="4">
        <v>180</v>
      </c>
    </row>
    <row r="62" spans="1:6" x14ac:dyDescent="0.35">
      <c r="A62">
        <v>5</v>
      </c>
      <c r="B62" s="10">
        <v>9</v>
      </c>
      <c r="C62" s="4" t="s">
        <v>204</v>
      </c>
      <c r="D62" s="4">
        <v>2</v>
      </c>
      <c r="E62" s="4">
        <v>3</v>
      </c>
      <c r="F62" s="4">
        <v>5</v>
      </c>
    </row>
    <row r="63" spans="1:6" x14ac:dyDescent="0.35">
      <c r="A63">
        <v>5</v>
      </c>
      <c r="B63" s="10">
        <v>10</v>
      </c>
      <c r="C63" s="4" t="s">
        <v>205</v>
      </c>
      <c r="D63" s="4">
        <v>-30</v>
      </c>
      <c r="E63" s="4">
        <v>0</v>
      </c>
      <c r="F63" s="4">
        <v>30</v>
      </c>
    </row>
    <row r="64" spans="1:6" x14ac:dyDescent="0.35">
      <c r="A64">
        <v>5</v>
      </c>
      <c r="B64" s="10">
        <v>11</v>
      </c>
      <c r="C64" s="4" t="s">
        <v>206</v>
      </c>
      <c r="D64" s="4">
        <v>1E-3</v>
      </c>
      <c r="E64" s="4">
        <v>1</v>
      </c>
      <c r="F64" s="4">
        <v>1000</v>
      </c>
    </row>
    <row r="65" spans="1:6" x14ac:dyDescent="0.35">
      <c r="A65">
        <v>5</v>
      </c>
      <c r="B65" s="10">
        <v>12</v>
      </c>
      <c r="C65" s="4" t="s">
        <v>207</v>
      </c>
      <c r="D65" s="4">
        <v>0.3</v>
      </c>
      <c r="E65" s="4">
        <v>1</v>
      </c>
      <c r="F65" s="4">
        <v>2</v>
      </c>
    </row>
    <row r="66" spans="1:6" x14ac:dyDescent="0.35">
      <c r="A66">
        <v>5</v>
      </c>
      <c r="B66" s="10">
        <v>13</v>
      </c>
      <c r="C66" s="4" t="s">
        <v>208</v>
      </c>
      <c r="D66" s="4">
        <v>5</v>
      </c>
      <c r="E66" s="4">
        <v>20</v>
      </c>
      <c r="F66" s="4">
        <v>60</v>
      </c>
    </row>
    <row r="67" spans="1:6" x14ac:dyDescent="0.35">
      <c r="A67">
        <v>6</v>
      </c>
      <c r="B67" s="10">
        <v>1</v>
      </c>
      <c r="C67" s="4" t="s">
        <v>196</v>
      </c>
      <c r="D67" s="4">
        <v>60</v>
      </c>
      <c r="E67" s="4">
        <v>80</v>
      </c>
      <c r="F67" s="4">
        <v>120</v>
      </c>
    </row>
    <row r="68" spans="1:6" x14ac:dyDescent="0.35">
      <c r="A68">
        <v>6</v>
      </c>
      <c r="B68" s="10">
        <v>2</v>
      </c>
      <c r="C68" s="4" t="s">
        <v>197</v>
      </c>
      <c r="D68" s="4">
        <v>1</v>
      </c>
      <c r="E68" s="4">
        <v>2</v>
      </c>
      <c r="F68" s="4">
        <v>5</v>
      </c>
    </row>
    <row r="69" spans="1:6" x14ac:dyDescent="0.35">
      <c r="A69">
        <v>6</v>
      </c>
      <c r="B69" s="10">
        <v>3</v>
      </c>
      <c r="C69" s="4" t="s">
        <v>198</v>
      </c>
      <c r="D69" s="4">
        <v>5</v>
      </c>
      <c r="E69" s="4">
        <v>10</v>
      </c>
      <c r="F69" s="4">
        <v>20</v>
      </c>
    </row>
    <row r="70" spans="1:6" x14ac:dyDescent="0.35">
      <c r="A70">
        <v>6</v>
      </c>
      <c r="B70" s="10">
        <v>4</v>
      </c>
      <c r="C70" s="4" t="s">
        <v>199</v>
      </c>
      <c r="D70" s="4">
        <v>0.2</v>
      </c>
      <c r="E70" s="4">
        <v>0.3</v>
      </c>
      <c r="F70" s="4">
        <v>0.6</v>
      </c>
    </row>
    <row r="71" spans="1:6" x14ac:dyDescent="0.35">
      <c r="A71">
        <v>6</v>
      </c>
      <c r="B71" s="10">
        <v>5</v>
      </c>
      <c r="C71" s="4" t="s">
        <v>200</v>
      </c>
      <c r="D71" s="4">
        <v>50</v>
      </c>
      <c r="E71" s="4">
        <v>80</v>
      </c>
      <c r="F71" s="4">
        <v>100</v>
      </c>
    </row>
    <row r="72" spans="1:6" x14ac:dyDescent="0.35">
      <c r="A72">
        <v>6</v>
      </c>
      <c r="B72" s="10">
        <v>6</v>
      </c>
      <c r="C72" s="4" t="s">
        <v>201</v>
      </c>
      <c r="D72" s="4">
        <v>5</v>
      </c>
      <c r="E72" s="4">
        <v>10</v>
      </c>
      <c r="F72" s="4">
        <v>20</v>
      </c>
    </row>
    <row r="73" spans="1:6" x14ac:dyDescent="0.35">
      <c r="A73">
        <v>6</v>
      </c>
      <c r="B73" s="10">
        <v>7</v>
      </c>
      <c r="C73" s="4" t="s">
        <v>202</v>
      </c>
      <c r="D73" s="4">
        <v>30</v>
      </c>
      <c r="E73" s="4">
        <v>50</v>
      </c>
      <c r="F73" s="4">
        <v>70</v>
      </c>
    </row>
    <row r="74" spans="1:6" x14ac:dyDescent="0.35">
      <c r="A74">
        <v>6</v>
      </c>
      <c r="B74" s="10">
        <v>8</v>
      </c>
      <c r="C74" s="4" t="s">
        <v>203</v>
      </c>
      <c r="D74" s="4">
        <v>180</v>
      </c>
      <c r="E74" s="4">
        <v>240</v>
      </c>
      <c r="F74" s="4">
        <v>360</v>
      </c>
    </row>
    <row r="75" spans="1:6" x14ac:dyDescent="0.35">
      <c r="A75">
        <v>6</v>
      </c>
      <c r="B75" s="10">
        <v>9</v>
      </c>
      <c r="C75" s="4" t="s">
        <v>204</v>
      </c>
      <c r="D75" s="4">
        <v>10</v>
      </c>
      <c r="E75" s="4">
        <v>30</v>
      </c>
      <c r="F75" s="4">
        <v>40</v>
      </c>
    </row>
    <row r="76" spans="1:6" x14ac:dyDescent="0.35">
      <c r="A76">
        <v>6</v>
      </c>
      <c r="B76" s="10">
        <v>10</v>
      </c>
      <c r="C76" s="4" t="s">
        <v>205</v>
      </c>
      <c r="D76" s="4">
        <v>5</v>
      </c>
      <c r="E76" s="4">
        <v>10</v>
      </c>
      <c r="F76" s="4">
        <v>20</v>
      </c>
    </row>
    <row r="77" spans="1:6" x14ac:dyDescent="0.35">
      <c r="A77">
        <v>6</v>
      </c>
      <c r="B77" s="10">
        <v>11</v>
      </c>
      <c r="C77" s="4" t="s">
        <v>206</v>
      </c>
      <c r="D77" s="4">
        <v>10</v>
      </c>
      <c r="E77" s="4">
        <v>30</v>
      </c>
      <c r="F77" s="4">
        <v>80</v>
      </c>
    </row>
    <row r="78" spans="1:6" x14ac:dyDescent="0.35">
      <c r="A78">
        <v>6</v>
      </c>
      <c r="B78" s="10">
        <v>12</v>
      </c>
      <c r="C78" s="4" t="s">
        <v>207</v>
      </c>
      <c r="D78" s="4">
        <v>0.7</v>
      </c>
      <c r="E78" s="4">
        <v>1</v>
      </c>
      <c r="F78" s="4">
        <v>1.5</v>
      </c>
    </row>
    <row r="79" spans="1:6" x14ac:dyDescent="0.35">
      <c r="A79">
        <v>6</v>
      </c>
      <c r="B79" s="10">
        <v>13</v>
      </c>
      <c r="C79" s="4" t="s">
        <v>208</v>
      </c>
      <c r="D79" s="4">
        <v>2</v>
      </c>
      <c r="E79" s="4">
        <v>10</v>
      </c>
      <c r="F79" s="4">
        <v>15</v>
      </c>
    </row>
    <row r="80" spans="1:6" x14ac:dyDescent="0.35">
      <c r="A80">
        <v>7</v>
      </c>
      <c r="B80" s="10">
        <v>1</v>
      </c>
      <c r="C80" s="4" t="s">
        <v>196</v>
      </c>
      <c r="D80" s="4">
        <v>0.1</v>
      </c>
      <c r="E80" s="4">
        <v>2</v>
      </c>
      <c r="F80" s="4">
        <v>50</v>
      </c>
    </row>
    <row r="81" spans="1:6" x14ac:dyDescent="0.35">
      <c r="A81">
        <v>7</v>
      </c>
      <c r="B81" s="10">
        <v>2</v>
      </c>
      <c r="C81" s="4" t="s">
        <v>197</v>
      </c>
      <c r="D81" s="4">
        <v>0.05</v>
      </c>
      <c r="E81" s="4">
        <v>0.5</v>
      </c>
      <c r="F81" s="4">
        <v>5</v>
      </c>
    </row>
    <row r="82" spans="1:6" x14ac:dyDescent="0.35">
      <c r="A82">
        <v>7</v>
      </c>
      <c r="B82" s="10">
        <v>3</v>
      </c>
      <c r="C82" s="4" t="s">
        <v>198</v>
      </c>
      <c r="D82" s="4">
        <v>10</v>
      </c>
      <c r="E82" s="4">
        <v>20</v>
      </c>
      <c r="F82" s="4">
        <v>40</v>
      </c>
    </row>
    <row r="83" spans="1:6" x14ac:dyDescent="0.35">
      <c r="A83">
        <v>7</v>
      </c>
      <c r="B83" s="10">
        <v>4</v>
      </c>
      <c r="C83" s="4" t="s">
        <v>199</v>
      </c>
      <c r="D83" s="4">
        <v>0.2</v>
      </c>
      <c r="E83" s="4">
        <v>0.3</v>
      </c>
      <c r="F83" s="4">
        <v>0.8</v>
      </c>
    </row>
    <row r="84" spans="1:6" x14ac:dyDescent="0.35">
      <c r="A84">
        <v>7</v>
      </c>
      <c r="B84" s="10">
        <v>5</v>
      </c>
      <c r="C84" s="4" t="s">
        <v>200</v>
      </c>
      <c r="D84" s="4">
        <v>50</v>
      </c>
      <c r="E84" s="4">
        <v>100</v>
      </c>
      <c r="F84" s="4">
        <v>200</v>
      </c>
    </row>
    <row r="85" spans="1:6" x14ac:dyDescent="0.35">
      <c r="A85">
        <v>7</v>
      </c>
      <c r="B85" s="10">
        <v>6</v>
      </c>
      <c r="C85" s="4" t="s">
        <v>201</v>
      </c>
      <c r="D85" s="4">
        <v>2</v>
      </c>
      <c r="E85" s="4">
        <v>5</v>
      </c>
      <c r="F85" s="4">
        <v>20</v>
      </c>
    </row>
    <row r="86" spans="1:6" x14ac:dyDescent="0.35">
      <c r="A86">
        <v>7</v>
      </c>
      <c r="B86" s="10">
        <v>7</v>
      </c>
      <c r="C86" s="4" t="s">
        <v>202</v>
      </c>
      <c r="D86" s="4">
        <v>5</v>
      </c>
      <c r="E86" s="4">
        <v>15</v>
      </c>
      <c r="F86" s="4">
        <v>30</v>
      </c>
    </row>
    <row r="87" spans="1:6" x14ac:dyDescent="0.35">
      <c r="A87">
        <v>7</v>
      </c>
      <c r="B87" s="10">
        <v>8</v>
      </c>
      <c r="C87" s="4" t="s">
        <v>203</v>
      </c>
      <c r="D87" s="4">
        <v>24</v>
      </c>
      <c r="E87" s="4">
        <v>48</v>
      </c>
      <c r="F87" s="4">
        <v>96</v>
      </c>
    </row>
    <row r="88" spans="1:6" x14ac:dyDescent="0.35">
      <c r="A88">
        <v>7</v>
      </c>
      <c r="B88" s="10">
        <v>9</v>
      </c>
      <c r="C88" s="4" t="s">
        <v>204</v>
      </c>
      <c r="D88" s="4">
        <v>1</v>
      </c>
      <c r="E88" s="4">
        <v>5</v>
      </c>
      <c r="F88" s="4">
        <v>15</v>
      </c>
    </row>
    <row r="89" spans="1:6" x14ac:dyDescent="0.35">
      <c r="A89">
        <v>7</v>
      </c>
      <c r="B89" s="10">
        <v>10</v>
      </c>
      <c r="C89" s="4" t="s">
        <v>205</v>
      </c>
      <c r="D89" s="4">
        <v>20</v>
      </c>
      <c r="E89" s="4">
        <v>30</v>
      </c>
      <c r="F89" s="4">
        <v>40</v>
      </c>
    </row>
    <row r="90" spans="1:6" x14ac:dyDescent="0.35">
      <c r="A90">
        <v>7</v>
      </c>
      <c r="B90" s="10">
        <v>11</v>
      </c>
      <c r="C90" s="4" t="s">
        <v>206</v>
      </c>
      <c r="D90" s="4">
        <v>0.7</v>
      </c>
      <c r="E90" s="4">
        <v>7</v>
      </c>
      <c r="F90" s="4">
        <v>182</v>
      </c>
    </row>
    <row r="91" spans="1:6" x14ac:dyDescent="0.35">
      <c r="A91">
        <v>7</v>
      </c>
      <c r="B91" s="10">
        <v>12</v>
      </c>
      <c r="C91" s="4" t="s">
        <v>207</v>
      </c>
      <c r="D91" s="4">
        <v>0.1</v>
      </c>
      <c r="E91" s="4">
        <v>0.2</v>
      </c>
      <c r="F91" s="4">
        <v>0.3</v>
      </c>
    </row>
    <row r="92" spans="1:6" x14ac:dyDescent="0.35">
      <c r="A92">
        <v>7</v>
      </c>
      <c r="B92" s="10">
        <v>13</v>
      </c>
      <c r="C92" s="4" t="s">
        <v>208</v>
      </c>
      <c r="D92" s="4">
        <v>0</v>
      </c>
      <c r="E92" s="4">
        <v>1</v>
      </c>
      <c r="F92" s="4">
        <v>3</v>
      </c>
    </row>
    <row r="93" spans="1:6" x14ac:dyDescent="0.35">
      <c r="A93">
        <v>8</v>
      </c>
      <c r="B93" s="10">
        <v>1</v>
      </c>
      <c r="C93" s="4" t="s">
        <v>196</v>
      </c>
      <c r="D93" s="4">
        <v>100</v>
      </c>
      <c r="E93" s="4">
        <v>1000</v>
      </c>
      <c r="F93" s="4">
        <v>2000</v>
      </c>
    </row>
    <row r="94" spans="1:6" x14ac:dyDescent="0.35">
      <c r="A94">
        <v>8</v>
      </c>
      <c r="B94" s="10">
        <v>2</v>
      </c>
      <c r="C94" s="4" t="s">
        <v>197</v>
      </c>
      <c r="D94" s="4">
        <v>1</v>
      </c>
      <c r="E94" s="4">
        <v>1.5</v>
      </c>
      <c r="F94" s="4">
        <v>5</v>
      </c>
    </row>
    <row r="95" spans="1:6" x14ac:dyDescent="0.35">
      <c r="A95">
        <v>8</v>
      </c>
      <c r="B95" s="10">
        <v>3</v>
      </c>
      <c r="C95" s="4" t="s">
        <v>198</v>
      </c>
      <c r="D95" s="4">
        <v>10</v>
      </c>
      <c r="E95" s="4">
        <v>30</v>
      </c>
      <c r="F95" s="4">
        <v>50</v>
      </c>
    </row>
    <row r="96" spans="1:6" x14ac:dyDescent="0.35">
      <c r="A96">
        <v>8</v>
      </c>
      <c r="B96" s="10">
        <v>4</v>
      </c>
      <c r="C96" s="4" t="s">
        <v>199</v>
      </c>
      <c r="D96" s="4">
        <v>0.05</v>
      </c>
      <c r="E96" s="4">
        <v>0.3</v>
      </c>
      <c r="F96" s="4">
        <v>0.6</v>
      </c>
    </row>
    <row r="97" spans="1:6" x14ac:dyDescent="0.35">
      <c r="A97">
        <v>8</v>
      </c>
      <c r="B97" s="10">
        <v>5</v>
      </c>
      <c r="C97" s="4" t="s">
        <v>200</v>
      </c>
      <c r="D97" s="4">
        <v>10</v>
      </c>
      <c r="E97" s="4">
        <v>30</v>
      </c>
      <c r="F97" s="4">
        <v>60</v>
      </c>
    </row>
    <row r="98" spans="1:6" x14ac:dyDescent="0.35">
      <c r="A98">
        <v>8</v>
      </c>
      <c r="B98" s="10">
        <v>6</v>
      </c>
      <c r="C98" s="4" t="s">
        <v>201</v>
      </c>
      <c r="D98" s="4">
        <v>10</v>
      </c>
      <c r="E98" s="4">
        <v>12</v>
      </c>
      <c r="F98" s="4">
        <v>17</v>
      </c>
    </row>
    <row r="99" spans="1:6" x14ac:dyDescent="0.35">
      <c r="A99">
        <v>8</v>
      </c>
      <c r="B99" s="10">
        <v>7</v>
      </c>
      <c r="C99" s="4" t="s">
        <v>202</v>
      </c>
      <c r="D99" s="4">
        <v>40</v>
      </c>
      <c r="E99" s="4">
        <v>95</v>
      </c>
      <c r="F99" s="4">
        <v>99</v>
      </c>
    </row>
    <row r="100" spans="1:6" x14ac:dyDescent="0.35">
      <c r="A100">
        <v>8</v>
      </c>
      <c r="B100" s="10">
        <v>8</v>
      </c>
      <c r="C100" s="4" t="s">
        <v>203</v>
      </c>
      <c r="D100" s="4">
        <v>60</v>
      </c>
      <c r="E100" s="4">
        <v>90</v>
      </c>
      <c r="F100" s="4">
        <v>150</v>
      </c>
    </row>
    <row r="101" spans="1:6" x14ac:dyDescent="0.35">
      <c r="A101">
        <v>8</v>
      </c>
      <c r="B101" s="10">
        <v>9</v>
      </c>
      <c r="C101" s="4" t="s">
        <v>204</v>
      </c>
      <c r="D101" s="4">
        <v>3.5</v>
      </c>
      <c r="E101" s="4">
        <v>4</v>
      </c>
      <c r="F101" s="4">
        <v>4.5</v>
      </c>
    </row>
    <row r="102" spans="1:6" x14ac:dyDescent="0.35">
      <c r="A102">
        <v>8</v>
      </c>
      <c r="B102" s="10">
        <v>10</v>
      </c>
      <c r="C102" s="4" t="s">
        <v>205</v>
      </c>
      <c r="D102" s="4">
        <v>-10</v>
      </c>
      <c r="E102" s="4">
        <v>0</v>
      </c>
      <c r="F102" s="4">
        <v>10</v>
      </c>
    </row>
    <row r="103" spans="1:6" x14ac:dyDescent="0.35">
      <c r="A103">
        <v>8</v>
      </c>
      <c r="B103" s="10">
        <v>11</v>
      </c>
      <c r="C103" s="4" t="s">
        <v>206</v>
      </c>
      <c r="D103" s="4">
        <v>6.8999999999999997E-4</v>
      </c>
      <c r="E103" s="4">
        <v>4.2000000000000003E-2</v>
      </c>
      <c r="F103" s="4">
        <v>10</v>
      </c>
    </row>
    <row r="104" spans="1:6" x14ac:dyDescent="0.35">
      <c r="A104">
        <v>8</v>
      </c>
      <c r="B104" s="10">
        <v>12</v>
      </c>
      <c r="C104" s="4" t="s">
        <v>207</v>
      </c>
      <c r="D104" s="4">
        <v>0.1</v>
      </c>
      <c r="E104" s="4">
        <v>0.3</v>
      </c>
      <c r="F104" s="4">
        <v>0.5</v>
      </c>
    </row>
    <row r="105" spans="1:6" x14ac:dyDescent="0.35">
      <c r="A105">
        <v>8</v>
      </c>
      <c r="B105" s="10">
        <v>13</v>
      </c>
      <c r="C105" s="4" t="s">
        <v>208</v>
      </c>
      <c r="D105" s="4">
        <v>1</v>
      </c>
      <c r="E105" s="4">
        <v>10</v>
      </c>
      <c r="F105" s="4">
        <v>30</v>
      </c>
    </row>
    <row r="106" spans="1:6" x14ac:dyDescent="0.35">
      <c r="A106">
        <v>9</v>
      </c>
      <c r="B106" s="10">
        <v>1</v>
      </c>
      <c r="C106" s="4" t="s">
        <v>196</v>
      </c>
      <c r="D106" s="4">
        <v>100</v>
      </c>
      <c r="E106" s="4">
        <v>800</v>
      </c>
      <c r="F106" s="4">
        <v>1000</v>
      </c>
    </row>
    <row r="107" spans="1:6" x14ac:dyDescent="0.35">
      <c r="A107">
        <v>9</v>
      </c>
      <c r="B107" s="10">
        <v>2</v>
      </c>
      <c r="C107" s="4" t="s">
        <v>197</v>
      </c>
      <c r="D107" s="4">
        <v>0</v>
      </c>
      <c r="E107" s="4">
        <v>1</v>
      </c>
      <c r="F107" s="4">
        <v>2</v>
      </c>
    </row>
    <row r="108" spans="1:6" x14ac:dyDescent="0.35">
      <c r="A108">
        <v>9</v>
      </c>
      <c r="B108" s="10">
        <v>3</v>
      </c>
      <c r="C108" s="4" t="s">
        <v>198</v>
      </c>
      <c r="D108" s="4">
        <v>15</v>
      </c>
      <c r="E108" s="4">
        <v>30</v>
      </c>
      <c r="F108" s="4">
        <v>50</v>
      </c>
    </row>
    <row r="109" spans="1:6" x14ac:dyDescent="0.35">
      <c r="A109">
        <v>9</v>
      </c>
      <c r="B109" s="10">
        <v>4</v>
      </c>
      <c r="C109" s="4" t="s">
        <v>199</v>
      </c>
      <c r="D109" s="4">
        <v>0.2</v>
      </c>
      <c r="E109" s="4">
        <v>0.5</v>
      </c>
      <c r="F109" s="4">
        <v>0.8</v>
      </c>
    </row>
    <row r="110" spans="1:6" x14ac:dyDescent="0.35">
      <c r="A110">
        <v>9</v>
      </c>
      <c r="B110" s="10">
        <v>5</v>
      </c>
      <c r="C110" s="4" t="s">
        <v>200</v>
      </c>
      <c r="D110" s="4">
        <v>100</v>
      </c>
      <c r="E110" s="4">
        <v>150</v>
      </c>
      <c r="F110" s="4">
        <v>250</v>
      </c>
    </row>
    <row r="111" spans="1:6" x14ac:dyDescent="0.35">
      <c r="A111">
        <v>9</v>
      </c>
      <c r="B111" s="10">
        <v>6</v>
      </c>
      <c r="C111" s="4" t="s">
        <v>201</v>
      </c>
      <c r="D111" s="4">
        <v>12</v>
      </c>
      <c r="E111" s="4">
        <v>17</v>
      </c>
      <c r="F111" s="4">
        <v>30</v>
      </c>
    </row>
    <row r="112" spans="1:6" x14ac:dyDescent="0.35">
      <c r="A112">
        <v>9</v>
      </c>
      <c r="B112" s="10">
        <v>7</v>
      </c>
      <c r="C112" s="4" t="s">
        <v>202</v>
      </c>
      <c r="D112" s="4">
        <v>20</v>
      </c>
      <c r="E112" s="4">
        <v>50</v>
      </c>
      <c r="F112" s="4">
        <v>80</v>
      </c>
    </row>
    <row r="113" spans="1:6" x14ac:dyDescent="0.35">
      <c r="A113">
        <v>9</v>
      </c>
      <c r="B113" s="10">
        <v>8</v>
      </c>
      <c r="C113" s="4" t="s">
        <v>203</v>
      </c>
      <c r="D113" s="4">
        <v>0.5</v>
      </c>
      <c r="E113" s="4">
        <v>6</v>
      </c>
      <c r="F113" s="4">
        <v>24</v>
      </c>
    </row>
    <row r="114" spans="1:6" x14ac:dyDescent="0.35">
      <c r="A114">
        <v>9</v>
      </c>
      <c r="B114" s="10">
        <v>9</v>
      </c>
      <c r="C114" s="4" t="s">
        <v>204</v>
      </c>
      <c r="D114" s="4">
        <v>0.5</v>
      </c>
      <c r="E114" s="4">
        <v>3</v>
      </c>
      <c r="F114" s="4">
        <v>5</v>
      </c>
    </row>
    <row r="115" spans="1:6" x14ac:dyDescent="0.35">
      <c r="A115">
        <v>9</v>
      </c>
      <c r="B115" s="10">
        <v>10</v>
      </c>
      <c r="C115" s="4" t="s">
        <v>205</v>
      </c>
      <c r="D115" s="4">
        <v>5</v>
      </c>
      <c r="E115" s="4">
        <v>20</v>
      </c>
      <c r="F115" s="4">
        <v>40</v>
      </c>
    </row>
    <row r="116" spans="1:6" x14ac:dyDescent="0.35">
      <c r="A116">
        <v>9</v>
      </c>
      <c r="B116" s="10">
        <v>11</v>
      </c>
      <c r="C116" s="4" t="s">
        <v>206</v>
      </c>
      <c r="D116" s="4">
        <v>0.1</v>
      </c>
      <c r="E116" s="4">
        <v>10</v>
      </c>
      <c r="F116" s="4">
        <v>100</v>
      </c>
    </row>
    <row r="117" spans="1:6" x14ac:dyDescent="0.35">
      <c r="A117">
        <v>9</v>
      </c>
      <c r="B117" s="10">
        <v>12</v>
      </c>
      <c r="C117" s="4" t="s">
        <v>207</v>
      </c>
      <c r="D117" s="4">
        <v>0.4</v>
      </c>
      <c r="E117" s="4">
        <v>1</v>
      </c>
      <c r="F117" s="4">
        <v>1.2</v>
      </c>
    </row>
    <row r="118" spans="1:6" x14ac:dyDescent="0.35">
      <c r="A118">
        <v>9</v>
      </c>
      <c r="B118" s="10">
        <v>13</v>
      </c>
      <c r="C118" s="4" t="s">
        <v>208</v>
      </c>
      <c r="D118" s="4">
        <v>10</v>
      </c>
      <c r="E118" s="4">
        <v>30</v>
      </c>
      <c r="F118" s="4">
        <v>100</v>
      </c>
    </row>
    <row r="119" spans="1:6" x14ac:dyDescent="0.35">
      <c r="A119">
        <v>10</v>
      </c>
      <c r="B119" s="10">
        <v>1</v>
      </c>
      <c r="C119" s="4" t="s">
        <v>196</v>
      </c>
      <c r="D119" s="4">
        <v>10</v>
      </c>
      <c r="E119" s="4">
        <v>40</v>
      </c>
      <c r="F119" s="4">
        <v>100</v>
      </c>
    </row>
    <row r="120" spans="1:6" x14ac:dyDescent="0.35">
      <c r="A120">
        <v>10</v>
      </c>
      <c r="B120" s="10">
        <v>2</v>
      </c>
      <c r="C120" s="4" t="s">
        <v>197</v>
      </c>
      <c r="D120" s="4">
        <v>0.1</v>
      </c>
      <c r="E120" s="4">
        <v>1</v>
      </c>
      <c r="F120" s="4">
        <v>5</v>
      </c>
    </row>
    <row r="121" spans="1:6" x14ac:dyDescent="0.35">
      <c r="A121">
        <v>10</v>
      </c>
      <c r="B121" s="10">
        <v>3</v>
      </c>
      <c r="C121" s="4" t="s">
        <v>198</v>
      </c>
      <c r="D121" s="4">
        <v>5</v>
      </c>
      <c r="E121" s="4">
        <v>10</v>
      </c>
      <c r="F121" s="4">
        <v>20</v>
      </c>
    </row>
    <row r="122" spans="1:6" x14ac:dyDescent="0.35">
      <c r="A122">
        <v>10</v>
      </c>
      <c r="B122" s="10">
        <v>4</v>
      </c>
      <c r="C122" s="4" t="s">
        <v>199</v>
      </c>
      <c r="D122" s="4">
        <v>0.05</v>
      </c>
      <c r="E122" s="4">
        <v>0.2</v>
      </c>
      <c r="F122" s="4">
        <v>0.4</v>
      </c>
    </row>
    <row r="123" spans="1:6" x14ac:dyDescent="0.35">
      <c r="A123">
        <v>10</v>
      </c>
      <c r="B123" s="10">
        <v>5</v>
      </c>
      <c r="C123" s="4" t="s">
        <v>200</v>
      </c>
      <c r="D123" s="4">
        <v>50</v>
      </c>
      <c r="E123" s="4">
        <v>150</v>
      </c>
      <c r="F123" s="4">
        <v>200</v>
      </c>
    </row>
    <row r="124" spans="1:6" x14ac:dyDescent="0.35">
      <c r="A124">
        <v>10</v>
      </c>
      <c r="B124" s="10">
        <v>6</v>
      </c>
      <c r="C124" s="4" t="s">
        <v>201</v>
      </c>
      <c r="D124" s="4">
        <v>7.5</v>
      </c>
      <c r="E124" s="4">
        <v>14</v>
      </c>
      <c r="F124" s="4">
        <v>20</v>
      </c>
    </row>
    <row r="125" spans="1:6" x14ac:dyDescent="0.35">
      <c r="A125">
        <v>10</v>
      </c>
      <c r="B125" s="10">
        <v>7</v>
      </c>
      <c r="C125" s="4" t="s">
        <v>202</v>
      </c>
      <c r="D125" s="4">
        <v>75</v>
      </c>
      <c r="E125" s="4">
        <v>90</v>
      </c>
      <c r="F125" s="4">
        <v>95</v>
      </c>
    </row>
    <row r="126" spans="1:6" x14ac:dyDescent="0.35">
      <c r="A126">
        <v>10</v>
      </c>
      <c r="B126" s="10">
        <v>8</v>
      </c>
      <c r="C126" s="4" t="s">
        <v>203</v>
      </c>
      <c r="D126" s="4">
        <v>36</v>
      </c>
      <c r="E126" s="4">
        <v>54</v>
      </c>
      <c r="F126" s="4">
        <v>72</v>
      </c>
    </row>
    <row r="127" spans="1:6" x14ac:dyDescent="0.35">
      <c r="A127">
        <v>10</v>
      </c>
      <c r="B127" s="10">
        <v>9</v>
      </c>
      <c r="C127" s="4" t="s">
        <v>204</v>
      </c>
      <c r="D127" s="4">
        <v>3</v>
      </c>
      <c r="E127" s="4">
        <v>5</v>
      </c>
      <c r="F127" s="4">
        <v>10</v>
      </c>
    </row>
    <row r="128" spans="1:6" x14ac:dyDescent="0.35">
      <c r="A128">
        <v>10</v>
      </c>
      <c r="B128" s="10">
        <v>10</v>
      </c>
      <c r="C128" s="4" t="s">
        <v>205</v>
      </c>
      <c r="D128" s="4">
        <v>-80</v>
      </c>
      <c r="E128" s="4">
        <v>-50</v>
      </c>
      <c r="F128" s="4">
        <v>-20</v>
      </c>
    </row>
    <row r="129" spans="1:6" x14ac:dyDescent="0.35">
      <c r="A129">
        <v>10</v>
      </c>
      <c r="B129" s="10">
        <v>11</v>
      </c>
      <c r="C129" s="4" t="s">
        <v>206</v>
      </c>
      <c r="D129" s="4">
        <v>6.8999999999999997E-5</v>
      </c>
      <c r="E129" s="4">
        <v>3.5000000000000001E-3</v>
      </c>
      <c r="F129" s="4">
        <v>2.1000000000000001E-2</v>
      </c>
    </row>
    <row r="130" spans="1:6" x14ac:dyDescent="0.35">
      <c r="A130">
        <v>10</v>
      </c>
      <c r="B130" s="10">
        <v>12</v>
      </c>
      <c r="C130" s="4" t="s">
        <v>207</v>
      </c>
      <c r="D130" s="4">
        <v>0.05</v>
      </c>
      <c r="E130" s="4">
        <v>0.2</v>
      </c>
      <c r="F130" s="4">
        <v>0.5</v>
      </c>
    </row>
    <row r="131" spans="1:6" x14ac:dyDescent="0.35">
      <c r="A131">
        <v>10</v>
      </c>
      <c r="B131" s="10">
        <v>13</v>
      </c>
      <c r="C131" s="4" t="s">
        <v>208</v>
      </c>
      <c r="D131" s="4">
        <v>1</v>
      </c>
      <c r="E131" s="4">
        <v>10</v>
      </c>
      <c r="F131" s="4">
        <v>20</v>
      </c>
    </row>
    <row r="132" spans="1:6" x14ac:dyDescent="0.35">
      <c r="A132">
        <v>11</v>
      </c>
      <c r="B132" s="10">
        <v>1</v>
      </c>
      <c r="C132" s="4" t="s">
        <v>196</v>
      </c>
      <c r="D132" s="4">
        <v>200</v>
      </c>
      <c r="E132" s="4">
        <v>400</v>
      </c>
      <c r="F132" s="4">
        <v>900</v>
      </c>
    </row>
    <row r="133" spans="1:6" x14ac:dyDescent="0.35">
      <c r="A133">
        <v>11</v>
      </c>
      <c r="B133" s="10">
        <v>2</v>
      </c>
      <c r="C133" s="4" t="s">
        <v>197</v>
      </c>
      <c r="D133" s="4">
        <v>1</v>
      </c>
      <c r="E133" s="4">
        <v>3</v>
      </c>
      <c r="F133" s="4">
        <v>6</v>
      </c>
    </row>
    <row r="134" spans="1:6" x14ac:dyDescent="0.35">
      <c r="A134">
        <v>11</v>
      </c>
      <c r="B134" s="10">
        <v>3</v>
      </c>
      <c r="C134" s="4" t="s">
        <v>198</v>
      </c>
      <c r="D134" s="4">
        <v>1</v>
      </c>
      <c r="E134" s="4">
        <v>10</v>
      </c>
      <c r="F134" s="4">
        <v>20</v>
      </c>
    </row>
    <row r="135" spans="1:6" x14ac:dyDescent="0.35">
      <c r="A135">
        <v>11</v>
      </c>
      <c r="B135" s="10">
        <v>4</v>
      </c>
      <c r="C135" s="4" t="s">
        <v>199</v>
      </c>
      <c r="D135" s="4">
        <v>0.08</v>
      </c>
      <c r="E135" s="4">
        <v>0.2</v>
      </c>
      <c r="F135" s="4">
        <v>0.35</v>
      </c>
    </row>
    <row r="136" spans="1:6" x14ac:dyDescent="0.35">
      <c r="A136">
        <v>11</v>
      </c>
      <c r="B136" s="10">
        <v>5</v>
      </c>
      <c r="C136" s="4" t="s">
        <v>200</v>
      </c>
      <c r="D136" s="4">
        <v>60</v>
      </c>
      <c r="E136" s="4">
        <v>80</v>
      </c>
      <c r="F136" s="4">
        <v>100</v>
      </c>
    </row>
    <row r="137" spans="1:6" x14ac:dyDescent="0.35">
      <c r="A137">
        <v>11</v>
      </c>
      <c r="B137" s="10">
        <v>6</v>
      </c>
      <c r="C137" s="4" t="s">
        <v>201</v>
      </c>
      <c r="D137" s="4">
        <v>4</v>
      </c>
      <c r="E137" s="4">
        <v>10</v>
      </c>
      <c r="F137" s="4">
        <v>16</v>
      </c>
    </row>
    <row r="138" spans="1:6" x14ac:dyDescent="0.35">
      <c r="A138">
        <v>11</v>
      </c>
      <c r="B138" s="10">
        <v>7</v>
      </c>
      <c r="C138" s="4" t="s">
        <v>202</v>
      </c>
      <c r="D138" s="4">
        <v>85</v>
      </c>
      <c r="E138" s="4">
        <v>95</v>
      </c>
      <c r="F138" s="4">
        <v>98</v>
      </c>
    </row>
    <row r="139" spans="1:6" x14ac:dyDescent="0.35">
      <c r="A139">
        <v>11</v>
      </c>
      <c r="B139" s="10">
        <v>8</v>
      </c>
      <c r="C139" s="4" t="s">
        <v>203</v>
      </c>
      <c r="D139" s="4">
        <v>96</v>
      </c>
      <c r="E139" s="4">
        <v>144</v>
      </c>
      <c r="F139" s="4">
        <v>192</v>
      </c>
    </row>
    <row r="140" spans="1:6" x14ac:dyDescent="0.35">
      <c r="A140">
        <v>11</v>
      </c>
      <c r="B140" s="10">
        <v>9</v>
      </c>
      <c r="C140" s="4" t="s">
        <v>204</v>
      </c>
      <c r="D140" s="4">
        <v>10</v>
      </c>
      <c r="E140" s="4">
        <v>20</v>
      </c>
      <c r="F140" s="4">
        <v>30</v>
      </c>
    </row>
    <row r="141" spans="1:6" x14ac:dyDescent="0.35">
      <c r="A141">
        <v>11</v>
      </c>
      <c r="B141" s="10">
        <v>10</v>
      </c>
      <c r="C141" s="4" t="s">
        <v>205</v>
      </c>
      <c r="D141" s="4">
        <v>10</v>
      </c>
      <c r="E141" s="4">
        <v>20</v>
      </c>
      <c r="F141" s="4">
        <v>35</v>
      </c>
    </row>
    <row r="142" spans="1:6" x14ac:dyDescent="0.35">
      <c r="A142">
        <v>11</v>
      </c>
      <c r="B142" s="10">
        <v>11</v>
      </c>
      <c r="C142" s="4" t="s">
        <v>206</v>
      </c>
      <c r="D142" s="4">
        <v>5</v>
      </c>
      <c r="E142" s="4">
        <v>20</v>
      </c>
      <c r="F142" s="4">
        <v>30</v>
      </c>
    </row>
    <row r="143" spans="1:6" x14ac:dyDescent="0.35">
      <c r="A143">
        <v>11</v>
      </c>
      <c r="B143" s="10">
        <v>12</v>
      </c>
      <c r="C143" s="4" t="s">
        <v>207</v>
      </c>
      <c r="D143" s="4">
        <v>0.15</v>
      </c>
      <c r="E143" s="4">
        <v>0.25</v>
      </c>
      <c r="F143" s="4">
        <v>0.35</v>
      </c>
    </row>
    <row r="144" spans="1:6" x14ac:dyDescent="0.35">
      <c r="A144">
        <v>11</v>
      </c>
      <c r="B144" s="10">
        <v>13</v>
      </c>
      <c r="C144" s="4" t="s">
        <v>208</v>
      </c>
      <c r="D144" s="4">
        <v>5</v>
      </c>
      <c r="E144" s="4">
        <v>10</v>
      </c>
      <c r="F144" s="4">
        <v>15</v>
      </c>
    </row>
    <row r="145" spans="1:6" x14ac:dyDescent="0.35">
      <c r="A145">
        <v>12</v>
      </c>
      <c r="B145" s="10">
        <v>1</v>
      </c>
      <c r="C145" s="4" t="s">
        <v>196</v>
      </c>
      <c r="D145" s="4">
        <v>800</v>
      </c>
      <c r="E145" s="4">
        <v>900</v>
      </c>
      <c r="F145" s="4">
        <v>1000</v>
      </c>
    </row>
    <row r="146" spans="1:6" x14ac:dyDescent="0.35">
      <c r="A146">
        <v>12</v>
      </c>
      <c r="B146" s="10">
        <v>2</v>
      </c>
      <c r="C146" s="4" t="s">
        <v>197</v>
      </c>
      <c r="D146" s="4">
        <v>0.2</v>
      </c>
      <c r="E146" s="4">
        <v>2</v>
      </c>
      <c r="F146" s="4">
        <v>4</v>
      </c>
    </row>
    <row r="147" spans="1:6" x14ac:dyDescent="0.35">
      <c r="A147">
        <v>12</v>
      </c>
      <c r="B147" s="10">
        <v>3</v>
      </c>
      <c r="C147" s="4" t="s">
        <v>198</v>
      </c>
      <c r="D147" s="4">
        <v>15</v>
      </c>
      <c r="E147" s="4">
        <v>30</v>
      </c>
      <c r="F147" s="4">
        <v>50</v>
      </c>
    </row>
    <row r="148" spans="1:6" x14ac:dyDescent="0.35">
      <c r="A148">
        <v>12</v>
      </c>
      <c r="B148" s="10">
        <v>4</v>
      </c>
      <c r="C148" s="4" t="s">
        <v>199</v>
      </c>
      <c r="D148" s="4">
        <v>0.1</v>
      </c>
      <c r="E148" s="4">
        <v>0.4</v>
      </c>
      <c r="F148" s="4">
        <v>0.6</v>
      </c>
    </row>
    <row r="149" spans="1:6" x14ac:dyDescent="0.35">
      <c r="A149">
        <v>12</v>
      </c>
      <c r="B149" s="10">
        <v>5</v>
      </c>
      <c r="C149" s="4" t="s">
        <v>200</v>
      </c>
      <c r="D149" s="4">
        <v>60</v>
      </c>
      <c r="E149" s="4">
        <v>100</v>
      </c>
      <c r="F149" s="4">
        <v>150</v>
      </c>
    </row>
    <row r="150" spans="1:6" x14ac:dyDescent="0.35">
      <c r="A150">
        <v>12</v>
      </c>
      <c r="B150" s="10">
        <v>6</v>
      </c>
      <c r="C150" s="4" t="s">
        <v>201</v>
      </c>
      <c r="D150" s="4">
        <v>5</v>
      </c>
      <c r="E150" s="4">
        <v>10</v>
      </c>
      <c r="F150" s="4">
        <v>20</v>
      </c>
    </row>
    <row r="151" spans="1:6" x14ac:dyDescent="0.35">
      <c r="A151">
        <v>12</v>
      </c>
      <c r="B151" s="10">
        <v>7</v>
      </c>
      <c r="C151" s="4" t="s">
        <v>202</v>
      </c>
      <c r="D151" s="4">
        <v>60</v>
      </c>
      <c r="E151" s="4">
        <v>70</v>
      </c>
      <c r="F151" s="4">
        <v>80</v>
      </c>
    </row>
    <row r="152" spans="1:6" x14ac:dyDescent="0.35">
      <c r="A152">
        <v>12</v>
      </c>
      <c r="B152" s="10">
        <v>8</v>
      </c>
      <c r="C152" s="4" t="s">
        <v>203</v>
      </c>
      <c r="D152" s="4">
        <v>50</v>
      </c>
      <c r="E152" s="4">
        <v>70</v>
      </c>
      <c r="F152" s="4">
        <v>90</v>
      </c>
    </row>
    <row r="153" spans="1:6" x14ac:dyDescent="0.35">
      <c r="A153">
        <v>12</v>
      </c>
      <c r="B153" s="10">
        <v>9</v>
      </c>
      <c r="C153" s="4" t="s">
        <v>204</v>
      </c>
      <c r="D153" s="4">
        <v>3</v>
      </c>
      <c r="E153" s="4">
        <v>5</v>
      </c>
      <c r="F153" s="4">
        <v>10</v>
      </c>
    </row>
    <row r="154" spans="1:6" x14ac:dyDescent="0.35">
      <c r="A154">
        <v>12</v>
      </c>
      <c r="B154" s="10">
        <v>10</v>
      </c>
      <c r="C154" s="4" t="s">
        <v>205</v>
      </c>
      <c r="D154" s="4">
        <v>0</v>
      </c>
      <c r="E154" s="4">
        <v>20</v>
      </c>
      <c r="F154" s="4">
        <v>30</v>
      </c>
    </row>
    <row r="155" spans="1:6" x14ac:dyDescent="0.35">
      <c r="A155">
        <v>12</v>
      </c>
      <c r="B155" s="10">
        <v>11</v>
      </c>
      <c r="C155" s="4" t="s">
        <v>206</v>
      </c>
      <c r="D155" s="4">
        <v>0.1</v>
      </c>
      <c r="E155" s="4">
        <v>2</v>
      </c>
      <c r="F155" s="4">
        <v>5</v>
      </c>
    </row>
    <row r="156" spans="1:6" x14ac:dyDescent="0.35">
      <c r="A156">
        <v>12</v>
      </c>
      <c r="B156" s="10">
        <v>12</v>
      </c>
      <c r="C156" s="4" t="s">
        <v>207</v>
      </c>
      <c r="D156" s="4">
        <v>0.6</v>
      </c>
      <c r="E156" s="4">
        <v>1.2</v>
      </c>
      <c r="F156" s="4">
        <v>2</v>
      </c>
    </row>
    <row r="157" spans="1:6" x14ac:dyDescent="0.35">
      <c r="A157">
        <v>12</v>
      </c>
      <c r="B157" s="10">
        <v>13</v>
      </c>
      <c r="C157" s="4" t="s">
        <v>208</v>
      </c>
      <c r="D157" s="4">
        <v>5</v>
      </c>
      <c r="E157" s="4">
        <v>20</v>
      </c>
      <c r="F157" s="4">
        <v>50</v>
      </c>
    </row>
    <row r="158" spans="1:6" x14ac:dyDescent="0.35">
      <c r="C158" s="4"/>
    </row>
    <row r="159" spans="1:6" x14ac:dyDescent="0.35">
      <c r="C159" s="4"/>
    </row>
    <row r="160" spans="1:6" x14ac:dyDescent="0.35">
      <c r="C160" s="4"/>
    </row>
    <row r="161" spans="3:3" x14ac:dyDescent="0.35">
      <c r="C161" s="4"/>
    </row>
    <row r="162" spans="3:3" x14ac:dyDescent="0.35">
      <c r="C162" s="4"/>
    </row>
    <row r="163" spans="3:3" x14ac:dyDescent="0.35">
      <c r="C163" s="4"/>
    </row>
    <row r="164" spans="3:3" x14ac:dyDescent="0.35">
      <c r="C164" s="4"/>
    </row>
    <row r="165" spans="3:3" x14ac:dyDescent="0.35">
      <c r="C165" s="4"/>
    </row>
    <row r="166" spans="3:3" x14ac:dyDescent="0.35">
      <c r="C166" s="4"/>
    </row>
    <row r="167" spans="3:3" x14ac:dyDescent="0.35">
      <c r="C167" s="4"/>
    </row>
    <row r="168" spans="3:3" x14ac:dyDescent="0.35">
      <c r="C168" s="4"/>
    </row>
    <row r="169" spans="3:3" x14ac:dyDescent="0.35">
      <c r="C169" s="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49"/>
  <dimension ref="A1:H118"/>
  <sheetViews>
    <sheetView workbookViewId="0"/>
  </sheetViews>
  <sheetFormatPr defaultRowHeight="14.5" x14ac:dyDescent="0.35"/>
  <sheetData>
    <row r="1" spans="1:8" x14ac:dyDescent="0.35">
      <c r="A1" t="s">
        <v>222</v>
      </c>
      <c r="H1" t="s">
        <v>58</v>
      </c>
    </row>
    <row r="2" spans="1:8" x14ac:dyDescent="0.35">
      <c r="A2">
        <v>1</v>
      </c>
      <c r="B2">
        <v>1</v>
      </c>
      <c r="C2" t="s">
        <v>209</v>
      </c>
      <c r="D2" s="4">
        <v>1700000</v>
      </c>
      <c r="E2" s="4">
        <v>2100000</v>
      </c>
      <c r="F2" s="4">
        <v>2500000</v>
      </c>
      <c r="H2" s="4">
        <v>2368670</v>
      </c>
    </row>
    <row r="3" spans="1:8" x14ac:dyDescent="0.35">
      <c r="A3">
        <v>1</v>
      </c>
      <c r="B3">
        <v>2</v>
      </c>
      <c r="C3" t="s">
        <v>210</v>
      </c>
      <c r="D3" s="4">
        <v>6200000</v>
      </c>
      <c r="E3" s="4">
        <v>7200000</v>
      </c>
      <c r="F3" s="4">
        <v>8200000</v>
      </c>
      <c r="H3" s="4">
        <v>7356230</v>
      </c>
    </row>
    <row r="4" spans="1:8" x14ac:dyDescent="0.35">
      <c r="A4">
        <v>1</v>
      </c>
      <c r="B4">
        <v>3</v>
      </c>
      <c r="C4" t="s">
        <v>211</v>
      </c>
      <c r="D4" s="4">
        <v>3600000</v>
      </c>
      <c r="E4" s="4">
        <v>4000000</v>
      </c>
      <c r="F4" s="4">
        <v>4400000</v>
      </c>
      <c r="H4" s="4">
        <v>4404720</v>
      </c>
    </row>
    <row r="5" spans="1:8" x14ac:dyDescent="0.35">
      <c r="A5">
        <v>1</v>
      </c>
      <c r="B5">
        <v>4</v>
      </c>
      <c r="C5" t="s">
        <v>212</v>
      </c>
      <c r="D5" s="4">
        <v>4200000</v>
      </c>
      <c r="E5" s="4">
        <v>4600000</v>
      </c>
      <c r="F5" s="4">
        <v>5000000</v>
      </c>
      <c r="H5" s="4">
        <v>4641090</v>
      </c>
    </row>
    <row r="6" spans="1:8" x14ac:dyDescent="0.35">
      <c r="A6">
        <v>1</v>
      </c>
      <c r="B6">
        <v>5</v>
      </c>
      <c r="C6" t="s">
        <v>213</v>
      </c>
      <c r="D6" s="4">
        <v>7000</v>
      </c>
      <c r="E6" s="4">
        <v>25000</v>
      </c>
      <c r="F6" s="4">
        <v>43000</v>
      </c>
      <c r="H6" s="4">
        <v>4774</v>
      </c>
    </row>
    <row r="7" spans="1:8" x14ac:dyDescent="0.35">
      <c r="A7">
        <v>1</v>
      </c>
      <c r="B7">
        <v>6</v>
      </c>
      <c r="C7" t="s">
        <v>214</v>
      </c>
      <c r="D7" s="4">
        <v>29000000</v>
      </c>
      <c r="E7" s="4">
        <v>31000000</v>
      </c>
      <c r="F7" s="4">
        <v>33000000</v>
      </c>
      <c r="H7" s="4">
        <v>28300000</v>
      </c>
    </row>
    <row r="8" spans="1:8" x14ac:dyDescent="0.35">
      <c r="A8">
        <v>1</v>
      </c>
      <c r="B8">
        <v>7</v>
      </c>
      <c r="C8" t="s">
        <v>215</v>
      </c>
      <c r="D8" s="4">
        <v>200000</v>
      </c>
      <c r="E8" s="4">
        <v>500000</v>
      </c>
      <c r="F8" s="4">
        <v>800000</v>
      </c>
      <c r="H8" s="4">
        <v>2123000</v>
      </c>
    </row>
    <row r="9" spans="1:8" x14ac:dyDescent="0.35">
      <c r="A9">
        <v>1</v>
      </c>
      <c r="B9">
        <v>8</v>
      </c>
      <c r="C9" t="s">
        <v>216</v>
      </c>
      <c r="D9" s="4">
        <v>3400000</v>
      </c>
      <c r="E9" s="4">
        <v>3900000</v>
      </c>
      <c r="F9" s="4">
        <v>4400000</v>
      </c>
      <c r="H9" s="4">
        <v>5647000</v>
      </c>
    </row>
    <row r="10" spans="1:8" x14ac:dyDescent="0.35">
      <c r="A10">
        <v>1</v>
      </c>
      <c r="B10">
        <v>9</v>
      </c>
      <c r="C10" t="s">
        <v>217</v>
      </c>
      <c r="D10" s="4">
        <v>200000</v>
      </c>
      <c r="E10" s="4">
        <v>1000000</v>
      </c>
      <c r="F10" s="4">
        <v>1800000</v>
      </c>
      <c r="H10" s="4">
        <v>811000</v>
      </c>
    </row>
    <row r="11" spans="1:8" x14ac:dyDescent="0.35">
      <c r="A11">
        <v>1</v>
      </c>
      <c r="B11">
        <v>10</v>
      </c>
      <c r="C11" t="s">
        <v>218</v>
      </c>
      <c r="D11" s="4">
        <v>5400000</v>
      </c>
      <c r="E11" s="4">
        <v>6200000</v>
      </c>
      <c r="F11" s="4">
        <v>7000000</v>
      </c>
      <c r="H11" s="4">
        <v>4651000</v>
      </c>
    </row>
    <row r="12" spans="1:8" x14ac:dyDescent="0.35">
      <c r="A12">
        <v>1</v>
      </c>
      <c r="B12">
        <v>11</v>
      </c>
      <c r="C12" t="s">
        <v>219</v>
      </c>
      <c r="D12" s="4">
        <v>2400000</v>
      </c>
      <c r="E12" s="4">
        <v>2900000</v>
      </c>
      <c r="F12" s="4">
        <v>3400000</v>
      </c>
      <c r="H12" s="4">
        <v>1245000</v>
      </c>
    </row>
    <row r="13" spans="1:8" x14ac:dyDescent="0.35">
      <c r="A13">
        <v>1</v>
      </c>
      <c r="B13">
        <v>12</v>
      </c>
      <c r="C13" t="s">
        <v>220</v>
      </c>
      <c r="D13" s="4">
        <v>800000000</v>
      </c>
      <c r="E13" s="4">
        <v>1200000000</v>
      </c>
      <c r="F13" s="4">
        <v>1600000000</v>
      </c>
      <c r="H13" s="4">
        <v>1510000000</v>
      </c>
    </row>
    <row r="14" spans="1:8" x14ac:dyDescent="0.35">
      <c r="A14">
        <v>1</v>
      </c>
      <c r="B14">
        <v>13</v>
      </c>
      <c r="C14" t="s">
        <v>221</v>
      </c>
      <c r="D14" s="4">
        <v>114000000</v>
      </c>
      <c r="E14" s="4">
        <v>130000000</v>
      </c>
      <c r="F14" s="4">
        <v>146000000</v>
      </c>
      <c r="H14" s="4">
        <v>87000000</v>
      </c>
    </row>
    <row r="15" spans="1:8" x14ac:dyDescent="0.35">
      <c r="A15">
        <v>2</v>
      </c>
      <c r="B15">
        <v>1</v>
      </c>
      <c r="C15" t="s">
        <v>209</v>
      </c>
      <c r="D15" s="4">
        <v>1000000</v>
      </c>
      <c r="E15" s="4">
        <v>2000000</v>
      </c>
      <c r="F15" s="4">
        <v>3000000</v>
      </c>
    </row>
    <row r="16" spans="1:8" x14ac:dyDescent="0.35">
      <c r="A16">
        <v>2</v>
      </c>
      <c r="B16">
        <v>2</v>
      </c>
      <c r="C16" t="s">
        <v>210</v>
      </c>
      <c r="D16" s="4">
        <v>5500000</v>
      </c>
      <c r="E16" s="4">
        <v>7000000</v>
      </c>
      <c r="F16" s="4">
        <v>8500000</v>
      </c>
    </row>
    <row r="17" spans="1:6" x14ac:dyDescent="0.35">
      <c r="A17">
        <v>2</v>
      </c>
      <c r="B17">
        <v>3</v>
      </c>
      <c r="C17" t="s">
        <v>211</v>
      </c>
      <c r="D17" s="4">
        <v>2500000</v>
      </c>
      <c r="E17" s="4">
        <v>4000000</v>
      </c>
      <c r="F17" s="4">
        <v>6000000</v>
      </c>
    </row>
    <row r="18" spans="1:6" x14ac:dyDescent="0.35">
      <c r="A18">
        <v>2</v>
      </c>
      <c r="B18">
        <v>4</v>
      </c>
      <c r="C18" t="s">
        <v>212</v>
      </c>
      <c r="D18" s="4">
        <v>3500000</v>
      </c>
      <c r="E18" s="4">
        <v>4500000</v>
      </c>
      <c r="F18" s="4">
        <v>5500000</v>
      </c>
    </row>
    <row r="19" spans="1:6" x14ac:dyDescent="0.35">
      <c r="A19">
        <v>2</v>
      </c>
      <c r="B19">
        <v>5</v>
      </c>
      <c r="C19" t="s">
        <v>213</v>
      </c>
      <c r="D19" s="4">
        <v>0</v>
      </c>
      <c r="E19" s="4">
        <v>15000</v>
      </c>
      <c r="F19" s="4">
        <v>40000</v>
      </c>
    </row>
    <row r="20" spans="1:6" x14ac:dyDescent="0.35">
      <c r="A20">
        <v>2</v>
      </c>
      <c r="B20">
        <v>6</v>
      </c>
      <c r="C20" t="s">
        <v>214</v>
      </c>
      <c r="D20" s="4">
        <v>25000000</v>
      </c>
      <c r="E20" s="4">
        <v>30000000</v>
      </c>
      <c r="F20" s="4">
        <v>40000000</v>
      </c>
    </row>
    <row r="21" spans="1:6" x14ac:dyDescent="0.35">
      <c r="A21">
        <v>2</v>
      </c>
      <c r="B21">
        <v>7</v>
      </c>
      <c r="C21" t="s">
        <v>215</v>
      </c>
      <c r="D21" s="4">
        <v>300000</v>
      </c>
      <c r="E21" s="4">
        <v>400000</v>
      </c>
      <c r="F21" s="4">
        <v>500000</v>
      </c>
    </row>
    <row r="22" spans="1:6" x14ac:dyDescent="0.35">
      <c r="A22">
        <v>2</v>
      </c>
      <c r="B22">
        <v>8</v>
      </c>
      <c r="C22" t="s">
        <v>216</v>
      </c>
      <c r="D22" s="4">
        <v>4000000</v>
      </c>
      <c r="E22" s="4">
        <v>5000000</v>
      </c>
      <c r="F22" s="4">
        <v>6000000</v>
      </c>
    </row>
    <row r="23" spans="1:6" x14ac:dyDescent="0.35">
      <c r="A23">
        <v>2</v>
      </c>
      <c r="B23">
        <v>9</v>
      </c>
      <c r="C23" t="s">
        <v>217</v>
      </c>
      <c r="D23" s="4">
        <v>800000</v>
      </c>
      <c r="E23" s="4">
        <v>1000000</v>
      </c>
      <c r="F23" s="4">
        <v>1200000</v>
      </c>
    </row>
    <row r="24" spans="1:6" x14ac:dyDescent="0.35">
      <c r="A24">
        <v>2</v>
      </c>
      <c r="B24">
        <v>10</v>
      </c>
      <c r="C24" t="s">
        <v>218</v>
      </c>
      <c r="D24" s="4">
        <v>7000000</v>
      </c>
      <c r="E24" s="4">
        <v>8000000</v>
      </c>
      <c r="F24" s="4">
        <v>9000000</v>
      </c>
    </row>
    <row r="25" spans="1:6" x14ac:dyDescent="0.35">
      <c r="A25">
        <v>2</v>
      </c>
      <c r="B25">
        <v>11</v>
      </c>
      <c r="C25" t="s">
        <v>219</v>
      </c>
      <c r="D25" s="4">
        <v>3000000</v>
      </c>
      <c r="E25" s="4">
        <v>3500000</v>
      </c>
      <c r="F25" s="4">
        <v>4000000</v>
      </c>
    </row>
    <row r="26" spans="1:6" x14ac:dyDescent="0.35">
      <c r="A26">
        <v>2</v>
      </c>
      <c r="B26">
        <v>12</v>
      </c>
      <c r="C26" t="s">
        <v>220</v>
      </c>
      <c r="D26" s="4">
        <v>1300000000</v>
      </c>
      <c r="E26" s="4">
        <v>1500000000</v>
      </c>
      <c r="F26" s="4">
        <v>1800000000</v>
      </c>
    </row>
    <row r="27" spans="1:6" x14ac:dyDescent="0.35">
      <c r="A27">
        <v>2</v>
      </c>
      <c r="B27">
        <v>13</v>
      </c>
      <c r="C27" t="s">
        <v>221</v>
      </c>
      <c r="D27" s="4">
        <v>100000000</v>
      </c>
      <c r="E27" s="4">
        <v>140000000</v>
      </c>
      <c r="F27" s="4">
        <v>180000000</v>
      </c>
    </row>
    <row r="28" spans="1:6" x14ac:dyDescent="0.35">
      <c r="A28">
        <v>3</v>
      </c>
      <c r="B28">
        <v>1</v>
      </c>
      <c r="C28" t="s">
        <v>209</v>
      </c>
      <c r="D28" s="4">
        <v>2000000</v>
      </c>
      <c r="E28" s="4">
        <v>2500000</v>
      </c>
      <c r="F28" s="4">
        <v>3000000</v>
      </c>
    </row>
    <row r="29" spans="1:6" x14ac:dyDescent="0.35">
      <c r="A29">
        <v>3</v>
      </c>
      <c r="B29">
        <v>2</v>
      </c>
      <c r="C29" t="s">
        <v>210</v>
      </c>
      <c r="D29" s="4">
        <v>6500000</v>
      </c>
      <c r="E29" s="4">
        <v>7500000</v>
      </c>
      <c r="F29" s="4">
        <v>8500000</v>
      </c>
    </row>
    <row r="30" spans="1:6" x14ac:dyDescent="0.35">
      <c r="A30">
        <v>3</v>
      </c>
      <c r="B30">
        <v>3</v>
      </c>
      <c r="C30" t="s">
        <v>211</v>
      </c>
      <c r="D30" s="4">
        <v>3000000</v>
      </c>
      <c r="E30" s="4">
        <v>3500000</v>
      </c>
      <c r="F30" s="4">
        <v>4500000</v>
      </c>
    </row>
    <row r="31" spans="1:6" x14ac:dyDescent="0.35">
      <c r="A31">
        <v>3</v>
      </c>
      <c r="B31">
        <v>4</v>
      </c>
      <c r="C31" t="s">
        <v>212</v>
      </c>
      <c r="D31" s="4">
        <v>3750000</v>
      </c>
      <c r="E31" s="4">
        <v>4500000</v>
      </c>
      <c r="F31" s="4">
        <v>6000000</v>
      </c>
    </row>
    <row r="32" spans="1:6" x14ac:dyDescent="0.35">
      <c r="A32">
        <v>3</v>
      </c>
      <c r="B32">
        <v>5</v>
      </c>
      <c r="C32" t="s">
        <v>213</v>
      </c>
      <c r="D32" s="4">
        <v>200</v>
      </c>
      <c r="E32" s="4">
        <v>500</v>
      </c>
      <c r="F32" s="4">
        <v>1500</v>
      </c>
    </row>
    <row r="33" spans="1:6" x14ac:dyDescent="0.35">
      <c r="A33">
        <v>3</v>
      </c>
      <c r="B33">
        <v>6</v>
      </c>
      <c r="C33" t="s">
        <v>214</v>
      </c>
      <c r="D33" s="4">
        <v>30000000</v>
      </c>
      <c r="E33" s="4">
        <v>32500000</v>
      </c>
      <c r="F33" s="4">
        <v>38000000</v>
      </c>
    </row>
    <row r="34" spans="1:6" x14ac:dyDescent="0.35">
      <c r="A34">
        <v>3</v>
      </c>
      <c r="B34">
        <v>7</v>
      </c>
      <c r="C34" t="s">
        <v>215</v>
      </c>
      <c r="D34" s="4">
        <v>350000</v>
      </c>
      <c r="E34" s="4">
        <v>500000</v>
      </c>
      <c r="F34" s="4">
        <v>600000</v>
      </c>
    </row>
    <row r="35" spans="1:6" x14ac:dyDescent="0.35">
      <c r="A35">
        <v>3</v>
      </c>
      <c r="B35">
        <v>8</v>
      </c>
      <c r="C35" t="s">
        <v>216</v>
      </c>
      <c r="D35" s="4">
        <v>3500000</v>
      </c>
      <c r="E35" s="4">
        <v>4000000</v>
      </c>
      <c r="F35" s="4">
        <v>5000000</v>
      </c>
    </row>
    <row r="36" spans="1:6" x14ac:dyDescent="0.35">
      <c r="A36">
        <v>3</v>
      </c>
      <c r="B36">
        <v>9</v>
      </c>
      <c r="C36" t="s">
        <v>217</v>
      </c>
      <c r="D36" s="4">
        <v>400000</v>
      </c>
      <c r="E36" s="4">
        <v>600000</v>
      </c>
      <c r="F36" s="4">
        <v>800000</v>
      </c>
    </row>
    <row r="37" spans="1:6" x14ac:dyDescent="0.35">
      <c r="A37">
        <v>3</v>
      </c>
      <c r="B37">
        <v>10</v>
      </c>
      <c r="C37" t="s">
        <v>218</v>
      </c>
      <c r="D37" s="4">
        <v>5500000</v>
      </c>
      <c r="E37" s="4">
        <v>6500000</v>
      </c>
      <c r="F37" s="4">
        <v>8000000</v>
      </c>
    </row>
    <row r="38" spans="1:6" x14ac:dyDescent="0.35">
      <c r="A38">
        <v>3</v>
      </c>
      <c r="B38">
        <v>11</v>
      </c>
      <c r="C38" t="s">
        <v>219</v>
      </c>
      <c r="D38" s="4">
        <v>2500000</v>
      </c>
      <c r="E38" s="4">
        <v>3000000</v>
      </c>
      <c r="F38" s="4">
        <v>4000000</v>
      </c>
    </row>
    <row r="39" spans="1:6" x14ac:dyDescent="0.35">
      <c r="A39">
        <v>3</v>
      </c>
      <c r="B39">
        <v>12</v>
      </c>
      <c r="C39" t="s">
        <v>220</v>
      </c>
      <c r="D39" s="4">
        <v>1436000000</v>
      </c>
      <c r="E39" s="4">
        <v>1525750000</v>
      </c>
      <c r="F39" s="4">
        <v>1616000000</v>
      </c>
    </row>
    <row r="40" spans="1:6" x14ac:dyDescent="0.35">
      <c r="A40">
        <v>3</v>
      </c>
      <c r="B40">
        <v>13</v>
      </c>
      <c r="C40" t="s">
        <v>221</v>
      </c>
      <c r="D40" s="4">
        <v>120000000</v>
      </c>
      <c r="E40" s="4">
        <v>130000000</v>
      </c>
      <c r="F40" s="4">
        <v>135000000</v>
      </c>
    </row>
    <row r="41" spans="1:6" x14ac:dyDescent="0.35">
      <c r="A41">
        <v>4</v>
      </c>
      <c r="B41">
        <v>1</v>
      </c>
      <c r="C41" t="s">
        <v>209</v>
      </c>
      <c r="D41" s="4">
        <v>1700000</v>
      </c>
      <c r="E41" s="4">
        <v>2100000</v>
      </c>
      <c r="F41" s="4">
        <v>2300000</v>
      </c>
    </row>
    <row r="42" spans="1:6" x14ac:dyDescent="0.35">
      <c r="A42">
        <v>4</v>
      </c>
      <c r="B42">
        <v>2</v>
      </c>
      <c r="C42" t="s">
        <v>210</v>
      </c>
      <c r="D42" s="4">
        <v>6000000</v>
      </c>
      <c r="E42" s="4">
        <v>7000000</v>
      </c>
      <c r="F42" s="4">
        <v>8000000</v>
      </c>
    </row>
    <row r="43" spans="1:6" x14ac:dyDescent="0.35">
      <c r="A43">
        <v>4</v>
      </c>
      <c r="B43">
        <v>3</v>
      </c>
      <c r="C43" t="s">
        <v>211</v>
      </c>
      <c r="D43" s="4">
        <v>3600000</v>
      </c>
      <c r="E43" s="4">
        <v>4000000</v>
      </c>
      <c r="F43" s="4">
        <v>4600000</v>
      </c>
    </row>
    <row r="44" spans="1:6" x14ac:dyDescent="0.35">
      <c r="A44">
        <v>4</v>
      </c>
      <c r="B44">
        <v>4</v>
      </c>
      <c r="C44" t="s">
        <v>212</v>
      </c>
      <c r="D44" s="4">
        <v>3500000</v>
      </c>
      <c r="E44" s="4">
        <v>5000000</v>
      </c>
      <c r="F44" s="4">
        <v>6000000</v>
      </c>
    </row>
    <row r="45" spans="1:6" x14ac:dyDescent="0.35">
      <c r="A45">
        <v>4</v>
      </c>
      <c r="B45">
        <v>5</v>
      </c>
      <c r="C45" t="s">
        <v>213</v>
      </c>
      <c r="D45" s="4">
        <v>5000</v>
      </c>
      <c r="E45" s="4">
        <v>10000</v>
      </c>
      <c r="F45" s="4">
        <v>25000</v>
      </c>
    </row>
    <row r="46" spans="1:6" x14ac:dyDescent="0.35">
      <c r="A46">
        <v>4</v>
      </c>
      <c r="B46">
        <v>6</v>
      </c>
      <c r="C46" t="s">
        <v>214</v>
      </c>
      <c r="D46" s="4">
        <v>28000000</v>
      </c>
      <c r="E46" s="4">
        <v>30000000</v>
      </c>
      <c r="F46" s="4">
        <v>33000000</v>
      </c>
    </row>
    <row r="47" spans="1:6" x14ac:dyDescent="0.35">
      <c r="A47">
        <v>4</v>
      </c>
      <c r="B47">
        <v>7</v>
      </c>
      <c r="C47" t="s">
        <v>215</v>
      </c>
      <c r="D47" s="4">
        <v>300000</v>
      </c>
      <c r="E47" s="4">
        <v>500000</v>
      </c>
      <c r="F47" s="4">
        <v>600000</v>
      </c>
    </row>
    <row r="48" spans="1:6" x14ac:dyDescent="0.35">
      <c r="A48">
        <v>4</v>
      </c>
      <c r="B48">
        <v>8</v>
      </c>
      <c r="C48" t="s">
        <v>216</v>
      </c>
      <c r="D48" s="4">
        <v>4000000</v>
      </c>
      <c r="E48" s="4">
        <v>4500000</v>
      </c>
      <c r="F48" s="4">
        <v>4800000</v>
      </c>
    </row>
    <row r="49" spans="1:6" x14ac:dyDescent="0.35">
      <c r="A49">
        <v>4</v>
      </c>
      <c r="B49">
        <v>9</v>
      </c>
      <c r="C49" t="s">
        <v>217</v>
      </c>
      <c r="D49" s="4">
        <v>600000</v>
      </c>
      <c r="E49" s="4">
        <v>800000</v>
      </c>
      <c r="F49" s="4">
        <v>1000000</v>
      </c>
    </row>
    <row r="50" spans="1:6" x14ac:dyDescent="0.35">
      <c r="A50">
        <v>4</v>
      </c>
      <c r="B50">
        <v>10</v>
      </c>
      <c r="C50" t="s">
        <v>218</v>
      </c>
      <c r="D50" s="4">
        <v>6500000</v>
      </c>
      <c r="E50" s="4">
        <v>7500000</v>
      </c>
      <c r="F50" s="4">
        <v>9000000</v>
      </c>
    </row>
    <row r="51" spans="1:6" x14ac:dyDescent="0.35">
      <c r="A51">
        <v>4</v>
      </c>
      <c r="B51">
        <v>11</v>
      </c>
      <c r="C51" t="s">
        <v>219</v>
      </c>
      <c r="D51" s="4">
        <v>3000000</v>
      </c>
      <c r="E51" s="4">
        <v>3400000</v>
      </c>
      <c r="F51" s="4">
        <v>3700000</v>
      </c>
    </row>
    <row r="52" spans="1:6" x14ac:dyDescent="0.35">
      <c r="A52">
        <v>4</v>
      </c>
      <c r="B52">
        <v>12</v>
      </c>
      <c r="C52" t="s">
        <v>220</v>
      </c>
      <c r="D52" s="4">
        <v>500000000</v>
      </c>
      <c r="E52" s="4">
        <v>1000000000</v>
      </c>
      <c r="F52" s="4">
        <v>1500000000</v>
      </c>
    </row>
    <row r="53" spans="1:6" x14ac:dyDescent="0.35">
      <c r="A53">
        <v>4</v>
      </c>
      <c r="B53">
        <v>13</v>
      </c>
      <c r="C53" t="s">
        <v>221</v>
      </c>
      <c r="D53" s="4">
        <v>100000000</v>
      </c>
      <c r="E53" s="4">
        <v>150000000</v>
      </c>
      <c r="F53" s="4">
        <v>175000000</v>
      </c>
    </row>
    <row r="54" spans="1:6" x14ac:dyDescent="0.35">
      <c r="A54">
        <v>5</v>
      </c>
      <c r="B54">
        <v>1</v>
      </c>
      <c r="C54" t="s">
        <v>209</v>
      </c>
      <c r="D54" s="4">
        <v>2000000</v>
      </c>
      <c r="E54" s="4">
        <v>2200000</v>
      </c>
      <c r="F54" s="4">
        <v>2500000</v>
      </c>
    </row>
    <row r="55" spans="1:6" x14ac:dyDescent="0.35">
      <c r="A55">
        <v>5</v>
      </c>
      <c r="B55">
        <v>2</v>
      </c>
      <c r="C55" t="s">
        <v>210</v>
      </c>
      <c r="D55" s="4">
        <v>7000000</v>
      </c>
      <c r="E55" s="4">
        <v>8000000</v>
      </c>
      <c r="F55" s="4">
        <v>9000000</v>
      </c>
    </row>
    <row r="56" spans="1:6" x14ac:dyDescent="0.35">
      <c r="A56">
        <v>5</v>
      </c>
      <c r="B56">
        <v>3</v>
      </c>
      <c r="C56" t="s">
        <v>211</v>
      </c>
      <c r="D56" s="4">
        <v>3500000</v>
      </c>
      <c r="E56" s="4">
        <v>4000000</v>
      </c>
      <c r="F56" s="4">
        <v>4500000</v>
      </c>
    </row>
    <row r="57" spans="1:6" x14ac:dyDescent="0.35">
      <c r="A57">
        <v>5</v>
      </c>
      <c r="B57">
        <v>4</v>
      </c>
      <c r="C57" t="s">
        <v>212</v>
      </c>
      <c r="D57" s="4">
        <v>4500000</v>
      </c>
      <c r="E57" s="4">
        <v>5000000</v>
      </c>
      <c r="F57" s="4">
        <v>6000000</v>
      </c>
    </row>
    <row r="58" spans="1:6" x14ac:dyDescent="0.35">
      <c r="A58">
        <v>5</v>
      </c>
      <c r="B58">
        <v>5</v>
      </c>
      <c r="C58" t="s">
        <v>213</v>
      </c>
      <c r="D58" s="4">
        <v>9000</v>
      </c>
      <c r="E58" s="4">
        <v>10000</v>
      </c>
      <c r="F58" s="4">
        <v>15000</v>
      </c>
    </row>
    <row r="59" spans="1:6" x14ac:dyDescent="0.35">
      <c r="A59">
        <v>5</v>
      </c>
      <c r="B59">
        <v>6</v>
      </c>
      <c r="C59" t="s">
        <v>214</v>
      </c>
      <c r="D59" s="4">
        <v>29500000</v>
      </c>
      <c r="E59" s="4">
        <v>30000000</v>
      </c>
      <c r="F59" s="4">
        <v>31000000</v>
      </c>
    </row>
    <row r="60" spans="1:6" x14ac:dyDescent="0.35">
      <c r="A60">
        <v>5</v>
      </c>
      <c r="B60">
        <v>7</v>
      </c>
      <c r="C60" t="s">
        <v>215</v>
      </c>
      <c r="D60" s="4">
        <v>400000</v>
      </c>
      <c r="E60" s="4">
        <v>500000</v>
      </c>
      <c r="F60" s="4">
        <v>800000</v>
      </c>
    </row>
    <row r="61" spans="1:6" x14ac:dyDescent="0.35">
      <c r="A61">
        <v>5</v>
      </c>
      <c r="B61">
        <v>8</v>
      </c>
      <c r="C61" t="s">
        <v>216</v>
      </c>
      <c r="D61" s="4">
        <v>3500000</v>
      </c>
      <c r="E61" s="4">
        <v>4000000</v>
      </c>
      <c r="F61" s="4">
        <v>4500000</v>
      </c>
    </row>
    <row r="62" spans="1:6" x14ac:dyDescent="0.35">
      <c r="A62">
        <v>5</v>
      </c>
      <c r="B62">
        <v>9</v>
      </c>
      <c r="C62" t="s">
        <v>217</v>
      </c>
      <c r="D62" s="4">
        <v>700000</v>
      </c>
      <c r="E62" s="4">
        <v>1000000</v>
      </c>
      <c r="F62" s="4">
        <v>1300000</v>
      </c>
    </row>
    <row r="63" spans="1:6" x14ac:dyDescent="0.35">
      <c r="A63">
        <v>5</v>
      </c>
      <c r="B63">
        <v>10</v>
      </c>
      <c r="C63" t="s">
        <v>218</v>
      </c>
      <c r="D63" s="4">
        <v>6500000</v>
      </c>
      <c r="E63" s="4">
        <v>7500000</v>
      </c>
      <c r="F63" s="4">
        <v>8500000</v>
      </c>
    </row>
    <row r="64" spans="1:6" x14ac:dyDescent="0.35">
      <c r="A64">
        <v>5</v>
      </c>
      <c r="B64">
        <v>11</v>
      </c>
      <c r="C64" t="s">
        <v>219</v>
      </c>
      <c r="D64" s="4">
        <v>2700000</v>
      </c>
      <c r="E64" s="4">
        <v>3000000</v>
      </c>
      <c r="F64" s="4">
        <v>3700000</v>
      </c>
    </row>
    <row r="65" spans="1:6" x14ac:dyDescent="0.35">
      <c r="A65">
        <v>5</v>
      </c>
      <c r="B65">
        <v>12</v>
      </c>
      <c r="C65" t="s">
        <v>220</v>
      </c>
      <c r="D65" s="4">
        <v>1200000000</v>
      </c>
      <c r="E65" s="4">
        <v>1500000000</v>
      </c>
      <c r="F65" s="4">
        <v>2000000000</v>
      </c>
    </row>
    <row r="66" spans="1:6" x14ac:dyDescent="0.35">
      <c r="A66">
        <v>5</v>
      </c>
      <c r="B66">
        <v>13</v>
      </c>
      <c r="C66" t="s">
        <v>221</v>
      </c>
      <c r="D66" s="4">
        <v>100000000</v>
      </c>
      <c r="E66" s="4">
        <v>200000000</v>
      </c>
      <c r="F66" s="4">
        <v>250000000</v>
      </c>
    </row>
    <row r="67" spans="1:6" x14ac:dyDescent="0.35">
      <c r="A67">
        <v>6</v>
      </c>
      <c r="B67">
        <v>1</v>
      </c>
      <c r="C67" t="s">
        <v>209</v>
      </c>
      <c r="D67" s="4">
        <v>1200000</v>
      </c>
      <c r="E67" s="4">
        <v>2000000</v>
      </c>
      <c r="F67" s="4">
        <v>3000000</v>
      </c>
    </row>
    <row r="68" spans="1:6" x14ac:dyDescent="0.35">
      <c r="A68">
        <v>6</v>
      </c>
      <c r="B68">
        <v>2</v>
      </c>
      <c r="C68" t="s">
        <v>210</v>
      </c>
      <c r="D68" s="4">
        <v>3500000</v>
      </c>
      <c r="E68" s="4">
        <v>7200000</v>
      </c>
      <c r="F68" s="4">
        <v>12000000</v>
      </c>
    </row>
    <row r="69" spans="1:6" x14ac:dyDescent="0.35">
      <c r="A69">
        <v>6</v>
      </c>
      <c r="B69">
        <v>3</v>
      </c>
      <c r="C69" t="s">
        <v>211</v>
      </c>
      <c r="D69" s="4">
        <v>1200000</v>
      </c>
      <c r="E69" s="4">
        <v>3500000</v>
      </c>
      <c r="F69" s="4">
        <v>4500000</v>
      </c>
    </row>
    <row r="70" spans="1:6" x14ac:dyDescent="0.35">
      <c r="A70">
        <v>6</v>
      </c>
      <c r="B70">
        <v>4</v>
      </c>
      <c r="C70" t="s">
        <v>212</v>
      </c>
      <c r="D70" s="4">
        <v>3100000</v>
      </c>
      <c r="E70" s="4">
        <v>4700000</v>
      </c>
      <c r="F70" s="4">
        <v>6500000</v>
      </c>
    </row>
    <row r="71" spans="1:6" x14ac:dyDescent="0.35">
      <c r="A71">
        <v>6</v>
      </c>
      <c r="B71">
        <v>5</v>
      </c>
      <c r="C71" t="s">
        <v>213</v>
      </c>
      <c r="D71" s="4">
        <v>2000</v>
      </c>
      <c r="E71" s="4">
        <v>15000</v>
      </c>
      <c r="F71" s="4">
        <v>68000</v>
      </c>
    </row>
    <row r="72" spans="1:6" x14ac:dyDescent="0.35">
      <c r="A72">
        <v>6</v>
      </c>
      <c r="B72">
        <v>6</v>
      </c>
      <c r="C72" t="s">
        <v>214</v>
      </c>
      <c r="D72" s="4">
        <v>19000000</v>
      </c>
      <c r="E72" s="4">
        <v>28000000</v>
      </c>
      <c r="F72" s="4">
        <v>37000000</v>
      </c>
    </row>
    <row r="73" spans="1:6" x14ac:dyDescent="0.35">
      <c r="A73">
        <v>6</v>
      </c>
      <c r="B73">
        <v>7</v>
      </c>
      <c r="C73" t="s">
        <v>215</v>
      </c>
      <c r="D73" s="4">
        <v>300000</v>
      </c>
      <c r="E73" s="4">
        <v>500000</v>
      </c>
      <c r="F73" s="4">
        <v>1000000</v>
      </c>
    </row>
    <row r="74" spans="1:6" x14ac:dyDescent="0.35">
      <c r="A74">
        <v>6</v>
      </c>
      <c r="B74">
        <v>8</v>
      </c>
      <c r="C74" t="s">
        <v>216</v>
      </c>
      <c r="D74" s="4">
        <v>2000000</v>
      </c>
      <c r="E74" s="4">
        <v>3900000</v>
      </c>
      <c r="F74" s="4">
        <v>5000000</v>
      </c>
    </row>
    <row r="75" spans="1:6" x14ac:dyDescent="0.35">
      <c r="A75">
        <v>6</v>
      </c>
      <c r="B75">
        <v>9</v>
      </c>
      <c r="C75" t="s">
        <v>217</v>
      </c>
      <c r="D75" s="4">
        <v>300000</v>
      </c>
      <c r="E75" s="4">
        <v>750000</v>
      </c>
      <c r="F75" s="4">
        <v>2000000</v>
      </c>
    </row>
    <row r="76" spans="1:6" x14ac:dyDescent="0.35">
      <c r="A76">
        <v>6</v>
      </c>
      <c r="B76">
        <v>10</v>
      </c>
      <c r="C76" t="s">
        <v>218</v>
      </c>
      <c r="D76" s="4">
        <v>4000000</v>
      </c>
      <c r="E76" s="4">
        <v>6900000</v>
      </c>
      <c r="F76" s="4">
        <v>8500000</v>
      </c>
    </row>
    <row r="77" spans="1:6" x14ac:dyDescent="0.35">
      <c r="A77">
        <v>6</v>
      </c>
      <c r="B77">
        <v>11</v>
      </c>
      <c r="C77" t="s">
        <v>219</v>
      </c>
      <c r="D77" s="4">
        <v>1500000</v>
      </c>
      <c r="E77" s="4">
        <v>3000000</v>
      </c>
      <c r="F77" s="4">
        <v>4600000</v>
      </c>
    </row>
    <row r="78" spans="1:6" x14ac:dyDescent="0.35">
      <c r="A78">
        <v>6</v>
      </c>
      <c r="B78">
        <v>12</v>
      </c>
      <c r="C78" t="s">
        <v>220</v>
      </c>
      <c r="D78" s="4">
        <v>1100000000</v>
      </c>
      <c r="E78" s="4">
        <v>1200000000</v>
      </c>
      <c r="F78" s="4">
        <v>1900000000</v>
      </c>
    </row>
    <row r="79" spans="1:6" x14ac:dyDescent="0.35">
      <c r="A79">
        <v>6</v>
      </c>
      <c r="B79">
        <v>13</v>
      </c>
      <c r="C79" t="s">
        <v>221</v>
      </c>
      <c r="D79" s="4">
        <v>70000000</v>
      </c>
      <c r="E79" s="4">
        <v>129000000</v>
      </c>
      <c r="F79" s="4">
        <v>180000000</v>
      </c>
    </row>
    <row r="80" spans="1:6" x14ac:dyDescent="0.35">
      <c r="A80">
        <v>7</v>
      </c>
      <c r="B80">
        <v>1</v>
      </c>
      <c r="C80" t="s">
        <v>209</v>
      </c>
      <c r="D80" s="4">
        <v>1500000</v>
      </c>
      <c r="E80" s="4">
        <v>2000000</v>
      </c>
      <c r="F80" s="4">
        <v>2300000</v>
      </c>
    </row>
    <row r="81" spans="1:6" x14ac:dyDescent="0.35">
      <c r="A81">
        <v>7</v>
      </c>
      <c r="B81">
        <v>2</v>
      </c>
      <c r="C81" t="s">
        <v>210</v>
      </c>
      <c r="D81" s="4">
        <v>6000000</v>
      </c>
      <c r="E81" s="4">
        <v>7000000</v>
      </c>
      <c r="F81" s="4">
        <v>9000000</v>
      </c>
    </row>
    <row r="82" spans="1:6" x14ac:dyDescent="0.35">
      <c r="A82">
        <v>7</v>
      </c>
      <c r="B82">
        <v>3</v>
      </c>
      <c r="C82" t="s">
        <v>211</v>
      </c>
      <c r="D82" s="4">
        <v>2500000</v>
      </c>
      <c r="E82" s="4">
        <v>4000000</v>
      </c>
      <c r="F82" s="4">
        <v>5000000</v>
      </c>
    </row>
    <row r="83" spans="1:6" x14ac:dyDescent="0.35">
      <c r="A83">
        <v>7</v>
      </c>
      <c r="B83">
        <v>4</v>
      </c>
      <c r="C83" t="s">
        <v>212</v>
      </c>
      <c r="D83" s="4">
        <v>4000000</v>
      </c>
      <c r="E83" s="4">
        <v>4500000</v>
      </c>
      <c r="F83" s="4">
        <v>5000000</v>
      </c>
    </row>
    <row r="84" spans="1:6" x14ac:dyDescent="0.35">
      <c r="A84">
        <v>7</v>
      </c>
      <c r="B84">
        <v>5</v>
      </c>
      <c r="C84" t="s">
        <v>213</v>
      </c>
      <c r="D84" s="4">
        <v>6000</v>
      </c>
      <c r="E84" s="4">
        <v>8000</v>
      </c>
      <c r="F84" s="4">
        <v>20000</v>
      </c>
    </row>
    <row r="85" spans="1:6" x14ac:dyDescent="0.35">
      <c r="A85">
        <v>7</v>
      </c>
      <c r="B85">
        <v>6</v>
      </c>
      <c r="C85" t="s">
        <v>214</v>
      </c>
      <c r="D85" s="4">
        <v>25000000</v>
      </c>
      <c r="E85" s="4">
        <v>30000000</v>
      </c>
      <c r="F85" s="4">
        <v>33000000</v>
      </c>
    </row>
    <row r="86" spans="1:6" x14ac:dyDescent="0.35">
      <c r="A86">
        <v>7</v>
      </c>
      <c r="B86">
        <v>7</v>
      </c>
      <c r="C86" t="s">
        <v>215</v>
      </c>
      <c r="D86" s="4">
        <v>300000</v>
      </c>
      <c r="E86" s="4">
        <v>400000</v>
      </c>
      <c r="F86" s="4">
        <v>700000</v>
      </c>
    </row>
    <row r="87" spans="1:6" x14ac:dyDescent="0.35">
      <c r="A87">
        <v>7</v>
      </c>
      <c r="B87">
        <v>8</v>
      </c>
      <c r="C87" t="s">
        <v>216</v>
      </c>
      <c r="D87" s="4">
        <v>3500000</v>
      </c>
      <c r="E87" s="4">
        <v>4000000</v>
      </c>
      <c r="F87" s="4">
        <v>4500000</v>
      </c>
    </row>
    <row r="88" spans="1:6" x14ac:dyDescent="0.35">
      <c r="A88">
        <v>7</v>
      </c>
      <c r="B88">
        <v>9</v>
      </c>
      <c r="C88" t="s">
        <v>217</v>
      </c>
      <c r="D88" s="4">
        <v>800000</v>
      </c>
      <c r="E88" s="4">
        <v>1000000</v>
      </c>
      <c r="F88" s="4">
        <v>1500000</v>
      </c>
    </row>
    <row r="89" spans="1:6" x14ac:dyDescent="0.35">
      <c r="A89">
        <v>7</v>
      </c>
      <c r="B89">
        <v>10</v>
      </c>
      <c r="C89" t="s">
        <v>218</v>
      </c>
      <c r="D89" s="4">
        <v>6000000</v>
      </c>
      <c r="E89" s="4">
        <v>6500000</v>
      </c>
      <c r="F89" s="4">
        <v>7000000</v>
      </c>
    </row>
    <row r="90" spans="1:6" x14ac:dyDescent="0.35">
      <c r="A90">
        <v>7</v>
      </c>
      <c r="B90">
        <v>11</v>
      </c>
      <c r="C90" t="s">
        <v>219</v>
      </c>
      <c r="D90" s="4">
        <v>2400000</v>
      </c>
      <c r="E90" s="4">
        <v>2700000</v>
      </c>
      <c r="F90" s="4">
        <v>3100000</v>
      </c>
    </row>
    <row r="91" spans="1:6" x14ac:dyDescent="0.35">
      <c r="A91">
        <v>7</v>
      </c>
      <c r="B91">
        <v>12</v>
      </c>
      <c r="C91" t="s">
        <v>220</v>
      </c>
      <c r="D91" s="4">
        <v>900000000</v>
      </c>
      <c r="E91" s="4">
        <v>1200000000</v>
      </c>
      <c r="F91" s="4">
        <v>1500000000</v>
      </c>
    </row>
    <row r="92" spans="1:6" x14ac:dyDescent="0.35">
      <c r="A92">
        <v>7</v>
      </c>
      <c r="B92">
        <v>13</v>
      </c>
      <c r="C92" t="s">
        <v>221</v>
      </c>
      <c r="D92" s="4">
        <v>110000000</v>
      </c>
      <c r="E92" s="4">
        <v>150000000</v>
      </c>
      <c r="F92" s="4">
        <v>180000000</v>
      </c>
    </row>
    <row r="93" spans="1:6" x14ac:dyDescent="0.35">
      <c r="A93">
        <v>8</v>
      </c>
      <c r="B93">
        <v>1</v>
      </c>
      <c r="C93" t="s">
        <v>209</v>
      </c>
      <c r="D93" s="4">
        <v>1750000</v>
      </c>
      <c r="E93" s="4">
        <v>2000000</v>
      </c>
      <c r="F93" s="4">
        <v>2500000</v>
      </c>
    </row>
    <row r="94" spans="1:6" x14ac:dyDescent="0.35">
      <c r="A94">
        <v>8</v>
      </c>
      <c r="B94">
        <v>2</v>
      </c>
      <c r="C94" t="s">
        <v>210</v>
      </c>
      <c r="D94" s="4">
        <v>6000000</v>
      </c>
      <c r="E94" s="4">
        <v>7000000</v>
      </c>
      <c r="F94" s="4">
        <v>8000000</v>
      </c>
    </row>
    <row r="95" spans="1:6" x14ac:dyDescent="0.35">
      <c r="A95">
        <v>8</v>
      </c>
      <c r="B95">
        <v>3</v>
      </c>
      <c r="C95" t="s">
        <v>211</v>
      </c>
      <c r="D95" s="4">
        <v>3000000</v>
      </c>
      <c r="E95" s="4">
        <v>4000000</v>
      </c>
      <c r="F95" s="4">
        <v>4100000</v>
      </c>
    </row>
    <row r="96" spans="1:6" x14ac:dyDescent="0.35">
      <c r="A96">
        <v>8</v>
      </c>
      <c r="B96">
        <v>4</v>
      </c>
      <c r="C96" t="s">
        <v>212</v>
      </c>
      <c r="D96" s="4">
        <v>4000000</v>
      </c>
      <c r="E96" s="4">
        <v>4500000</v>
      </c>
      <c r="F96" s="4">
        <v>5200000</v>
      </c>
    </row>
    <row r="97" spans="1:6" x14ac:dyDescent="0.35">
      <c r="A97">
        <v>8</v>
      </c>
      <c r="B97">
        <v>5</v>
      </c>
      <c r="C97" t="s">
        <v>213</v>
      </c>
      <c r="D97" s="4">
        <v>5000</v>
      </c>
      <c r="E97" s="4">
        <v>10000</v>
      </c>
      <c r="F97" s="4">
        <v>15000</v>
      </c>
    </row>
    <row r="98" spans="1:6" x14ac:dyDescent="0.35">
      <c r="A98">
        <v>8</v>
      </c>
      <c r="B98">
        <v>6</v>
      </c>
      <c r="C98" t="s">
        <v>214</v>
      </c>
      <c r="D98" s="4">
        <v>28000000</v>
      </c>
      <c r="E98" s="4">
        <v>30000000</v>
      </c>
      <c r="F98" s="4">
        <v>32000000</v>
      </c>
    </row>
    <row r="99" spans="1:6" x14ac:dyDescent="0.35">
      <c r="A99">
        <v>8</v>
      </c>
      <c r="B99">
        <v>7</v>
      </c>
      <c r="C99" t="s">
        <v>215</v>
      </c>
      <c r="D99" s="4">
        <v>550000</v>
      </c>
      <c r="E99" s="4">
        <v>600000</v>
      </c>
      <c r="F99" s="4">
        <v>650000</v>
      </c>
    </row>
    <row r="100" spans="1:6" x14ac:dyDescent="0.35">
      <c r="A100">
        <v>8</v>
      </c>
      <c r="B100">
        <v>8</v>
      </c>
      <c r="C100" t="s">
        <v>216</v>
      </c>
      <c r="D100" s="4">
        <v>2500000</v>
      </c>
      <c r="E100" s="4">
        <v>3000000</v>
      </c>
      <c r="F100" s="4">
        <v>3500000</v>
      </c>
    </row>
    <row r="101" spans="1:6" x14ac:dyDescent="0.35">
      <c r="A101">
        <v>8</v>
      </c>
      <c r="B101">
        <v>9</v>
      </c>
      <c r="C101" t="s">
        <v>217</v>
      </c>
      <c r="D101" s="4">
        <v>200000</v>
      </c>
      <c r="E101" s="4">
        <v>500000</v>
      </c>
      <c r="F101" s="4">
        <v>800000</v>
      </c>
    </row>
    <row r="102" spans="1:6" x14ac:dyDescent="0.35">
      <c r="A102">
        <v>8</v>
      </c>
      <c r="B102">
        <v>10</v>
      </c>
      <c r="C102" t="s">
        <v>218</v>
      </c>
      <c r="D102" s="4">
        <v>6500000</v>
      </c>
      <c r="E102" s="4">
        <v>7000000</v>
      </c>
      <c r="F102" s="4">
        <v>7500000</v>
      </c>
    </row>
    <row r="103" spans="1:6" x14ac:dyDescent="0.35">
      <c r="A103">
        <v>8</v>
      </c>
      <c r="B103">
        <v>11</v>
      </c>
      <c r="C103" t="s">
        <v>219</v>
      </c>
      <c r="D103" s="4">
        <v>3000000</v>
      </c>
      <c r="E103" s="4">
        <v>3500000</v>
      </c>
      <c r="F103" s="4">
        <v>4000000</v>
      </c>
    </row>
    <row r="104" spans="1:6" x14ac:dyDescent="0.35">
      <c r="A104">
        <v>8</v>
      </c>
      <c r="B104">
        <v>12</v>
      </c>
      <c r="C104" t="s">
        <v>220</v>
      </c>
      <c r="D104" s="4">
        <v>1000000000</v>
      </c>
      <c r="E104" s="4">
        <v>1200000000</v>
      </c>
      <c r="F104" s="4">
        <v>1400000000</v>
      </c>
    </row>
    <row r="105" spans="1:6" x14ac:dyDescent="0.35">
      <c r="A105">
        <v>8</v>
      </c>
      <c r="B105">
        <v>13</v>
      </c>
      <c r="C105" t="s">
        <v>221</v>
      </c>
      <c r="D105" s="4">
        <v>130000000</v>
      </c>
      <c r="E105" s="4">
        <v>135000000</v>
      </c>
      <c r="F105" s="4">
        <v>140000000</v>
      </c>
    </row>
    <row r="106" spans="1:6" x14ac:dyDescent="0.35">
      <c r="A106">
        <v>9</v>
      </c>
      <c r="B106">
        <v>1</v>
      </c>
      <c r="C106" t="s">
        <v>209</v>
      </c>
      <c r="D106" s="4">
        <v>2000000</v>
      </c>
      <c r="E106" s="4">
        <v>2200000</v>
      </c>
      <c r="F106" s="4">
        <v>2400000</v>
      </c>
    </row>
    <row r="107" spans="1:6" x14ac:dyDescent="0.35">
      <c r="A107">
        <v>9</v>
      </c>
      <c r="B107">
        <v>2</v>
      </c>
      <c r="C107" t="s">
        <v>210</v>
      </c>
      <c r="D107" s="4">
        <v>7400000</v>
      </c>
      <c r="E107" s="4">
        <v>7600000</v>
      </c>
      <c r="F107" s="4">
        <v>7700000</v>
      </c>
    </row>
    <row r="108" spans="1:6" x14ac:dyDescent="0.35">
      <c r="A108">
        <v>9</v>
      </c>
      <c r="B108">
        <v>3</v>
      </c>
      <c r="C108" t="s">
        <v>211</v>
      </c>
      <c r="D108" s="4">
        <v>3900000</v>
      </c>
      <c r="E108" s="4">
        <v>4000000</v>
      </c>
      <c r="F108" s="4">
        <v>4200000</v>
      </c>
    </row>
    <row r="109" spans="1:6" x14ac:dyDescent="0.35">
      <c r="A109">
        <v>9</v>
      </c>
      <c r="B109">
        <v>4</v>
      </c>
      <c r="C109" t="s">
        <v>212</v>
      </c>
      <c r="D109" s="4">
        <v>4800000</v>
      </c>
      <c r="E109" s="4">
        <v>4950000</v>
      </c>
      <c r="F109" s="4">
        <v>5000000</v>
      </c>
    </row>
    <row r="110" spans="1:6" x14ac:dyDescent="0.35">
      <c r="A110">
        <v>9</v>
      </c>
      <c r="B110">
        <v>5</v>
      </c>
      <c r="C110" t="s">
        <v>213</v>
      </c>
      <c r="D110" s="4">
        <v>5000</v>
      </c>
      <c r="E110" s="4">
        <v>7000</v>
      </c>
      <c r="F110" s="4">
        <v>8000</v>
      </c>
    </row>
    <row r="111" spans="1:6" x14ac:dyDescent="0.35">
      <c r="A111">
        <v>9</v>
      </c>
      <c r="B111">
        <v>6</v>
      </c>
      <c r="C111" t="s">
        <v>214</v>
      </c>
      <c r="D111" s="4">
        <v>25500000</v>
      </c>
      <c r="E111" s="4">
        <v>27000000</v>
      </c>
      <c r="F111" s="4">
        <v>28500000</v>
      </c>
    </row>
    <row r="112" spans="1:6" x14ac:dyDescent="0.35">
      <c r="A112">
        <v>9</v>
      </c>
      <c r="B112">
        <v>7</v>
      </c>
      <c r="C112" t="s">
        <v>215</v>
      </c>
      <c r="D112" s="4">
        <v>590000</v>
      </c>
      <c r="E112" s="4">
        <v>600000</v>
      </c>
      <c r="F112" s="4">
        <v>605000</v>
      </c>
    </row>
    <row r="113" spans="1:6" x14ac:dyDescent="0.35">
      <c r="A113">
        <v>9</v>
      </c>
      <c r="B113">
        <v>8</v>
      </c>
      <c r="C113" t="s">
        <v>216</v>
      </c>
      <c r="D113" s="4">
        <v>4815000</v>
      </c>
      <c r="E113" s="4">
        <v>4830000</v>
      </c>
      <c r="F113" s="4">
        <v>4845000</v>
      </c>
    </row>
    <row r="114" spans="1:6" x14ac:dyDescent="0.35">
      <c r="A114">
        <v>9</v>
      </c>
      <c r="B114">
        <v>9</v>
      </c>
      <c r="C114" t="s">
        <v>217</v>
      </c>
      <c r="D114" s="4">
        <v>1125000</v>
      </c>
      <c r="E114" s="4">
        <v>1170000</v>
      </c>
      <c r="F114" s="4">
        <v>1175000</v>
      </c>
    </row>
    <row r="115" spans="1:6" x14ac:dyDescent="0.35">
      <c r="A115">
        <v>9</v>
      </c>
      <c r="B115">
        <v>10</v>
      </c>
      <c r="C115" t="s">
        <v>218</v>
      </c>
      <c r="D115" s="4">
        <v>7700000</v>
      </c>
      <c r="E115" s="4">
        <v>7745000</v>
      </c>
      <c r="F115" s="4">
        <v>7755000</v>
      </c>
    </row>
    <row r="116" spans="1:6" x14ac:dyDescent="0.35">
      <c r="A116">
        <v>9</v>
      </c>
      <c r="B116">
        <v>11</v>
      </c>
      <c r="C116" t="s">
        <v>219</v>
      </c>
      <c r="D116" s="4">
        <v>3520000</v>
      </c>
      <c r="E116" s="4">
        <v>3555000</v>
      </c>
      <c r="F116" s="4">
        <v>3570000</v>
      </c>
    </row>
    <row r="117" spans="1:6" x14ac:dyDescent="0.35">
      <c r="A117">
        <v>9</v>
      </c>
      <c r="B117">
        <v>12</v>
      </c>
      <c r="C117" t="s">
        <v>220</v>
      </c>
      <c r="D117" s="4">
        <v>1150000000</v>
      </c>
      <c r="E117" s="4">
        <v>1250000000</v>
      </c>
      <c r="F117" s="4">
        <v>1350000000</v>
      </c>
    </row>
    <row r="118" spans="1:6" x14ac:dyDescent="0.35">
      <c r="A118">
        <v>9</v>
      </c>
      <c r="B118">
        <v>13</v>
      </c>
      <c r="C118" t="s">
        <v>221</v>
      </c>
      <c r="D118" s="4">
        <v>120000000</v>
      </c>
      <c r="E118" s="4">
        <v>130000000</v>
      </c>
      <c r="F118" s="4">
        <v>135000000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50"/>
  <dimension ref="A1:H61"/>
  <sheetViews>
    <sheetView workbookViewId="0"/>
  </sheetViews>
  <sheetFormatPr defaultRowHeight="14.5" x14ac:dyDescent="0.35"/>
  <sheetData>
    <row r="1" spans="1:8" x14ac:dyDescent="0.35">
      <c r="A1" t="s">
        <v>227</v>
      </c>
      <c r="H1" t="s">
        <v>58</v>
      </c>
    </row>
    <row r="2" spans="1:8" x14ac:dyDescent="0.35">
      <c r="A2">
        <v>1</v>
      </c>
      <c r="B2">
        <v>1</v>
      </c>
      <c r="C2" t="s">
        <v>77</v>
      </c>
      <c r="D2" s="4">
        <v>25</v>
      </c>
      <c r="E2" s="4">
        <v>150</v>
      </c>
      <c r="F2" s="4">
        <v>300</v>
      </c>
      <c r="H2" s="4">
        <v>171</v>
      </c>
    </row>
    <row r="3" spans="1:8" x14ac:dyDescent="0.35">
      <c r="A3">
        <v>1</v>
      </c>
      <c r="B3">
        <v>2</v>
      </c>
      <c r="C3" t="s">
        <v>78</v>
      </c>
      <c r="D3" s="4">
        <v>70</v>
      </c>
      <c r="E3" s="4">
        <v>150</v>
      </c>
      <c r="F3" s="4">
        <v>300</v>
      </c>
      <c r="H3" s="4">
        <v>267</v>
      </c>
    </row>
    <row r="4" spans="1:8" x14ac:dyDescent="0.35">
      <c r="A4">
        <v>1</v>
      </c>
      <c r="B4">
        <v>3</v>
      </c>
      <c r="C4" t="s">
        <v>79</v>
      </c>
      <c r="D4" s="4">
        <v>1000000</v>
      </c>
      <c r="E4" s="4">
        <v>1800000</v>
      </c>
      <c r="F4" s="4">
        <v>4000000</v>
      </c>
      <c r="H4" s="4">
        <v>8796000</v>
      </c>
    </row>
    <row r="5" spans="1:8" x14ac:dyDescent="0.35">
      <c r="A5">
        <v>1</v>
      </c>
      <c r="B5">
        <v>4</v>
      </c>
      <c r="C5" t="s">
        <v>80</v>
      </c>
      <c r="D5" s="4">
        <v>2</v>
      </c>
      <c r="E5" s="4">
        <v>10</v>
      </c>
      <c r="F5" s="4">
        <v>20</v>
      </c>
      <c r="H5" s="4">
        <v>6.51</v>
      </c>
    </row>
    <row r="6" spans="1:8" x14ac:dyDescent="0.35">
      <c r="A6">
        <v>1</v>
      </c>
      <c r="B6">
        <v>5</v>
      </c>
      <c r="C6" t="s">
        <v>81</v>
      </c>
      <c r="D6" s="4">
        <v>5.0000000000000001E-3</v>
      </c>
      <c r="E6" s="4">
        <v>0.03</v>
      </c>
      <c r="F6" s="4">
        <v>1</v>
      </c>
      <c r="H6" s="4">
        <v>0.17499999999999999</v>
      </c>
    </row>
    <row r="7" spans="1:8" x14ac:dyDescent="0.35">
      <c r="A7">
        <v>1</v>
      </c>
      <c r="B7">
        <v>6</v>
      </c>
      <c r="C7" t="s">
        <v>82</v>
      </c>
      <c r="D7" s="4">
        <v>1500</v>
      </c>
      <c r="E7" s="4">
        <v>2200</v>
      </c>
      <c r="F7" s="4">
        <v>3500</v>
      </c>
      <c r="H7" s="4">
        <v>601</v>
      </c>
    </row>
    <row r="8" spans="1:8" x14ac:dyDescent="0.35">
      <c r="A8">
        <v>1</v>
      </c>
      <c r="B8">
        <v>7</v>
      </c>
      <c r="C8" t="s">
        <v>83</v>
      </c>
      <c r="D8" s="4">
        <v>35</v>
      </c>
      <c r="E8" s="4">
        <v>75</v>
      </c>
      <c r="F8" s="4">
        <v>150</v>
      </c>
      <c r="H8" s="4">
        <v>569</v>
      </c>
    </row>
    <row r="9" spans="1:8" x14ac:dyDescent="0.35">
      <c r="A9">
        <v>1</v>
      </c>
      <c r="B9">
        <v>8</v>
      </c>
      <c r="C9" t="s">
        <v>224</v>
      </c>
      <c r="D9" s="4">
        <v>55</v>
      </c>
      <c r="E9" s="4">
        <v>70</v>
      </c>
      <c r="F9" s="4">
        <v>85</v>
      </c>
      <c r="H9" s="4">
        <v>62</v>
      </c>
    </row>
    <row r="10" spans="1:8" x14ac:dyDescent="0.35">
      <c r="A10">
        <v>1</v>
      </c>
      <c r="B10">
        <v>9</v>
      </c>
      <c r="C10" t="s">
        <v>225</v>
      </c>
      <c r="D10" s="4">
        <v>5</v>
      </c>
      <c r="E10" s="4">
        <v>10</v>
      </c>
      <c r="F10" s="4">
        <v>20</v>
      </c>
      <c r="H10" s="4">
        <v>20</v>
      </c>
    </row>
    <row r="11" spans="1:8" x14ac:dyDescent="0.35">
      <c r="A11">
        <v>1</v>
      </c>
      <c r="B11">
        <v>10</v>
      </c>
      <c r="C11" t="s">
        <v>226</v>
      </c>
      <c r="D11" s="4">
        <v>70</v>
      </c>
      <c r="E11" s="4">
        <v>85</v>
      </c>
      <c r="F11" s="4">
        <v>92</v>
      </c>
      <c r="H11" s="4">
        <v>70</v>
      </c>
    </row>
    <row r="12" spans="1:8" x14ac:dyDescent="0.35">
      <c r="A12">
        <v>2</v>
      </c>
      <c r="B12">
        <v>1</v>
      </c>
      <c r="C12" t="s">
        <v>77</v>
      </c>
      <c r="D12" s="4">
        <v>150</v>
      </c>
      <c r="E12" s="4">
        <v>200</v>
      </c>
      <c r="F12" s="4">
        <v>280</v>
      </c>
    </row>
    <row r="13" spans="1:8" x14ac:dyDescent="0.35">
      <c r="A13">
        <v>2</v>
      </c>
      <c r="B13">
        <v>2</v>
      </c>
      <c r="C13" t="s">
        <v>78</v>
      </c>
      <c r="D13" s="4">
        <v>200</v>
      </c>
      <c r="E13" s="4">
        <v>300</v>
      </c>
      <c r="F13" s="4">
        <v>500</v>
      </c>
    </row>
    <row r="14" spans="1:8" x14ac:dyDescent="0.35">
      <c r="A14">
        <v>2</v>
      </c>
      <c r="B14">
        <v>3</v>
      </c>
      <c r="C14" t="s">
        <v>79</v>
      </c>
      <c r="D14" s="4">
        <v>1500000</v>
      </c>
      <c r="E14" s="4">
        <v>5000000</v>
      </c>
      <c r="F14" s="4">
        <v>10000000</v>
      </c>
    </row>
    <row r="15" spans="1:8" x14ac:dyDescent="0.35">
      <c r="A15">
        <v>2</v>
      </c>
      <c r="B15">
        <v>4</v>
      </c>
      <c r="C15" t="s">
        <v>80</v>
      </c>
      <c r="D15" s="4">
        <v>5</v>
      </c>
      <c r="E15" s="4">
        <v>10</v>
      </c>
      <c r="F15" s="4">
        <v>15</v>
      </c>
    </row>
    <row r="16" spans="1:8" x14ac:dyDescent="0.35">
      <c r="A16">
        <v>2</v>
      </c>
      <c r="B16">
        <v>5</v>
      </c>
      <c r="C16" t="s">
        <v>81</v>
      </c>
      <c r="D16" s="4">
        <v>1</v>
      </c>
      <c r="E16" s="4">
        <v>3</v>
      </c>
      <c r="F16" s="4">
        <v>5</v>
      </c>
    </row>
    <row r="17" spans="1:6" x14ac:dyDescent="0.35">
      <c r="A17">
        <v>2</v>
      </c>
      <c r="B17">
        <v>6</v>
      </c>
      <c r="C17" t="s">
        <v>82</v>
      </c>
      <c r="D17" s="4">
        <v>400</v>
      </c>
      <c r="E17" s="4">
        <v>550</v>
      </c>
      <c r="F17" s="4">
        <v>1000</v>
      </c>
    </row>
    <row r="18" spans="1:6" x14ac:dyDescent="0.35">
      <c r="A18">
        <v>2</v>
      </c>
      <c r="B18">
        <v>7</v>
      </c>
      <c r="C18" t="s">
        <v>83</v>
      </c>
      <c r="D18" s="4">
        <v>100</v>
      </c>
      <c r="E18" s="4">
        <v>175</v>
      </c>
      <c r="F18" s="4">
        <v>225</v>
      </c>
    </row>
    <row r="19" spans="1:6" x14ac:dyDescent="0.35">
      <c r="A19">
        <v>2</v>
      </c>
      <c r="B19">
        <v>8</v>
      </c>
      <c r="C19" t="s">
        <v>224</v>
      </c>
      <c r="D19" s="4">
        <v>60</v>
      </c>
      <c r="E19" s="4">
        <v>85</v>
      </c>
      <c r="F19" s="4">
        <v>95</v>
      </c>
    </row>
    <row r="20" spans="1:6" x14ac:dyDescent="0.35">
      <c r="A20">
        <v>2</v>
      </c>
      <c r="B20">
        <v>9</v>
      </c>
      <c r="C20" t="s">
        <v>225</v>
      </c>
      <c r="D20" s="4">
        <v>10</v>
      </c>
      <c r="E20" s="4">
        <v>15</v>
      </c>
      <c r="F20" s="4">
        <v>20</v>
      </c>
    </row>
    <row r="21" spans="1:6" x14ac:dyDescent="0.35">
      <c r="A21">
        <v>2</v>
      </c>
      <c r="B21">
        <v>10</v>
      </c>
      <c r="C21" t="s">
        <v>226</v>
      </c>
      <c r="D21" s="4">
        <v>65</v>
      </c>
      <c r="E21" s="4">
        <v>80</v>
      </c>
      <c r="F21" s="4">
        <v>95</v>
      </c>
    </row>
    <row r="22" spans="1:6" x14ac:dyDescent="0.35">
      <c r="A22">
        <v>3</v>
      </c>
      <c r="B22">
        <v>1</v>
      </c>
      <c r="C22" t="s">
        <v>77</v>
      </c>
      <c r="D22" s="4">
        <v>25</v>
      </c>
      <c r="E22" s="4">
        <v>95</v>
      </c>
      <c r="F22" s="4">
        <v>200</v>
      </c>
    </row>
    <row r="23" spans="1:6" x14ac:dyDescent="0.35">
      <c r="A23">
        <v>3</v>
      </c>
      <c r="B23">
        <v>2</v>
      </c>
      <c r="C23" t="s">
        <v>78</v>
      </c>
      <c r="D23" s="4">
        <v>50</v>
      </c>
      <c r="E23" s="4">
        <v>110</v>
      </c>
      <c r="F23" s="4">
        <v>210</v>
      </c>
    </row>
    <row r="24" spans="1:6" x14ac:dyDescent="0.35">
      <c r="A24">
        <v>3</v>
      </c>
      <c r="B24">
        <v>3</v>
      </c>
      <c r="C24" t="s">
        <v>79</v>
      </c>
      <c r="D24" s="4">
        <v>7000000</v>
      </c>
      <c r="E24" s="4">
        <v>10000000</v>
      </c>
      <c r="F24" s="4">
        <v>20000000</v>
      </c>
    </row>
    <row r="25" spans="1:6" x14ac:dyDescent="0.35">
      <c r="A25">
        <v>3</v>
      </c>
      <c r="B25">
        <v>4</v>
      </c>
      <c r="C25" t="s">
        <v>80</v>
      </c>
      <c r="D25" s="4">
        <v>0.5</v>
      </c>
      <c r="E25" s="4">
        <v>1.2</v>
      </c>
      <c r="F25" s="4">
        <v>2.5</v>
      </c>
    </row>
    <row r="26" spans="1:6" x14ac:dyDescent="0.35">
      <c r="A26">
        <v>3</v>
      </c>
      <c r="B26">
        <v>5</v>
      </c>
      <c r="C26" t="s">
        <v>81</v>
      </c>
      <c r="D26" s="4">
        <v>5.0000000000000001E-3</v>
      </c>
      <c r="E26" s="4">
        <v>0.01</v>
      </c>
      <c r="F26" s="4">
        <v>0.1</v>
      </c>
    </row>
    <row r="27" spans="1:6" x14ac:dyDescent="0.35">
      <c r="A27">
        <v>3</v>
      </c>
      <c r="B27">
        <v>6</v>
      </c>
      <c r="C27" t="s">
        <v>82</v>
      </c>
      <c r="D27" s="4">
        <v>275</v>
      </c>
      <c r="E27" s="4">
        <v>750</v>
      </c>
      <c r="F27" s="4">
        <v>1500</v>
      </c>
    </row>
    <row r="28" spans="1:6" x14ac:dyDescent="0.35">
      <c r="A28">
        <v>3</v>
      </c>
      <c r="B28">
        <v>7</v>
      </c>
      <c r="C28" t="s">
        <v>83</v>
      </c>
      <c r="D28" s="4">
        <v>700</v>
      </c>
      <c r="E28" s="4">
        <v>1900</v>
      </c>
      <c r="F28" s="4">
        <v>2750</v>
      </c>
    </row>
    <row r="29" spans="1:6" x14ac:dyDescent="0.35">
      <c r="A29">
        <v>3</v>
      </c>
      <c r="B29">
        <v>8</v>
      </c>
      <c r="C29" t="s">
        <v>224</v>
      </c>
      <c r="D29" s="4">
        <v>58</v>
      </c>
      <c r="E29" s="4">
        <v>65</v>
      </c>
      <c r="F29" s="4">
        <v>70</v>
      </c>
    </row>
    <row r="30" spans="1:6" x14ac:dyDescent="0.35">
      <c r="A30">
        <v>3</v>
      </c>
      <c r="B30">
        <v>9</v>
      </c>
      <c r="C30" t="s">
        <v>225</v>
      </c>
      <c r="D30" s="4">
        <v>12</v>
      </c>
      <c r="E30" s="4">
        <v>18</v>
      </c>
      <c r="F30" s="4">
        <v>23</v>
      </c>
    </row>
    <row r="31" spans="1:6" x14ac:dyDescent="0.35">
      <c r="A31">
        <v>3</v>
      </c>
      <c r="B31">
        <v>10</v>
      </c>
      <c r="C31" t="s">
        <v>226</v>
      </c>
      <c r="D31" s="4">
        <v>65</v>
      </c>
      <c r="E31" s="4">
        <v>78</v>
      </c>
      <c r="F31" s="4">
        <v>92</v>
      </c>
    </row>
    <row r="32" spans="1:6" x14ac:dyDescent="0.35">
      <c r="A32">
        <v>4</v>
      </c>
      <c r="B32">
        <v>1</v>
      </c>
      <c r="C32" t="s">
        <v>77</v>
      </c>
      <c r="D32" s="4">
        <v>105</v>
      </c>
      <c r="E32" s="4">
        <v>160</v>
      </c>
      <c r="F32" s="4">
        <v>210</v>
      </c>
    </row>
    <row r="33" spans="1:6" x14ac:dyDescent="0.35">
      <c r="A33">
        <v>4</v>
      </c>
      <c r="B33">
        <v>2</v>
      </c>
      <c r="C33" t="s">
        <v>78</v>
      </c>
      <c r="D33" s="4">
        <v>115</v>
      </c>
      <c r="E33" s="4">
        <v>170</v>
      </c>
      <c r="F33" s="4">
        <v>220</v>
      </c>
    </row>
    <row r="34" spans="1:6" x14ac:dyDescent="0.35">
      <c r="A34">
        <v>4</v>
      </c>
      <c r="B34">
        <v>3</v>
      </c>
      <c r="C34" t="s">
        <v>79</v>
      </c>
      <c r="D34" s="4">
        <v>3500000</v>
      </c>
      <c r="E34" s="4">
        <v>4400000</v>
      </c>
      <c r="F34" s="4">
        <v>5000000</v>
      </c>
    </row>
    <row r="35" spans="1:6" x14ac:dyDescent="0.35">
      <c r="A35">
        <v>4</v>
      </c>
      <c r="B35">
        <v>4</v>
      </c>
      <c r="C35" t="s">
        <v>80</v>
      </c>
      <c r="D35" s="4">
        <v>1</v>
      </c>
      <c r="E35" s="4">
        <v>2.1</v>
      </c>
      <c r="F35" s="4">
        <v>4</v>
      </c>
    </row>
    <row r="36" spans="1:6" x14ac:dyDescent="0.35">
      <c r="A36">
        <v>4</v>
      </c>
      <c r="B36">
        <v>5</v>
      </c>
      <c r="C36" t="s">
        <v>81</v>
      </c>
      <c r="D36" s="4">
        <v>0.04</v>
      </c>
      <c r="E36" s="4">
        <v>0.4</v>
      </c>
      <c r="F36" s="4">
        <v>0.9</v>
      </c>
    </row>
    <row r="37" spans="1:6" x14ac:dyDescent="0.35">
      <c r="A37">
        <v>4</v>
      </c>
      <c r="B37">
        <v>6</v>
      </c>
      <c r="C37" t="s">
        <v>82</v>
      </c>
      <c r="D37" s="4">
        <v>700</v>
      </c>
      <c r="E37" s="4">
        <v>1000</v>
      </c>
      <c r="F37" s="4">
        <v>1400</v>
      </c>
    </row>
    <row r="38" spans="1:6" x14ac:dyDescent="0.35">
      <c r="A38">
        <v>4</v>
      </c>
      <c r="B38">
        <v>7</v>
      </c>
      <c r="C38" t="s">
        <v>83</v>
      </c>
      <c r="D38" s="4">
        <v>500</v>
      </c>
      <c r="E38" s="4">
        <v>700</v>
      </c>
      <c r="F38" s="4">
        <v>1500</v>
      </c>
    </row>
    <row r="39" spans="1:6" x14ac:dyDescent="0.35">
      <c r="A39">
        <v>4</v>
      </c>
      <c r="B39">
        <v>8</v>
      </c>
      <c r="C39" t="s">
        <v>224</v>
      </c>
      <c r="D39" s="4">
        <v>55</v>
      </c>
      <c r="E39" s="4">
        <v>70</v>
      </c>
      <c r="F39" s="4">
        <v>85</v>
      </c>
    </row>
    <row r="40" spans="1:6" x14ac:dyDescent="0.35">
      <c r="A40">
        <v>4</v>
      </c>
      <c r="B40">
        <v>9</v>
      </c>
      <c r="C40" t="s">
        <v>225</v>
      </c>
      <c r="D40" s="4">
        <v>5</v>
      </c>
      <c r="E40" s="4">
        <v>10</v>
      </c>
      <c r="F40" s="4">
        <v>17</v>
      </c>
    </row>
    <row r="41" spans="1:6" x14ac:dyDescent="0.35">
      <c r="A41">
        <v>4</v>
      </c>
      <c r="B41">
        <v>10</v>
      </c>
      <c r="C41" t="s">
        <v>226</v>
      </c>
      <c r="D41" s="4">
        <v>70</v>
      </c>
      <c r="E41" s="4">
        <v>80</v>
      </c>
      <c r="F41" s="4">
        <v>95</v>
      </c>
    </row>
    <row r="42" spans="1:6" x14ac:dyDescent="0.35">
      <c r="A42">
        <v>5</v>
      </c>
      <c r="B42">
        <v>1</v>
      </c>
      <c r="C42" t="s">
        <v>77</v>
      </c>
      <c r="D42" s="4">
        <v>100</v>
      </c>
      <c r="E42" s="4">
        <v>300</v>
      </c>
      <c r="F42" s="4">
        <v>500</v>
      </c>
    </row>
    <row r="43" spans="1:6" x14ac:dyDescent="0.35">
      <c r="A43">
        <v>5</v>
      </c>
      <c r="B43">
        <v>2</v>
      </c>
      <c r="C43" t="s">
        <v>78</v>
      </c>
      <c r="D43" s="4">
        <v>0.1</v>
      </c>
      <c r="E43" s="4">
        <v>2</v>
      </c>
      <c r="F43" s="4">
        <v>10</v>
      </c>
    </row>
    <row r="44" spans="1:6" x14ac:dyDescent="0.35">
      <c r="A44">
        <v>5</v>
      </c>
      <c r="B44">
        <v>3</v>
      </c>
      <c r="C44" t="s">
        <v>79</v>
      </c>
      <c r="D44" s="4">
        <v>20000000</v>
      </c>
      <c r="E44" s="4">
        <v>23000000</v>
      </c>
      <c r="F44" s="4">
        <v>26000000</v>
      </c>
    </row>
    <row r="45" spans="1:6" x14ac:dyDescent="0.35">
      <c r="A45">
        <v>5</v>
      </c>
      <c r="B45">
        <v>4</v>
      </c>
      <c r="C45" t="s">
        <v>80</v>
      </c>
      <c r="D45" s="4">
        <v>3</v>
      </c>
      <c r="E45" s="4">
        <v>5.5</v>
      </c>
      <c r="F45" s="4">
        <v>7</v>
      </c>
    </row>
    <row r="46" spans="1:6" x14ac:dyDescent="0.35">
      <c r="A46">
        <v>5</v>
      </c>
      <c r="B46">
        <v>5</v>
      </c>
      <c r="C46" t="s">
        <v>81</v>
      </c>
      <c r="D46" s="4">
        <v>1E-4</v>
      </c>
      <c r="E46" s="4">
        <v>5.0000000000000001E-3</v>
      </c>
      <c r="F46" s="4">
        <v>7.0000000000000007E-2</v>
      </c>
    </row>
    <row r="47" spans="1:6" x14ac:dyDescent="0.35">
      <c r="A47">
        <v>5</v>
      </c>
      <c r="B47">
        <v>6</v>
      </c>
      <c r="C47" t="s">
        <v>82</v>
      </c>
      <c r="D47" s="4">
        <v>100</v>
      </c>
      <c r="E47" s="4">
        <v>250</v>
      </c>
      <c r="F47" s="4">
        <v>500</v>
      </c>
    </row>
    <row r="48" spans="1:6" x14ac:dyDescent="0.35">
      <c r="A48">
        <v>5</v>
      </c>
      <c r="B48">
        <v>7</v>
      </c>
      <c r="C48" t="s">
        <v>83</v>
      </c>
      <c r="D48" s="4">
        <v>450</v>
      </c>
      <c r="E48" s="4">
        <v>500</v>
      </c>
      <c r="F48" s="4">
        <v>550</v>
      </c>
    </row>
    <row r="49" spans="1:6" x14ac:dyDescent="0.35">
      <c r="A49">
        <v>5</v>
      </c>
      <c r="B49">
        <v>8</v>
      </c>
      <c r="C49" t="s">
        <v>224</v>
      </c>
      <c r="D49" s="4">
        <v>58</v>
      </c>
      <c r="E49" s="4">
        <v>60</v>
      </c>
      <c r="F49" s="4">
        <v>67</v>
      </c>
    </row>
    <row r="50" spans="1:6" x14ac:dyDescent="0.35">
      <c r="A50">
        <v>5</v>
      </c>
      <c r="B50">
        <v>9</v>
      </c>
      <c r="C50" t="s">
        <v>225</v>
      </c>
      <c r="D50" s="4">
        <v>16</v>
      </c>
      <c r="E50" s="4">
        <v>18</v>
      </c>
      <c r="F50" s="4">
        <v>22</v>
      </c>
    </row>
    <row r="51" spans="1:6" x14ac:dyDescent="0.35">
      <c r="A51">
        <v>5</v>
      </c>
      <c r="B51">
        <v>10</v>
      </c>
      <c r="C51" t="s">
        <v>226</v>
      </c>
      <c r="D51" s="4">
        <v>65</v>
      </c>
      <c r="E51" s="4">
        <v>80</v>
      </c>
      <c r="F51" s="4">
        <v>95</v>
      </c>
    </row>
    <row r="52" spans="1:6" x14ac:dyDescent="0.35">
      <c r="A52">
        <v>6</v>
      </c>
      <c r="B52">
        <v>1</v>
      </c>
      <c r="C52" t="s">
        <v>77</v>
      </c>
      <c r="D52" s="4">
        <v>100</v>
      </c>
      <c r="E52" s="4">
        <v>200</v>
      </c>
      <c r="F52" s="4">
        <v>300</v>
      </c>
    </row>
    <row r="53" spans="1:6" x14ac:dyDescent="0.35">
      <c r="A53">
        <v>6</v>
      </c>
      <c r="B53">
        <v>2</v>
      </c>
      <c r="C53" t="s">
        <v>78</v>
      </c>
      <c r="D53" s="4">
        <v>150</v>
      </c>
      <c r="E53" s="4">
        <v>250</v>
      </c>
      <c r="F53" s="4">
        <v>400</v>
      </c>
    </row>
    <row r="54" spans="1:6" x14ac:dyDescent="0.35">
      <c r="A54">
        <v>6</v>
      </c>
      <c r="B54">
        <v>3</v>
      </c>
      <c r="C54" t="s">
        <v>79</v>
      </c>
      <c r="D54" s="4">
        <v>10000000</v>
      </c>
      <c r="E54" s="4">
        <v>30000000</v>
      </c>
      <c r="F54" s="4">
        <v>50000000</v>
      </c>
    </row>
    <row r="55" spans="1:6" x14ac:dyDescent="0.35">
      <c r="A55">
        <v>6</v>
      </c>
      <c r="B55">
        <v>4</v>
      </c>
      <c r="C55" t="s">
        <v>80</v>
      </c>
      <c r="D55" s="4">
        <v>2</v>
      </c>
      <c r="E55" s="4">
        <v>5</v>
      </c>
      <c r="F55" s="4">
        <v>10</v>
      </c>
    </row>
    <row r="56" spans="1:6" x14ac:dyDescent="0.35">
      <c r="A56">
        <v>6</v>
      </c>
      <c r="B56">
        <v>5</v>
      </c>
      <c r="C56" t="s">
        <v>81</v>
      </c>
      <c r="D56" s="4">
        <v>0.1</v>
      </c>
      <c r="E56" s="4">
        <v>0.5</v>
      </c>
      <c r="F56" s="4">
        <v>1</v>
      </c>
    </row>
    <row r="57" spans="1:6" x14ac:dyDescent="0.35">
      <c r="A57">
        <v>6</v>
      </c>
      <c r="B57">
        <v>6</v>
      </c>
      <c r="C57" t="s">
        <v>82</v>
      </c>
      <c r="D57" s="4">
        <v>50</v>
      </c>
      <c r="E57" s="4">
        <v>90</v>
      </c>
      <c r="F57" s="4">
        <v>500</v>
      </c>
    </row>
    <row r="58" spans="1:6" x14ac:dyDescent="0.35">
      <c r="A58">
        <v>6</v>
      </c>
      <c r="B58">
        <v>7</v>
      </c>
      <c r="C58" t="s">
        <v>83</v>
      </c>
      <c r="D58" s="4">
        <v>30</v>
      </c>
      <c r="E58" s="4">
        <v>50</v>
      </c>
      <c r="F58" s="4">
        <v>100</v>
      </c>
    </row>
    <row r="59" spans="1:6" x14ac:dyDescent="0.35">
      <c r="A59">
        <v>6</v>
      </c>
      <c r="B59">
        <v>8</v>
      </c>
      <c r="C59" t="s">
        <v>224</v>
      </c>
      <c r="D59" s="4">
        <v>25</v>
      </c>
      <c r="E59" s="4">
        <v>35</v>
      </c>
      <c r="F59" s="4">
        <v>40</v>
      </c>
    </row>
    <row r="60" spans="1:6" x14ac:dyDescent="0.35">
      <c r="A60">
        <v>6</v>
      </c>
      <c r="B60">
        <v>9</v>
      </c>
      <c r="C60" t="s">
        <v>225</v>
      </c>
      <c r="D60" s="4">
        <v>15</v>
      </c>
      <c r="E60" s="4">
        <v>20</v>
      </c>
      <c r="F60" s="4">
        <v>30</v>
      </c>
    </row>
    <row r="61" spans="1:6" x14ac:dyDescent="0.35">
      <c r="A61">
        <v>6</v>
      </c>
      <c r="B61">
        <v>10</v>
      </c>
      <c r="C61" t="s">
        <v>226</v>
      </c>
      <c r="D61" s="4">
        <v>50</v>
      </c>
      <c r="E61" s="4">
        <v>75</v>
      </c>
      <c r="F61" s="4">
        <v>90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43"/>
  <dimension ref="A1:H145"/>
  <sheetViews>
    <sheetView workbookViewId="0"/>
  </sheetViews>
  <sheetFormatPr defaultRowHeight="14.5" x14ac:dyDescent="0.35"/>
  <sheetData>
    <row r="1" spans="1:8" x14ac:dyDescent="0.35">
      <c r="A1" t="s">
        <v>128</v>
      </c>
      <c r="H1" t="s">
        <v>58</v>
      </c>
    </row>
    <row r="2" spans="1:8" x14ac:dyDescent="0.35">
      <c r="A2">
        <v>1</v>
      </c>
      <c r="B2">
        <v>1</v>
      </c>
      <c r="C2" t="s">
        <v>120</v>
      </c>
      <c r="D2" s="4">
        <v>15</v>
      </c>
      <c r="E2" s="4">
        <v>16</v>
      </c>
      <c r="F2" s="4">
        <v>18</v>
      </c>
      <c r="H2" s="4">
        <v>20</v>
      </c>
    </row>
    <row r="3" spans="1:8" x14ac:dyDescent="0.35">
      <c r="A3">
        <v>1</v>
      </c>
      <c r="B3">
        <v>2</v>
      </c>
      <c r="C3" t="s">
        <v>121</v>
      </c>
      <c r="D3" s="4">
        <v>1067</v>
      </c>
      <c r="E3" s="4">
        <v>1200</v>
      </c>
      <c r="F3" s="4">
        <v>1333</v>
      </c>
      <c r="H3" s="4">
        <v>1370</v>
      </c>
    </row>
    <row r="4" spans="1:8" x14ac:dyDescent="0.35">
      <c r="A4">
        <v>1</v>
      </c>
      <c r="B4">
        <v>3</v>
      </c>
      <c r="C4" t="s">
        <v>122</v>
      </c>
      <c r="D4" s="4">
        <v>10</v>
      </c>
      <c r="E4" s="4">
        <v>12</v>
      </c>
      <c r="F4" s="4">
        <v>14</v>
      </c>
      <c r="H4" s="4">
        <v>3</v>
      </c>
    </row>
    <row r="5" spans="1:8" x14ac:dyDescent="0.35">
      <c r="A5">
        <v>1</v>
      </c>
      <c r="B5">
        <v>4</v>
      </c>
      <c r="C5" t="s">
        <v>123</v>
      </c>
      <c r="D5" s="4">
        <v>2000</v>
      </c>
      <c r="E5" s="4">
        <v>3000</v>
      </c>
      <c r="F5" s="4">
        <v>4000</v>
      </c>
      <c r="H5" s="4">
        <v>2100</v>
      </c>
    </row>
    <row r="6" spans="1:8" x14ac:dyDescent="0.35">
      <c r="A6">
        <v>1</v>
      </c>
      <c r="B6">
        <v>5</v>
      </c>
      <c r="C6" t="s">
        <v>124</v>
      </c>
      <c r="D6" s="4">
        <v>1.4</v>
      </c>
      <c r="E6" s="4">
        <v>1.6</v>
      </c>
      <c r="F6" s="4">
        <v>1.8</v>
      </c>
      <c r="H6" s="4">
        <v>2.1</v>
      </c>
    </row>
    <row r="7" spans="1:8" x14ac:dyDescent="0.35">
      <c r="A7">
        <v>1</v>
      </c>
      <c r="B7">
        <v>6</v>
      </c>
      <c r="C7" t="s">
        <v>125</v>
      </c>
      <c r="D7" s="4">
        <v>10</v>
      </c>
      <c r="E7" s="4">
        <v>20</v>
      </c>
      <c r="F7" s="4">
        <v>30</v>
      </c>
      <c r="H7" s="4">
        <v>16.100000000000001</v>
      </c>
    </row>
    <row r="8" spans="1:8" x14ac:dyDescent="0.35">
      <c r="A8">
        <v>1</v>
      </c>
      <c r="B8">
        <v>7</v>
      </c>
      <c r="C8" t="s">
        <v>126</v>
      </c>
      <c r="D8" s="4">
        <v>70</v>
      </c>
      <c r="E8" s="4">
        <v>80</v>
      </c>
      <c r="F8" s="4">
        <v>90</v>
      </c>
      <c r="H8" s="4">
        <v>56.4</v>
      </c>
    </row>
    <row r="9" spans="1:8" x14ac:dyDescent="0.35">
      <c r="A9">
        <v>1</v>
      </c>
      <c r="B9">
        <v>8</v>
      </c>
      <c r="C9" t="s">
        <v>127</v>
      </c>
      <c r="D9" s="4">
        <v>1</v>
      </c>
      <c r="E9" s="4">
        <v>3</v>
      </c>
      <c r="F9" s="4">
        <v>5</v>
      </c>
      <c r="H9" s="4">
        <v>2.41</v>
      </c>
    </row>
    <row r="10" spans="1:8" x14ac:dyDescent="0.35">
      <c r="A10">
        <v>2</v>
      </c>
      <c r="B10">
        <v>1</v>
      </c>
      <c r="C10" t="s">
        <v>120</v>
      </c>
      <c r="D10" s="4">
        <v>2</v>
      </c>
      <c r="E10" s="4">
        <v>10</v>
      </c>
      <c r="F10" s="4">
        <v>15</v>
      </c>
    </row>
    <row r="11" spans="1:8" x14ac:dyDescent="0.35">
      <c r="A11">
        <v>2</v>
      </c>
      <c r="B11">
        <v>2</v>
      </c>
      <c r="C11" t="s">
        <v>121</v>
      </c>
      <c r="D11" s="4">
        <v>200</v>
      </c>
      <c r="E11" s="4">
        <v>1000</v>
      </c>
      <c r="F11" s="4">
        <v>1500</v>
      </c>
    </row>
    <row r="12" spans="1:8" x14ac:dyDescent="0.35">
      <c r="A12">
        <v>2</v>
      </c>
      <c r="B12">
        <v>3</v>
      </c>
      <c r="C12" t="s">
        <v>122</v>
      </c>
      <c r="D12" s="4">
        <v>1</v>
      </c>
      <c r="E12" s="4">
        <v>4</v>
      </c>
      <c r="F12" s="4">
        <v>8</v>
      </c>
    </row>
    <row r="13" spans="1:8" x14ac:dyDescent="0.35">
      <c r="A13">
        <v>2</v>
      </c>
      <c r="B13">
        <v>4</v>
      </c>
      <c r="C13" t="s">
        <v>123</v>
      </c>
      <c r="D13" s="4">
        <v>600</v>
      </c>
      <c r="E13" s="4">
        <v>1200</v>
      </c>
      <c r="F13" s="4">
        <v>1600</v>
      </c>
    </row>
    <row r="14" spans="1:8" x14ac:dyDescent="0.35">
      <c r="A14">
        <v>2</v>
      </c>
      <c r="B14">
        <v>5</v>
      </c>
      <c r="C14" t="s">
        <v>124</v>
      </c>
      <c r="D14" s="4">
        <v>5</v>
      </c>
      <c r="E14" s="4">
        <v>10</v>
      </c>
      <c r="F14" s="4">
        <v>15</v>
      </c>
    </row>
    <row r="15" spans="1:8" x14ac:dyDescent="0.35">
      <c r="A15">
        <v>2</v>
      </c>
      <c r="B15">
        <v>6</v>
      </c>
      <c r="C15" t="s">
        <v>125</v>
      </c>
      <c r="D15" s="4">
        <v>40</v>
      </c>
      <c r="E15" s="4">
        <v>50</v>
      </c>
      <c r="F15" s="4">
        <v>60</v>
      </c>
    </row>
    <row r="16" spans="1:8" x14ac:dyDescent="0.35">
      <c r="A16">
        <v>2</v>
      </c>
      <c r="B16">
        <v>7</v>
      </c>
      <c r="C16" t="s">
        <v>126</v>
      </c>
      <c r="D16" s="4">
        <v>30</v>
      </c>
      <c r="E16" s="4">
        <v>60</v>
      </c>
      <c r="F16" s="4">
        <v>70</v>
      </c>
    </row>
    <row r="17" spans="1:6" x14ac:dyDescent="0.35">
      <c r="A17">
        <v>2</v>
      </c>
      <c r="B17">
        <v>8</v>
      </c>
      <c r="C17" t="s">
        <v>127</v>
      </c>
      <c r="D17" s="4">
        <v>0.5</v>
      </c>
      <c r="E17" s="4">
        <v>2</v>
      </c>
      <c r="F17" s="4">
        <v>6</v>
      </c>
    </row>
    <row r="18" spans="1:6" x14ac:dyDescent="0.35">
      <c r="A18">
        <v>3</v>
      </c>
      <c r="B18">
        <v>1</v>
      </c>
      <c r="C18" t="s">
        <v>120</v>
      </c>
      <c r="D18" s="4">
        <v>6</v>
      </c>
      <c r="E18" s="4">
        <v>12</v>
      </c>
      <c r="F18" s="4">
        <v>24</v>
      </c>
    </row>
    <row r="19" spans="1:6" x14ac:dyDescent="0.35">
      <c r="A19">
        <v>3</v>
      </c>
      <c r="B19">
        <v>2</v>
      </c>
      <c r="C19" t="s">
        <v>121</v>
      </c>
      <c r="D19" s="4">
        <v>1000</v>
      </c>
      <c r="E19" s="4">
        <v>1428</v>
      </c>
      <c r="F19" s="4">
        <v>2571</v>
      </c>
    </row>
    <row r="20" spans="1:6" x14ac:dyDescent="0.35">
      <c r="A20">
        <v>3</v>
      </c>
      <c r="B20">
        <v>3</v>
      </c>
      <c r="C20" t="s">
        <v>122</v>
      </c>
      <c r="D20" s="4">
        <v>2</v>
      </c>
      <c r="E20" s="4">
        <v>6</v>
      </c>
      <c r="F20" s="4">
        <v>10</v>
      </c>
    </row>
    <row r="21" spans="1:6" x14ac:dyDescent="0.35">
      <c r="A21">
        <v>3</v>
      </c>
      <c r="B21">
        <v>4</v>
      </c>
      <c r="C21" t="s">
        <v>123</v>
      </c>
      <c r="D21" s="4">
        <v>3428</v>
      </c>
      <c r="E21" s="4">
        <v>3714</v>
      </c>
      <c r="F21" s="4">
        <v>4571</v>
      </c>
    </row>
    <row r="22" spans="1:6" x14ac:dyDescent="0.35">
      <c r="A22">
        <v>3</v>
      </c>
      <c r="B22">
        <v>5</v>
      </c>
      <c r="C22" t="s">
        <v>124</v>
      </c>
      <c r="D22" s="4">
        <v>1.1499999999999999</v>
      </c>
      <c r="E22" s="4">
        <v>1.3</v>
      </c>
      <c r="F22" s="4">
        <v>1.6</v>
      </c>
    </row>
    <row r="23" spans="1:6" x14ac:dyDescent="0.35">
      <c r="A23">
        <v>3</v>
      </c>
      <c r="B23">
        <v>6</v>
      </c>
      <c r="C23" t="s">
        <v>125</v>
      </c>
      <c r="D23" s="4">
        <v>20</v>
      </c>
      <c r="E23" s="4">
        <v>25</v>
      </c>
      <c r="F23" s="4">
        <v>40</v>
      </c>
    </row>
    <row r="24" spans="1:6" x14ac:dyDescent="0.35">
      <c r="A24">
        <v>3</v>
      </c>
      <c r="B24">
        <v>7</v>
      </c>
      <c r="C24" t="s">
        <v>126</v>
      </c>
      <c r="D24" s="4">
        <v>40</v>
      </c>
      <c r="E24" s="4">
        <v>50</v>
      </c>
      <c r="F24" s="4">
        <v>60</v>
      </c>
    </row>
    <row r="25" spans="1:6" x14ac:dyDescent="0.35">
      <c r="A25">
        <v>3</v>
      </c>
      <c r="B25">
        <v>8</v>
      </c>
      <c r="C25" t="s">
        <v>127</v>
      </c>
      <c r="D25" s="4">
        <v>0.7</v>
      </c>
      <c r="E25" s="4">
        <v>1.7</v>
      </c>
      <c r="F25" s="4">
        <v>3</v>
      </c>
    </row>
    <row r="26" spans="1:6" x14ac:dyDescent="0.35">
      <c r="A26">
        <v>4</v>
      </c>
      <c r="B26">
        <v>1</v>
      </c>
      <c r="C26" t="s">
        <v>120</v>
      </c>
      <c r="D26" s="4">
        <v>6</v>
      </c>
      <c r="E26" s="4">
        <v>15</v>
      </c>
      <c r="F26" s="4">
        <v>24</v>
      </c>
    </row>
    <row r="27" spans="1:6" x14ac:dyDescent="0.35">
      <c r="A27">
        <v>4</v>
      </c>
      <c r="B27">
        <v>2</v>
      </c>
      <c r="C27" t="s">
        <v>121</v>
      </c>
      <c r="D27" s="4">
        <v>300</v>
      </c>
      <c r="E27" s="4">
        <v>800</v>
      </c>
      <c r="F27" s="4">
        <v>1300</v>
      </c>
    </row>
    <row r="28" spans="1:6" x14ac:dyDescent="0.35">
      <c r="A28">
        <v>4</v>
      </c>
      <c r="B28">
        <v>3</v>
      </c>
      <c r="C28" t="s">
        <v>122</v>
      </c>
      <c r="D28" s="4">
        <v>1</v>
      </c>
      <c r="E28" s="4">
        <v>2</v>
      </c>
      <c r="F28" s="4">
        <v>4</v>
      </c>
    </row>
    <row r="29" spans="1:6" x14ac:dyDescent="0.35">
      <c r="A29">
        <v>4</v>
      </c>
      <c r="B29">
        <v>4</v>
      </c>
      <c r="C29" t="s">
        <v>123</v>
      </c>
      <c r="D29" s="4">
        <v>2200</v>
      </c>
      <c r="E29" s="4">
        <v>2500</v>
      </c>
      <c r="F29" s="4">
        <v>3000</v>
      </c>
    </row>
    <row r="30" spans="1:6" x14ac:dyDescent="0.35">
      <c r="A30">
        <v>4</v>
      </c>
      <c r="B30">
        <v>5</v>
      </c>
      <c r="C30" t="s">
        <v>124</v>
      </c>
      <c r="D30" s="4">
        <v>1.08</v>
      </c>
      <c r="E30" s="4">
        <v>1.1499999999999999</v>
      </c>
      <c r="F30" s="4">
        <v>1.2</v>
      </c>
    </row>
    <row r="31" spans="1:6" x14ac:dyDescent="0.35">
      <c r="A31">
        <v>4</v>
      </c>
      <c r="B31">
        <v>6</v>
      </c>
      <c r="C31" t="s">
        <v>125</v>
      </c>
      <c r="D31" s="4">
        <v>50</v>
      </c>
      <c r="E31" s="4">
        <v>60</v>
      </c>
      <c r="F31" s="4">
        <v>70</v>
      </c>
    </row>
    <row r="32" spans="1:6" x14ac:dyDescent="0.35">
      <c r="A32">
        <v>4</v>
      </c>
      <c r="B32">
        <v>7</v>
      </c>
      <c r="C32" t="s">
        <v>126</v>
      </c>
      <c r="D32" s="4">
        <v>30</v>
      </c>
      <c r="E32" s="4">
        <v>40</v>
      </c>
      <c r="F32" s="4">
        <v>50</v>
      </c>
    </row>
    <row r="33" spans="1:6" x14ac:dyDescent="0.35">
      <c r="A33">
        <v>4</v>
      </c>
      <c r="B33">
        <v>8</v>
      </c>
      <c r="C33" t="s">
        <v>127</v>
      </c>
      <c r="D33" s="4">
        <v>0.75</v>
      </c>
      <c r="E33" s="4">
        <v>1.5</v>
      </c>
      <c r="F33" s="4">
        <v>3.5</v>
      </c>
    </row>
    <row r="34" spans="1:6" x14ac:dyDescent="0.35">
      <c r="A34">
        <v>5</v>
      </c>
      <c r="B34">
        <v>1</v>
      </c>
      <c r="C34" t="s">
        <v>120</v>
      </c>
      <c r="D34" s="4">
        <v>5</v>
      </c>
      <c r="E34" s="4">
        <v>10</v>
      </c>
      <c r="F34" s="4">
        <v>15</v>
      </c>
    </row>
    <row r="35" spans="1:6" x14ac:dyDescent="0.35">
      <c r="A35">
        <v>5</v>
      </c>
      <c r="B35">
        <v>2</v>
      </c>
      <c r="C35" t="s">
        <v>121</v>
      </c>
      <c r="D35" s="4">
        <v>1000</v>
      </c>
      <c r="E35" s="4">
        <v>2000</v>
      </c>
      <c r="F35" s="4">
        <v>3000</v>
      </c>
    </row>
    <row r="36" spans="1:6" x14ac:dyDescent="0.35">
      <c r="A36">
        <v>5</v>
      </c>
      <c r="B36">
        <v>3</v>
      </c>
      <c r="C36" t="s">
        <v>122</v>
      </c>
      <c r="D36" s="4">
        <v>1</v>
      </c>
      <c r="E36" s="4">
        <v>2</v>
      </c>
      <c r="F36" s="4">
        <v>4</v>
      </c>
    </row>
    <row r="37" spans="1:6" x14ac:dyDescent="0.35">
      <c r="A37">
        <v>5</v>
      </c>
      <c r="B37">
        <v>4</v>
      </c>
      <c r="C37" t="s">
        <v>123</v>
      </c>
      <c r="D37" s="4">
        <v>3200</v>
      </c>
      <c r="E37" s="4">
        <v>3700</v>
      </c>
      <c r="F37" s="4">
        <v>4200</v>
      </c>
    </row>
    <row r="38" spans="1:6" x14ac:dyDescent="0.35">
      <c r="A38">
        <v>5</v>
      </c>
      <c r="B38">
        <v>5</v>
      </c>
      <c r="C38" t="s">
        <v>124</v>
      </c>
      <c r="D38" s="4">
        <v>2</v>
      </c>
      <c r="E38" s="4">
        <v>4</v>
      </c>
      <c r="F38" s="4">
        <v>7</v>
      </c>
    </row>
    <row r="39" spans="1:6" x14ac:dyDescent="0.35">
      <c r="A39">
        <v>5</v>
      </c>
      <c r="B39">
        <v>6</v>
      </c>
      <c r="C39" t="s">
        <v>125</v>
      </c>
      <c r="D39" s="4">
        <v>10</v>
      </c>
      <c r="E39" s="4">
        <v>20</v>
      </c>
      <c r="F39" s="4">
        <v>30</v>
      </c>
    </row>
    <row r="40" spans="1:6" x14ac:dyDescent="0.35">
      <c r="A40">
        <v>5</v>
      </c>
      <c r="B40">
        <v>7</v>
      </c>
      <c r="C40" t="s">
        <v>126</v>
      </c>
      <c r="D40" s="4">
        <v>30</v>
      </c>
      <c r="E40" s="4">
        <v>50</v>
      </c>
      <c r="F40" s="4">
        <v>70</v>
      </c>
    </row>
    <row r="41" spans="1:6" x14ac:dyDescent="0.35">
      <c r="A41">
        <v>5</v>
      </c>
      <c r="B41">
        <v>8</v>
      </c>
      <c r="C41" t="s">
        <v>127</v>
      </c>
      <c r="D41" s="4">
        <v>2.1</v>
      </c>
      <c r="E41" s="4">
        <v>3</v>
      </c>
      <c r="F41" s="4">
        <v>6</v>
      </c>
    </row>
    <row r="42" spans="1:6" x14ac:dyDescent="0.35">
      <c r="A42">
        <v>6</v>
      </c>
      <c r="B42">
        <v>1</v>
      </c>
      <c r="C42" t="s">
        <v>120</v>
      </c>
      <c r="D42" s="4">
        <v>6</v>
      </c>
      <c r="E42" s="4">
        <v>18</v>
      </c>
      <c r="F42" s="4">
        <v>36</v>
      </c>
    </row>
    <row r="43" spans="1:6" x14ac:dyDescent="0.35">
      <c r="A43">
        <v>6</v>
      </c>
      <c r="B43">
        <v>2</v>
      </c>
      <c r="C43" t="s">
        <v>121</v>
      </c>
      <c r="D43" s="4">
        <v>180</v>
      </c>
      <c r="E43" s="4">
        <v>540</v>
      </c>
      <c r="F43" s="4">
        <v>1080</v>
      </c>
    </row>
    <row r="44" spans="1:6" x14ac:dyDescent="0.35">
      <c r="A44">
        <v>6</v>
      </c>
      <c r="B44">
        <v>3</v>
      </c>
      <c r="C44" t="s">
        <v>122</v>
      </c>
      <c r="D44" s="4">
        <v>0.01</v>
      </c>
      <c r="E44" s="4">
        <v>2</v>
      </c>
      <c r="F44" s="4">
        <v>5</v>
      </c>
    </row>
    <row r="45" spans="1:6" x14ac:dyDescent="0.35">
      <c r="A45">
        <v>6</v>
      </c>
      <c r="B45">
        <v>4</v>
      </c>
      <c r="C45" t="s">
        <v>123</v>
      </c>
      <c r="D45" s="4">
        <v>4000</v>
      </c>
      <c r="E45" s="4">
        <v>5400</v>
      </c>
      <c r="F45" s="4">
        <v>6000</v>
      </c>
    </row>
    <row r="46" spans="1:6" x14ac:dyDescent="0.35">
      <c r="A46">
        <v>6</v>
      </c>
      <c r="B46">
        <v>5</v>
      </c>
      <c r="C46" t="s">
        <v>124</v>
      </c>
      <c r="D46" s="4">
        <v>1.1000000000000001</v>
      </c>
      <c r="E46" s="4">
        <v>1.3</v>
      </c>
      <c r="F46" s="4">
        <v>1.5</v>
      </c>
    </row>
    <row r="47" spans="1:6" x14ac:dyDescent="0.35">
      <c r="A47">
        <v>6</v>
      </c>
      <c r="B47">
        <v>6</v>
      </c>
      <c r="C47" t="s">
        <v>125</v>
      </c>
      <c r="D47" s="4">
        <v>10</v>
      </c>
      <c r="E47" s="4">
        <v>20</v>
      </c>
      <c r="F47" s="4">
        <v>30</v>
      </c>
    </row>
    <row r="48" spans="1:6" x14ac:dyDescent="0.35">
      <c r="A48">
        <v>6</v>
      </c>
      <c r="B48">
        <v>7</v>
      </c>
      <c r="C48" t="s">
        <v>126</v>
      </c>
      <c r="D48" s="4">
        <v>70</v>
      </c>
      <c r="E48" s="4">
        <v>80</v>
      </c>
      <c r="F48" s="4">
        <v>90</v>
      </c>
    </row>
    <row r="49" spans="1:6" x14ac:dyDescent="0.35">
      <c r="A49">
        <v>6</v>
      </c>
      <c r="B49">
        <v>8</v>
      </c>
      <c r="C49" t="s">
        <v>127</v>
      </c>
      <c r="D49" s="4">
        <v>0.5</v>
      </c>
      <c r="E49" s="4">
        <v>2</v>
      </c>
      <c r="F49" s="4">
        <v>4</v>
      </c>
    </row>
    <row r="50" spans="1:6" x14ac:dyDescent="0.35">
      <c r="A50">
        <v>7</v>
      </c>
      <c r="B50">
        <v>1</v>
      </c>
      <c r="C50" t="s">
        <v>120</v>
      </c>
      <c r="D50" s="4">
        <v>3</v>
      </c>
      <c r="E50" s="4">
        <v>12</v>
      </c>
      <c r="F50" s="4">
        <v>35</v>
      </c>
    </row>
    <row r="51" spans="1:6" x14ac:dyDescent="0.35">
      <c r="A51">
        <v>7</v>
      </c>
      <c r="B51">
        <v>2</v>
      </c>
      <c r="C51" t="s">
        <v>121</v>
      </c>
      <c r="D51" s="4">
        <v>1000</v>
      </c>
      <c r="E51" s="4">
        <v>2500</v>
      </c>
      <c r="F51" s="4">
        <v>4000</v>
      </c>
    </row>
    <row r="52" spans="1:6" x14ac:dyDescent="0.35">
      <c r="A52">
        <v>7</v>
      </c>
      <c r="B52">
        <v>3</v>
      </c>
      <c r="C52" t="s">
        <v>122</v>
      </c>
      <c r="D52" s="4">
        <v>0.01</v>
      </c>
      <c r="E52" s="4">
        <v>2</v>
      </c>
      <c r="F52" s="4">
        <v>4</v>
      </c>
    </row>
    <row r="53" spans="1:6" x14ac:dyDescent="0.35">
      <c r="A53">
        <v>7</v>
      </c>
      <c r="B53">
        <v>4</v>
      </c>
      <c r="C53" t="s">
        <v>123</v>
      </c>
      <c r="D53" s="4">
        <v>1000</v>
      </c>
      <c r="E53" s="4">
        <v>2000</v>
      </c>
      <c r="F53" s="4">
        <v>3000</v>
      </c>
    </row>
    <row r="54" spans="1:6" x14ac:dyDescent="0.35">
      <c r="A54">
        <v>7</v>
      </c>
      <c r="B54">
        <v>5</v>
      </c>
      <c r="C54" t="s">
        <v>124</v>
      </c>
      <c r="D54" s="4">
        <v>1.3</v>
      </c>
      <c r="E54" s="4">
        <v>1.5</v>
      </c>
      <c r="F54" s="4">
        <v>1.7</v>
      </c>
    </row>
    <row r="55" spans="1:6" x14ac:dyDescent="0.35">
      <c r="A55">
        <v>7</v>
      </c>
      <c r="B55">
        <v>6</v>
      </c>
      <c r="C55" t="s">
        <v>125</v>
      </c>
      <c r="D55" s="4">
        <v>2</v>
      </c>
      <c r="E55" s="4">
        <v>15</v>
      </c>
      <c r="F55" s="4">
        <v>30</v>
      </c>
    </row>
    <row r="56" spans="1:6" x14ac:dyDescent="0.35">
      <c r="A56">
        <v>7</v>
      </c>
      <c r="B56">
        <v>7</v>
      </c>
      <c r="C56" t="s">
        <v>126</v>
      </c>
      <c r="D56" s="4">
        <v>70</v>
      </c>
      <c r="E56" s="4">
        <v>85</v>
      </c>
      <c r="F56" s="4">
        <v>95</v>
      </c>
    </row>
    <row r="57" spans="1:6" x14ac:dyDescent="0.35">
      <c r="A57">
        <v>7</v>
      </c>
      <c r="B57">
        <v>8</v>
      </c>
      <c r="C57" t="s">
        <v>127</v>
      </c>
      <c r="D57" s="4">
        <v>0.8</v>
      </c>
      <c r="E57" s="4">
        <v>1.5</v>
      </c>
      <c r="F57" s="4">
        <v>3</v>
      </c>
    </row>
    <row r="58" spans="1:6" x14ac:dyDescent="0.35">
      <c r="A58">
        <v>8</v>
      </c>
      <c r="B58">
        <v>1</v>
      </c>
      <c r="C58" t="s">
        <v>120</v>
      </c>
      <c r="D58" s="4">
        <v>10</v>
      </c>
      <c r="E58" s="4">
        <v>20</v>
      </c>
      <c r="F58" s="4">
        <v>30</v>
      </c>
    </row>
    <row r="59" spans="1:6" x14ac:dyDescent="0.35">
      <c r="A59">
        <v>8</v>
      </c>
      <c r="B59">
        <v>2</v>
      </c>
      <c r="C59" t="s">
        <v>121</v>
      </c>
      <c r="D59" s="4">
        <v>1500</v>
      </c>
      <c r="E59" s="4">
        <v>2000</v>
      </c>
      <c r="F59" s="4">
        <v>2500</v>
      </c>
    </row>
    <row r="60" spans="1:6" x14ac:dyDescent="0.35">
      <c r="A60">
        <v>8</v>
      </c>
      <c r="B60">
        <v>3</v>
      </c>
      <c r="C60" t="s">
        <v>122</v>
      </c>
      <c r="D60" s="4">
        <v>0.01</v>
      </c>
      <c r="E60" s="4">
        <v>3</v>
      </c>
      <c r="F60" s="4">
        <v>6</v>
      </c>
    </row>
    <row r="61" spans="1:6" x14ac:dyDescent="0.35">
      <c r="A61">
        <v>8</v>
      </c>
      <c r="B61">
        <v>4</v>
      </c>
      <c r="C61" t="s">
        <v>123</v>
      </c>
      <c r="D61" s="4">
        <v>1900</v>
      </c>
      <c r="E61" s="4">
        <v>2900</v>
      </c>
      <c r="F61" s="4">
        <v>2901</v>
      </c>
    </row>
    <row r="62" spans="1:6" x14ac:dyDescent="0.35">
      <c r="A62">
        <v>8</v>
      </c>
      <c r="B62">
        <v>5</v>
      </c>
      <c r="C62" t="s">
        <v>124</v>
      </c>
      <c r="D62" s="4">
        <v>1.04</v>
      </c>
      <c r="E62" s="4">
        <v>1.06</v>
      </c>
      <c r="F62" s="4">
        <v>1.08</v>
      </c>
    </row>
    <row r="63" spans="1:6" x14ac:dyDescent="0.35">
      <c r="A63">
        <v>8</v>
      </c>
      <c r="B63">
        <v>6</v>
      </c>
      <c r="C63" t="s">
        <v>125</v>
      </c>
      <c r="D63" s="4">
        <v>35</v>
      </c>
      <c r="E63" s="4">
        <v>50</v>
      </c>
      <c r="F63" s="4">
        <v>65</v>
      </c>
    </row>
    <row r="64" spans="1:6" x14ac:dyDescent="0.35">
      <c r="A64">
        <v>8</v>
      </c>
      <c r="B64">
        <v>7</v>
      </c>
      <c r="C64" t="s">
        <v>126</v>
      </c>
      <c r="D64" s="4">
        <v>35</v>
      </c>
      <c r="E64" s="4">
        <v>40</v>
      </c>
      <c r="F64" s="4">
        <v>50</v>
      </c>
    </row>
    <row r="65" spans="1:6" x14ac:dyDescent="0.35">
      <c r="A65">
        <v>8</v>
      </c>
      <c r="B65">
        <v>8</v>
      </c>
      <c r="C65" t="s">
        <v>127</v>
      </c>
      <c r="D65" s="4">
        <v>1.5</v>
      </c>
      <c r="E65" s="4">
        <v>2.5</v>
      </c>
      <c r="F65" s="4">
        <v>3</v>
      </c>
    </row>
    <row r="66" spans="1:6" x14ac:dyDescent="0.35">
      <c r="A66">
        <v>9</v>
      </c>
      <c r="B66">
        <v>1</v>
      </c>
      <c r="C66" t="s">
        <v>120</v>
      </c>
      <c r="D66" s="4">
        <v>5</v>
      </c>
      <c r="E66" s="4">
        <v>20</v>
      </c>
      <c r="F66" s="4">
        <v>30</v>
      </c>
    </row>
    <row r="67" spans="1:6" x14ac:dyDescent="0.35">
      <c r="A67">
        <v>9</v>
      </c>
      <c r="B67">
        <v>2</v>
      </c>
      <c r="C67" t="s">
        <v>121</v>
      </c>
      <c r="D67" s="4">
        <v>1000</v>
      </c>
      <c r="E67" s="4">
        <v>2000</v>
      </c>
      <c r="F67" s="4">
        <v>4000</v>
      </c>
    </row>
    <row r="68" spans="1:6" x14ac:dyDescent="0.35">
      <c r="A68">
        <v>9</v>
      </c>
      <c r="B68">
        <v>3</v>
      </c>
      <c r="C68" t="s">
        <v>122</v>
      </c>
      <c r="D68" s="4">
        <v>1</v>
      </c>
      <c r="E68" s="4">
        <v>4</v>
      </c>
      <c r="F68" s="4">
        <v>10</v>
      </c>
    </row>
    <row r="69" spans="1:6" x14ac:dyDescent="0.35">
      <c r="A69">
        <v>9</v>
      </c>
      <c r="B69">
        <v>4</v>
      </c>
      <c r="C69" t="s">
        <v>123</v>
      </c>
      <c r="D69" s="4">
        <v>3500</v>
      </c>
      <c r="E69" s="4">
        <v>4500</v>
      </c>
      <c r="F69" s="4">
        <v>5500</v>
      </c>
    </row>
    <row r="70" spans="1:6" x14ac:dyDescent="0.35">
      <c r="A70">
        <v>9</v>
      </c>
      <c r="B70">
        <v>5</v>
      </c>
      <c r="C70" t="s">
        <v>124</v>
      </c>
      <c r="D70" s="4">
        <v>1.05</v>
      </c>
      <c r="E70" s="4">
        <v>1.1499999999999999</v>
      </c>
      <c r="F70" s="4">
        <v>1.2</v>
      </c>
    </row>
    <row r="71" spans="1:6" x14ac:dyDescent="0.35">
      <c r="A71">
        <v>9</v>
      </c>
      <c r="B71">
        <v>6</v>
      </c>
      <c r="C71" t="s">
        <v>125</v>
      </c>
      <c r="D71" s="4">
        <v>20</v>
      </c>
      <c r="E71" s="4">
        <v>50</v>
      </c>
      <c r="F71" s="4">
        <v>65</v>
      </c>
    </row>
    <row r="72" spans="1:6" x14ac:dyDescent="0.35">
      <c r="A72">
        <v>9</v>
      </c>
      <c r="B72">
        <v>7</v>
      </c>
      <c r="C72" t="s">
        <v>126</v>
      </c>
      <c r="D72" s="4">
        <v>20</v>
      </c>
      <c r="E72" s="4">
        <v>50</v>
      </c>
      <c r="F72" s="4">
        <v>65</v>
      </c>
    </row>
    <row r="73" spans="1:6" x14ac:dyDescent="0.35">
      <c r="A73">
        <v>9</v>
      </c>
      <c r="B73">
        <v>8</v>
      </c>
      <c r="C73" t="s">
        <v>127</v>
      </c>
      <c r="D73" s="4">
        <v>0.4</v>
      </c>
      <c r="E73" s="4">
        <v>1.2</v>
      </c>
      <c r="F73" s="4">
        <v>3.2</v>
      </c>
    </row>
    <row r="74" spans="1:6" x14ac:dyDescent="0.35">
      <c r="A74">
        <v>10</v>
      </c>
      <c r="B74">
        <v>1</v>
      </c>
      <c r="C74" t="s">
        <v>120</v>
      </c>
      <c r="D74" s="4">
        <v>8</v>
      </c>
      <c r="E74" s="4">
        <v>10</v>
      </c>
      <c r="F74" s="4">
        <v>14</v>
      </c>
    </row>
    <row r="75" spans="1:6" x14ac:dyDescent="0.35">
      <c r="A75">
        <v>10</v>
      </c>
      <c r="B75">
        <v>2</v>
      </c>
      <c r="C75" t="s">
        <v>121</v>
      </c>
      <c r="D75" s="4">
        <v>1000</v>
      </c>
      <c r="E75" s="4">
        <v>2500</v>
      </c>
      <c r="F75" s="4">
        <v>4000</v>
      </c>
    </row>
    <row r="76" spans="1:6" x14ac:dyDescent="0.35">
      <c r="A76">
        <v>10</v>
      </c>
      <c r="B76">
        <v>3</v>
      </c>
      <c r="C76" t="s">
        <v>122</v>
      </c>
      <c r="D76" s="4">
        <v>1</v>
      </c>
      <c r="E76" s="4">
        <v>2</v>
      </c>
      <c r="F76" s="4">
        <v>3</v>
      </c>
    </row>
    <row r="77" spans="1:6" x14ac:dyDescent="0.35">
      <c r="A77">
        <v>10</v>
      </c>
      <c r="B77">
        <v>4</v>
      </c>
      <c r="C77" t="s">
        <v>123</v>
      </c>
      <c r="D77" s="4">
        <v>1500</v>
      </c>
      <c r="E77" s="4">
        <v>3000</v>
      </c>
      <c r="F77" s="4">
        <v>4500</v>
      </c>
    </row>
    <row r="78" spans="1:6" x14ac:dyDescent="0.35">
      <c r="A78">
        <v>10</v>
      </c>
      <c r="B78">
        <v>5</v>
      </c>
      <c r="C78" t="s">
        <v>124</v>
      </c>
      <c r="D78" s="4">
        <v>1.1000000000000001</v>
      </c>
      <c r="E78" s="4">
        <v>1.8</v>
      </c>
      <c r="F78" s="4">
        <v>2</v>
      </c>
    </row>
    <row r="79" spans="1:6" x14ac:dyDescent="0.35">
      <c r="A79">
        <v>10</v>
      </c>
      <c r="B79">
        <v>6</v>
      </c>
      <c r="C79" t="s">
        <v>125</v>
      </c>
      <c r="D79" s="4">
        <v>10</v>
      </c>
      <c r="E79" s="4">
        <v>25</v>
      </c>
      <c r="F79" s="4">
        <v>35</v>
      </c>
    </row>
    <row r="80" spans="1:6" x14ac:dyDescent="0.35">
      <c r="A80">
        <v>10</v>
      </c>
      <c r="B80">
        <v>7</v>
      </c>
      <c r="C80" t="s">
        <v>126</v>
      </c>
      <c r="D80" s="4">
        <v>30</v>
      </c>
      <c r="E80" s="4">
        <v>50</v>
      </c>
      <c r="F80" s="4">
        <v>70</v>
      </c>
    </row>
    <row r="81" spans="1:6" x14ac:dyDescent="0.35">
      <c r="A81">
        <v>10</v>
      </c>
      <c r="B81">
        <v>8</v>
      </c>
      <c r="C81" t="s">
        <v>127</v>
      </c>
      <c r="D81" s="4">
        <v>0.5</v>
      </c>
      <c r="E81" s="4">
        <v>1.5</v>
      </c>
      <c r="F81" s="4">
        <v>4</v>
      </c>
    </row>
    <row r="82" spans="1:6" x14ac:dyDescent="0.35">
      <c r="A82">
        <v>11</v>
      </c>
      <c r="B82">
        <v>1</v>
      </c>
      <c r="C82" t="s">
        <v>120</v>
      </c>
      <c r="D82" s="4">
        <v>20</v>
      </c>
      <c r="E82" s="4">
        <v>25</v>
      </c>
      <c r="F82" s="4">
        <v>35</v>
      </c>
    </row>
    <row r="83" spans="1:6" x14ac:dyDescent="0.35">
      <c r="A83">
        <v>11</v>
      </c>
      <c r="B83">
        <v>2</v>
      </c>
      <c r="C83" t="s">
        <v>121</v>
      </c>
      <c r="D83" s="4">
        <v>1000</v>
      </c>
      <c r="E83" s="4">
        <v>1500</v>
      </c>
      <c r="F83" s="4">
        <v>2000</v>
      </c>
    </row>
    <row r="84" spans="1:6" x14ac:dyDescent="0.35">
      <c r="A84">
        <v>11</v>
      </c>
      <c r="B84">
        <v>3</v>
      </c>
      <c r="C84" t="s">
        <v>122</v>
      </c>
      <c r="D84" s="4">
        <v>1</v>
      </c>
      <c r="E84" s="4">
        <v>4</v>
      </c>
      <c r="F84" s="4">
        <v>10</v>
      </c>
    </row>
    <row r="85" spans="1:6" x14ac:dyDescent="0.35">
      <c r="A85">
        <v>11</v>
      </c>
      <c r="B85">
        <v>4</v>
      </c>
      <c r="C85" t="s">
        <v>123</v>
      </c>
      <c r="D85" s="4">
        <v>1625</v>
      </c>
      <c r="E85" s="4">
        <v>1875</v>
      </c>
      <c r="F85" s="4">
        <v>2500</v>
      </c>
    </row>
    <row r="86" spans="1:6" x14ac:dyDescent="0.35">
      <c r="A86">
        <v>11</v>
      </c>
      <c r="B86">
        <v>5</v>
      </c>
      <c r="C86" t="s">
        <v>124</v>
      </c>
      <c r="D86" s="4">
        <v>1.5</v>
      </c>
      <c r="E86" s="4">
        <v>2</v>
      </c>
      <c r="F86" s="4">
        <v>3</v>
      </c>
    </row>
    <row r="87" spans="1:6" x14ac:dyDescent="0.35">
      <c r="A87">
        <v>11</v>
      </c>
      <c r="B87">
        <v>6</v>
      </c>
      <c r="C87" t="s">
        <v>125</v>
      </c>
      <c r="D87" s="4">
        <v>15</v>
      </c>
      <c r="E87" s="4">
        <v>20</v>
      </c>
      <c r="F87" s="4">
        <v>35</v>
      </c>
    </row>
    <row r="88" spans="1:6" x14ac:dyDescent="0.35">
      <c r="A88">
        <v>11</v>
      </c>
      <c r="B88">
        <v>7</v>
      </c>
      <c r="C88" t="s">
        <v>126</v>
      </c>
      <c r="D88" s="4">
        <v>25</v>
      </c>
      <c r="E88" s="4">
        <v>30</v>
      </c>
      <c r="F88" s="4">
        <v>35</v>
      </c>
    </row>
    <row r="89" spans="1:6" x14ac:dyDescent="0.35">
      <c r="A89">
        <v>11</v>
      </c>
      <c r="B89">
        <v>8</v>
      </c>
      <c r="C89" t="s">
        <v>127</v>
      </c>
      <c r="D89" s="4">
        <v>1.8</v>
      </c>
      <c r="E89" s="4">
        <v>3</v>
      </c>
      <c r="F89" s="4">
        <v>4</v>
      </c>
    </row>
    <row r="90" spans="1:6" x14ac:dyDescent="0.35">
      <c r="A90">
        <v>12</v>
      </c>
      <c r="B90">
        <v>1</v>
      </c>
      <c r="C90" t="s">
        <v>120</v>
      </c>
      <c r="D90" s="4">
        <v>15</v>
      </c>
      <c r="E90" s="4">
        <v>26</v>
      </c>
      <c r="F90" s="4">
        <v>30</v>
      </c>
    </row>
    <row r="91" spans="1:6" x14ac:dyDescent="0.35">
      <c r="A91">
        <v>12</v>
      </c>
      <c r="B91">
        <v>2</v>
      </c>
      <c r="C91" t="s">
        <v>121</v>
      </c>
      <c r="D91" s="4">
        <v>700</v>
      </c>
      <c r="E91" s="4">
        <v>800</v>
      </c>
      <c r="F91" s="4">
        <v>1000</v>
      </c>
    </row>
    <row r="92" spans="1:6" x14ac:dyDescent="0.35">
      <c r="A92">
        <v>12</v>
      </c>
      <c r="B92">
        <v>3</v>
      </c>
      <c r="C92" t="s">
        <v>122</v>
      </c>
      <c r="D92" s="4">
        <v>6</v>
      </c>
      <c r="E92" s="4">
        <v>7</v>
      </c>
      <c r="F92" s="4">
        <v>8</v>
      </c>
    </row>
    <row r="93" spans="1:6" x14ac:dyDescent="0.35">
      <c r="A93">
        <v>12</v>
      </c>
      <c r="B93">
        <v>4</v>
      </c>
      <c r="C93" t="s">
        <v>123</v>
      </c>
      <c r="D93" s="4">
        <v>1100</v>
      </c>
      <c r="E93" s="4">
        <v>1250</v>
      </c>
      <c r="F93" s="4">
        <v>1400</v>
      </c>
    </row>
    <row r="94" spans="1:6" x14ac:dyDescent="0.35">
      <c r="A94">
        <v>12</v>
      </c>
      <c r="B94">
        <v>5</v>
      </c>
      <c r="C94" t="s">
        <v>124</v>
      </c>
      <c r="D94" s="4">
        <v>1.8</v>
      </c>
      <c r="E94" s="4">
        <v>2</v>
      </c>
      <c r="F94" s="4">
        <v>2.2000000000000002</v>
      </c>
    </row>
    <row r="95" spans="1:6" x14ac:dyDescent="0.35">
      <c r="A95">
        <v>12</v>
      </c>
      <c r="B95">
        <v>6</v>
      </c>
      <c r="C95" t="s">
        <v>125</v>
      </c>
      <c r="D95" s="4">
        <v>20</v>
      </c>
      <c r="E95" s="4">
        <v>25</v>
      </c>
      <c r="F95" s="4">
        <v>30</v>
      </c>
    </row>
    <row r="96" spans="1:6" x14ac:dyDescent="0.35">
      <c r="A96">
        <v>12</v>
      </c>
      <c r="B96">
        <v>7</v>
      </c>
      <c r="C96" t="s">
        <v>126</v>
      </c>
      <c r="D96" s="4">
        <v>70</v>
      </c>
      <c r="E96" s="4">
        <v>75</v>
      </c>
      <c r="F96" s="4">
        <v>80</v>
      </c>
    </row>
    <row r="97" spans="1:6" x14ac:dyDescent="0.35">
      <c r="A97">
        <v>12</v>
      </c>
      <c r="B97">
        <v>8</v>
      </c>
      <c r="C97" t="s">
        <v>127</v>
      </c>
      <c r="D97" s="4">
        <v>1.2</v>
      </c>
      <c r="E97" s="4">
        <v>1.5</v>
      </c>
      <c r="F97" s="4">
        <v>1.8</v>
      </c>
    </row>
    <row r="98" spans="1:6" x14ac:dyDescent="0.35">
      <c r="A98">
        <v>13</v>
      </c>
      <c r="B98">
        <v>1</v>
      </c>
      <c r="C98" t="s">
        <v>120</v>
      </c>
      <c r="D98" s="4">
        <v>4</v>
      </c>
      <c r="E98" s="4">
        <v>8</v>
      </c>
      <c r="F98" s="4">
        <v>12</v>
      </c>
    </row>
    <row r="99" spans="1:6" x14ac:dyDescent="0.35">
      <c r="A99">
        <v>13</v>
      </c>
      <c r="B99">
        <v>2</v>
      </c>
      <c r="C99" t="s">
        <v>121</v>
      </c>
      <c r="D99" s="4">
        <v>8000</v>
      </c>
      <c r="E99" s="4">
        <v>10000</v>
      </c>
      <c r="F99" s="4">
        <v>15000</v>
      </c>
    </row>
    <row r="100" spans="1:6" x14ac:dyDescent="0.35">
      <c r="A100">
        <v>13</v>
      </c>
      <c r="B100">
        <v>3</v>
      </c>
      <c r="C100" t="s">
        <v>122</v>
      </c>
      <c r="D100" s="4">
        <v>2</v>
      </c>
      <c r="E100" s="4">
        <v>4</v>
      </c>
      <c r="F100" s="4">
        <v>6</v>
      </c>
    </row>
    <row r="101" spans="1:6" x14ac:dyDescent="0.35">
      <c r="A101">
        <v>13</v>
      </c>
      <c r="B101">
        <v>4</v>
      </c>
      <c r="C101" t="s">
        <v>123</v>
      </c>
      <c r="D101" s="4">
        <v>5000</v>
      </c>
      <c r="E101" s="4">
        <v>8000</v>
      </c>
      <c r="F101" s="4">
        <v>10000</v>
      </c>
    </row>
    <row r="102" spans="1:6" x14ac:dyDescent="0.35">
      <c r="A102">
        <v>13</v>
      </c>
      <c r="B102">
        <v>5</v>
      </c>
      <c r="C102" t="s">
        <v>124</v>
      </c>
      <c r="D102" s="4">
        <v>1.3</v>
      </c>
      <c r="E102" s="4">
        <v>1.5</v>
      </c>
      <c r="F102" s="4">
        <v>1.8</v>
      </c>
    </row>
    <row r="103" spans="1:6" x14ac:dyDescent="0.35">
      <c r="A103">
        <v>13</v>
      </c>
      <c r="B103">
        <v>6</v>
      </c>
      <c r="C103" t="s">
        <v>125</v>
      </c>
      <c r="D103" s="4">
        <v>40</v>
      </c>
      <c r="E103" s="4">
        <v>50</v>
      </c>
      <c r="F103" s="4">
        <v>60</v>
      </c>
    </row>
    <row r="104" spans="1:6" x14ac:dyDescent="0.35">
      <c r="A104">
        <v>13</v>
      </c>
      <c r="B104">
        <v>7</v>
      </c>
      <c r="C104" t="s">
        <v>126</v>
      </c>
      <c r="D104" s="4">
        <v>15</v>
      </c>
      <c r="E104" s="4">
        <v>20</v>
      </c>
      <c r="F104" s="4">
        <v>30</v>
      </c>
    </row>
    <row r="105" spans="1:6" x14ac:dyDescent="0.35">
      <c r="A105">
        <v>13</v>
      </c>
      <c r="B105">
        <v>8</v>
      </c>
      <c r="C105" t="s">
        <v>127</v>
      </c>
      <c r="D105" s="4">
        <v>0.8</v>
      </c>
      <c r="E105" s="4">
        <v>2</v>
      </c>
      <c r="F105" s="4">
        <v>3</v>
      </c>
    </row>
    <row r="106" spans="1:6" x14ac:dyDescent="0.35">
      <c r="A106">
        <v>14</v>
      </c>
      <c r="B106">
        <v>1</v>
      </c>
      <c r="C106" t="s">
        <v>120</v>
      </c>
      <c r="D106" s="4">
        <v>6</v>
      </c>
      <c r="E106" s="4">
        <v>12</v>
      </c>
      <c r="F106" s="4">
        <v>24</v>
      </c>
    </row>
    <row r="107" spans="1:6" x14ac:dyDescent="0.35">
      <c r="A107">
        <v>14</v>
      </c>
      <c r="B107">
        <v>2</v>
      </c>
      <c r="C107" t="s">
        <v>121</v>
      </c>
      <c r="D107" s="4">
        <v>1000</v>
      </c>
      <c r="E107" s="4">
        <v>2000</v>
      </c>
      <c r="F107" s="4">
        <v>2500</v>
      </c>
    </row>
    <row r="108" spans="1:6" x14ac:dyDescent="0.35">
      <c r="A108">
        <v>14</v>
      </c>
      <c r="B108">
        <v>3</v>
      </c>
      <c r="C108" t="s">
        <v>122</v>
      </c>
      <c r="D108" s="4">
        <v>2</v>
      </c>
      <c r="E108" s="4">
        <v>4</v>
      </c>
      <c r="F108" s="4">
        <v>8</v>
      </c>
    </row>
    <row r="109" spans="1:6" x14ac:dyDescent="0.35">
      <c r="A109">
        <v>14</v>
      </c>
      <c r="B109">
        <v>4</v>
      </c>
      <c r="C109" t="s">
        <v>123</v>
      </c>
      <c r="D109" s="4">
        <v>1250</v>
      </c>
      <c r="E109" s="4">
        <v>1750</v>
      </c>
      <c r="F109" s="4">
        <v>2250</v>
      </c>
    </row>
    <row r="110" spans="1:6" x14ac:dyDescent="0.35">
      <c r="A110">
        <v>14</v>
      </c>
      <c r="B110">
        <v>5</v>
      </c>
      <c r="C110" t="s">
        <v>124</v>
      </c>
      <c r="D110" s="4">
        <v>1.1499999999999999</v>
      </c>
      <c r="E110" s="4">
        <v>1.25</v>
      </c>
      <c r="F110" s="4">
        <v>1.3</v>
      </c>
    </row>
    <row r="111" spans="1:6" x14ac:dyDescent="0.35">
      <c r="A111">
        <v>14</v>
      </c>
      <c r="B111">
        <v>6</v>
      </c>
      <c r="C111" t="s">
        <v>125</v>
      </c>
      <c r="D111" s="4">
        <v>15</v>
      </c>
      <c r="E111" s="4">
        <v>25</v>
      </c>
      <c r="F111" s="4">
        <v>35</v>
      </c>
    </row>
    <row r="112" spans="1:6" x14ac:dyDescent="0.35">
      <c r="A112">
        <v>14</v>
      </c>
      <c r="B112">
        <v>7</v>
      </c>
      <c r="C112" t="s">
        <v>126</v>
      </c>
      <c r="D112" s="4">
        <v>65</v>
      </c>
      <c r="E112" s="4">
        <v>75</v>
      </c>
      <c r="F112" s="4">
        <v>85</v>
      </c>
    </row>
    <row r="113" spans="1:6" x14ac:dyDescent="0.35">
      <c r="A113">
        <v>14</v>
      </c>
      <c r="B113">
        <v>8</v>
      </c>
      <c r="C113" t="s">
        <v>127</v>
      </c>
      <c r="D113" s="4">
        <v>1.5</v>
      </c>
      <c r="E113" s="4">
        <v>2.5</v>
      </c>
      <c r="F113" s="4">
        <v>4</v>
      </c>
    </row>
    <row r="114" spans="1:6" x14ac:dyDescent="0.35">
      <c r="A114">
        <v>15</v>
      </c>
      <c r="B114">
        <v>1</v>
      </c>
      <c r="C114" t="s">
        <v>120</v>
      </c>
      <c r="D114" s="4">
        <v>3</v>
      </c>
      <c r="E114" s="4">
        <v>10</v>
      </c>
      <c r="F114" s="4">
        <v>20</v>
      </c>
    </row>
    <row r="115" spans="1:6" x14ac:dyDescent="0.35">
      <c r="A115">
        <v>15</v>
      </c>
      <c r="B115">
        <v>2</v>
      </c>
      <c r="C115" t="s">
        <v>121</v>
      </c>
      <c r="D115" s="4">
        <v>1000</v>
      </c>
      <c r="E115" s="4">
        <v>4000</v>
      </c>
      <c r="F115" s="4">
        <v>8000</v>
      </c>
    </row>
    <row r="116" spans="1:6" x14ac:dyDescent="0.35">
      <c r="A116">
        <v>15</v>
      </c>
      <c r="B116">
        <v>3</v>
      </c>
      <c r="C116" t="s">
        <v>122</v>
      </c>
      <c r="D116" s="4">
        <v>3</v>
      </c>
      <c r="E116" s="4">
        <v>4</v>
      </c>
      <c r="F116" s="4">
        <v>8</v>
      </c>
    </row>
    <row r="117" spans="1:6" x14ac:dyDescent="0.35">
      <c r="A117">
        <v>15</v>
      </c>
      <c r="B117">
        <v>4</v>
      </c>
      <c r="C117" t="s">
        <v>123</v>
      </c>
      <c r="D117" s="4">
        <v>2000</v>
      </c>
      <c r="E117" s="4">
        <v>4000</v>
      </c>
      <c r="F117" s="4">
        <v>8000</v>
      </c>
    </row>
    <row r="118" spans="1:6" x14ac:dyDescent="0.35">
      <c r="A118">
        <v>15</v>
      </c>
      <c r="B118">
        <v>5</v>
      </c>
      <c r="C118" t="s">
        <v>124</v>
      </c>
      <c r="D118" s="4">
        <v>5</v>
      </c>
      <c r="E118" s="4">
        <v>10</v>
      </c>
      <c r="F118" s="4">
        <v>15</v>
      </c>
    </row>
    <row r="119" spans="1:6" x14ac:dyDescent="0.35">
      <c r="A119">
        <v>15</v>
      </c>
      <c r="B119">
        <v>6</v>
      </c>
      <c r="C119" t="s">
        <v>125</v>
      </c>
      <c r="D119" s="4">
        <v>10</v>
      </c>
      <c r="E119" s="4">
        <v>20</v>
      </c>
      <c r="F119" s="4">
        <v>30</v>
      </c>
    </row>
    <row r="120" spans="1:6" x14ac:dyDescent="0.35">
      <c r="A120">
        <v>15</v>
      </c>
      <c r="B120">
        <v>7</v>
      </c>
      <c r="C120" t="s">
        <v>126</v>
      </c>
      <c r="D120" s="4">
        <v>70</v>
      </c>
      <c r="E120" s="4">
        <v>80</v>
      </c>
      <c r="F120" s="4">
        <v>90</v>
      </c>
    </row>
    <row r="121" spans="1:6" x14ac:dyDescent="0.35">
      <c r="A121">
        <v>15</v>
      </c>
      <c r="B121">
        <v>8</v>
      </c>
      <c r="C121" t="s">
        <v>127</v>
      </c>
      <c r="D121" s="4">
        <v>0.6</v>
      </c>
      <c r="E121" s="4">
        <v>1.2</v>
      </c>
      <c r="F121" s="4">
        <v>2</v>
      </c>
    </row>
    <row r="122" spans="1:6" x14ac:dyDescent="0.35">
      <c r="A122">
        <v>16</v>
      </c>
      <c r="B122">
        <v>1</v>
      </c>
      <c r="C122" t="s">
        <v>120</v>
      </c>
      <c r="D122" s="4">
        <v>5</v>
      </c>
      <c r="E122" s="4">
        <v>17</v>
      </c>
      <c r="F122" s="4">
        <v>30</v>
      </c>
    </row>
    <row r="123" spans="1:6" x14ac:dyDescent="0.35">
      <c r="A123">
        <v>16</v>
      </c>
      <c r="B123">
        <v>2</v>
      </c>
      <c r="C123" t="s">
        <v>121</v>
      </c>
      <c r="D123" s="4">
        <v>500</v>
      </c>
      <c r="E123" s="4">
        <v>1000</v>
      </c>
      <c r="F123" s="4">
        <v>2500</v>
      </c>
    </row>
    <row r="124" spans="1:6" x14ac:dyDescent="0.35">
      <c r="A124">
        <v>16</v>
      </c>
      <c r="B124">
        <v>3</v>
      </c>
      <c r="C124" t="s">
        <v>122</v>
      </c>
      <c r="D124" s="4">
        <v>0.01</v>
      </c>
      <c r="E124" s="4">
        <v>4</v>
      </c>
      <c r="F124" s="4">
        <v>10</v>
      </c>
    </row>
    <row r="125" spans="1:6" x14ac:dyDescent="0.35">
      <c r="A125">
        <v>16</v>
      </c>
      <c r="B125">
        <v>4</v>
      </c>
      <c r="C125" t="s">
        <v>123</v>
      </c>
      <c r="D125" s="4">
        <v>1200</v>
      </c>
      <c r="E125" s="4">
        <v>2000</v>
      </c>
      <c r="F125" s="4">
        <v>3000</v>
      </c>
    </row>
    <row r="126" spans="1:6" x14ac:dyDescent="0.35">
      <c r="A126">
        <v>16</v>
      </c>
      <c r="B126">
        <v>5</v>
      </c>
      <c r="C126" t="s">
        <v>124</v>
      </c>
      <c r="D126" s="4">
        <v>3</v>
      </c>
      <c r="E126" s="4">
        <v>5</v>
      </c>
      <c r="F126" s="4">
        <v>6</v>
      </c>
    </row>
    <row r="127" spans="1:6" x14ac:dyDescent="0.35">
      <c r="A127">
        <v>16</v>
      </c>
      <c r="B127">
        <v>6</v>
      </c>
      <c r="C127" t="s">
        <v>125</v>
      </c>
      <c r="D127" s="4">
        <v>5</v>
      </c>
      <c r="E127" s="4">
        <v>20</v>
      </c>
      <c r="F127" s="4">
        <v>30</v>
      </c>
    </row>
    <row r="128" spans="1:6" x14ac:dyDescent="0.35">
      <c r="A128">
        <v>16</v>
      </c>
      <c r="B128">
        <v>7</v>
      </c>
      <c r="C128" t="s">
        <v>126</v>
      </c>
      <c r="D128" s="4">
        <v>70</v>
      </c>
      <c r="E128" s="4">
        <v>80</v>
      </c>
      <c r="F128" s="4">
        <v>90</v>
      </c>
    </row>
    <row r="129" spans="1:6" x14ac:dyDescent="0.35">
      <c r="A129">
        <v>16</v>
      </c>
      <c r="B129">
        <v>8</v>
      </c>
      <c r="C129" t="s">
        <v>127</v>
      </c>
      <c r="D129" s="4">
        <v>1</v>
      </c>
      <c r="E129" s="4">
        <v>1.5</v>
      </c>
      <c r="F129" s="4">
        <v>3.5</v>
      </c>
    </row>
    <row r="130" spans="1:6" x14ac:dyDescent="0.35">
      <c r="A130">
        <v>17</v>
      </c>
      <c r="B130">
        <v>1</v>
      </c>
      <c r="C130" t="s">
        <v>120</v>
      </c>
      <c r="D130" s="4">
        <v>10</v>
      </c>
      <c r="E130" s="4">
        <v>20</v>
      </c>
      <c r="F130" s="4">
        <v>30</v>
      </c>
    </row>
    <row r="131" spans="1:6" x14ac:dyDescent="0.35">
      <c r="A131">
        <v>17</v>
      </c>
      <c r="B131">
        <v>2</v>
      </c>
      <c r="C131" t="s">
        <v>121</v>
      </c>
      <c r="D131" s="4">
        <v>1000</v>
      </c>
      <c r="E131" s="4">
        <v>2000</v>
      </c>
      <c r="F131" s="4">
        <v>4000</v>
      </c>
    </row>
    <row r="132" spans="1:6" x14ac:dyDescent="0.35">
      <c r="A132">
        <v>17</v>
      </c>
      <c r="B132">
        <v>3</v>
      </c>
      <c r="C132" t="s">
        <v>122</v>
      </c>
      <c r="D132" s="4">
        <v>0.01</v>
      </c>
      <c r="E132" s="4">
        <v>4</v>
      </c>
      <c r="F132" s="4">
        <v>6</v>
      </c>
    </row>
    <row r="133" spans="1:6" x14ac:dyDescent="0.35">
      <c r="A133">
        <v>17</v>
      </c>
      <c r="B133">
        <v>4</v>
      </c>
      <c r="C133" t="s">
        <v>123</v>
      </c>
      <c r="D133" s="4">
        <v>2000</v>
      </c>
      <c r="E133" s="4">
        <v>4000</v>
      </c>
      <c r="F133" s="4">
        <v>5000</v>
      </c>
    </row>
    <row r="134" spans="1:6" x14ac:dyDescent="0.35">
      <c r="A134">
        <v>17</v>
      </c>
      <c r="B134">
        <v>5</v>
      </c>
      <c r="C134" t="s">
        <v>124</v>
      </c>
      <c r="D134" s="4">
        <v>1</v>
      </c>
      <c r="E134" s="4">
        <v>1.5</v>
      </c>
      <c r="F134" s="4">
        <v>2</v>
      </c>
    </row>
    <row r="135" spans="1:6" x14ac:dyDescent="0.35">
      <c r="A135">
        <v>17</v>
      </c>
      <c r="B135">
        <v>6</v>
      </c>
      <c r="C135" t="s">
        <v>125</v>
      </c>
      <c r="D135" s="4">
        <v>20</v>
      </c>
      <c r="E135" s="4">
        <v>40</v>
      </c>
      <c r="F135" s="4">
        <v>60</v>
      </c>
    </row>
    <row r="136" spans="1:6" x14ac:dyDescent="0.35">
      <c r="A136">
        <v>17</v>
      </c>
      <c r="B136">
        <v>7</v>
      </c>
      <c r="C136" t="s">
        <v>126</v>
      </c>
      <c r="D136" s="4">
        <v>20</v>
      </c>
      <c r="E136" s="4">
        <v>30</v>
      </c>
      <c r="F136" s="4">
        <v>50</v>
      </c>
    </row>
    <row r="137" spans="1:6" x14ac:dyDescent="0.35">
      <c r="A137">
        <v>17</v>
      </c>
      <c r="B137">
        <v>8</v>
      </c>
      <c r="C137" t="s">
        <v>127</v>
      </c>
      <c r="D137" s="4">
        <v>0.5</v>
      </c>
      <c r="E137" s="4">
        <v>4</v>
      </c>
      <c r="F137" s="4">
        <v>6</v>
      </c>
    </row>
    <row r="138" spans="1:6" x14ac:dyDescent="0.35">
      <c r="A138">
        <v>18</v>
      </c>
      <c r="B138">
        <v>1</v>
      </c>
      <c r="C138" t="s">
        <v>120</v>
      </c>
      <c r="D138" s="4">
        <v>1</v>
      </c>
      <c r="E138" s="4">
        <v>18</v>
      </c>
      <c r="F138" s="4">
        <v>45</v>
      </c>
    </row>
    <row r="139" spans="1:6" x14ac:dyDescent="0.35">
      <c r="A139">
        <v>18</v>
      </c>
      <c r="B139">
        <v>2</v>
      </c>
      <c r="C139" t="s">
        <v>121</v>
      </c>
      <c r="D139" s="4">
        <v>500</v>
      </c>
      <c r="E139" s="4">
        <v>1500</v>
      </c>
      <c r="F139" s="4">
        <v>3500</v>
      </c>
    </row>
    <row r="140" spans="1:6" x14ac:dyDescent="0.35">
      <c r="A140">
        <v>18</v>
      </c>
      <c r="B140">
        <v>3</v>
      </c>
      <c r="C140" t="s">
        <v>122</v>
      </c>
      <c r="D140" s="4">
        <v>0.01</v>
      </c>
      <c r="E140" s="4">
        <v>6</v>
      </c>
      <c r="F140" s="4">
        <v>13</v>
      </c>
    </row>
    <row r="141" spans="1:6" x14ac:dyDescent="0.35">
      <c r="A141">
        <v>18</v>
      </c>
      <c r="B141">
        <v>4</v>
      </c>
      <c r="C141" t="s">
        <v>123</v>
      </c>
      <c r="D141" s="4">
        <v>900</v>
      </c>
      <c r="E141" s="4">
        <v>1250</v>
      </c>
      <c r="F141" s="4">
        <v>2600</v>
      </c>
    </row>
    <row r="142" spans="1:6" x14ac:dyDescent="0.35">
      <c r="A142">
        <v>18</v>
      </c>
      <c r="B142">
        <v>5</v>
      </c>
      <c r="C142" t="s">
        <v>124</v>
      </c>
      <c r="D142" s="4">
        <v>1.5</v>
      </c>
      <c r="E142" s="4">
        <v>2</v>
      </c>
      <c r="F142" s="4">
        <v>3</v>
      </c>
    </row>
    <row r="143" spans="1:6" x14ac:dyDescent="0.35">
      <c r="A143">
        <v>18</v>
      </c>
      <c r="B143">
        <v>6</v>
      </c>
      <c r="C143" t="s">
        <v>125</v>
      </c>
      <c r="D143" s="4">
        <v>10</v>
      </c>
      <c r="E143" s="4">
        <v>20</v>
      </c>
      <c r="F143" s="4">
        <v>30</v>
      </c>
    </row>
    <row r="144" spans="1:6" x14ac:dyDescent="0.35">
      <c r="A144">
        <v>18</v>
      </c>
      <c r="B144">
        <v>7</v>
      </c>
      <c r="C144" t="s">
        <v>126</v>
      </c>
      <c r="D144" s="4">
        <v>50</v>
      </c>
      <c r="E144" s="4">
        <v>65</v>
      </c>
      <c r="F144" s="4">
        <v>75</v>
      </c>
    </row>
    <row r="145" spans="1:6" x14ac:dyDescent="0.35">
      <c r="A145">
        <v>18</v>
      </c>
      <c r="B145">
        <v>8</v>
      </c>
      <c r="C145" t="s">
        <v>127</v>
      </c>
      <c r="D145" s="4">
        <v>2</v>
      </c>
      <c r="E145" s="4">
        <v>2.2000000000000002</v>
      </c>
      <c r="F145" s="4">
        <v>2.4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51"/>
  <dimension ref="A1:H111"/>
  <sheetViews>
    <sheetView workbookViewId="0"/>
  </sheetViews>
  <sheetFormatPr defaultRowHeight="14.5" x14ac:dyDescent="0.35"/>
  <sheetData>
    <row r="1" spans="1:8" x14ac:dyDescent="0.35">
      <c r="A1" t="s">
        <v>337</v>
      </c>
      <c r="H1" t="s">
        <v>58</v>
      </c>
    </row>
    <row r="2" spans="1:8" x14ac:dyDescent="0.35">
      <c r="A2">
        <v>1</v>
      </c>
      <c r="B2">
        <v>1</v>
      </c>
      <c r="C2" t="s">
        <v>228</v>
      </c>
      <c r="D2" s="4">
        <v>20</v>
      </c>
      <c r="E2" s="4">
        <v>40</v>
      </c>
      <c r="F2" s="4">
        <v>70</v>
      </c>
      <c r="H2" s="4">
        <v>41</v>
      </c>
    </row>
    <row r="3" spans="1:8" x14ac:dyDescent="0.35">
      <c r="A3">
        <v>1</v>
      </c>
      <c r="B3">
        <v>2</v>
      </c>
      <c r="C3" t="s">
        <v>229</v>
      </c>
      <c r="D3" s="4">
        <v>300</v>
      </c>
      <c r="E3" s="4">
        <v>500</v>
      </c>
      <c r="F3" s="4">
        <v>800</v>
      </c>
      <c r="H3" s="4">
        <v>331</v>
      </c>
    </row>
    <row r="4" spans="1:8" x14ac:dyDescent="0.35">
      <c r="A4">
        <v>1</v>
      </c>
      <c r="B4">
        <v>3</v>
      </c>
      <c r="C4" t="s">
        <v>230</v>
      </c>
      <c r="D4" s="4">
        <v>200</v>
      </c>
      <c r="E4" s="4">
        <v>500</v>
      </c>
      <c r="F4" s="4">
        <v>1000</v>
      </c>
      <c r="H4" s="4">
        <v>340</v>
      </c>
    </row>
    <row r="5" spans="1:8" x14ac:dyDescent="0.35">
      <c r="A5">
        <v>1</v>
      </c>
      <c r="B5">
        <v>4</v>
      </c>
      <c r="C5" t="s">
        <v>231</v>
      </c>
      <c r="D5" s="4">
        <v>0.5</v>
      </c>
      <c r="E5" s="4">
        <v>1</v>
      </c>
      <c r="F5" s="4">
        <v>2</v>
      </c>
      <c r="H5" s="4">
        <v>1.9</v>
      </c>
    </row>
    <row r="6" spans="1:8" x14ac:dyDescent="0.35">
      <c r="A6">
        <v>1</v>
      </c>
      <c r="B6">
        <v>5</v>
      </c>
      <c r="C6" t="s">
        <v>232</v>
      </c>
      <c r="D6" s="4">
        <v>0</v>
      </c>
      <c r="E6" s="4">
        <v>20</v>
      </c>
      <c r="F6" s="4">
        <v>50</v>
      </c>
      <c r="H6" s="4">
        <v>70</v>
      </c>
    </row>
    <row r="7" spans="1:8" x14ac:dyDescent="0.35">
      <c r="A7">
        <v>1</v>
      </c>
      <c r="B7">
        <v>6</v>
      </c>
      <c r="C7" t="s">
        <v>233</v>
      </c>
      <c r="D7" s="4">
        <v>4</v>
      </c>
      <c r="E7" s="4">
        <v>5</v>
      </c>
      <c r="F7" s="4">
        <v>7</v>
      </c>
      <c r="H7" s="4">
        <v>-5</v>
      </c>
    </row>
    <row r="8" spans="1:8" x14ac:dyDescent="0.35">
      <c r="A8">
        <v>1</v>
      </c>
      <c r="B8">
        <v>7</v>
      </c>
      <c r="C8" t="s">
        <v>234</v>
      </c>
      <c r="D8" s="4">
        <v>3</v>
      </c>
      <c r="E8" s="4">
        <v>6</v>
      </c>
      <c r="F8" s="4">
        <v>20</v>
      </c>
      <c r="H8" s="4">
        <v>4.5999999999999996</v>
      </c>
    </row>
    <row r="9" spans="1:8" x14ac:dyDescent="0.35">
      <c r="A9">
        <v>1</v>
      </c>
      <c r="B9">
        <v>8</v>
      </c>
      <c r="C9" t="s">
        <v>235</v>
      </c>
      <c r="D9" s="4">
        <v>100</v>
      </c>
      <c r="E9" s="4">
        <v>300</v>
      </c>
      <c r="F9" s="4">
        <v>1000</v>
      </c>
      <c r="H9" s="4">
        <v>330</v>
      </c>
    </row>
    <row r="10" spans="1:8" x14ac:dyDescent="0.35">
      <c r="A10">
        <v>1</v>
      </c>
      <c r="B10">
        <v>9</v>
      </c>
      <c r="C10" t="s">
        <v>69</v>
      </c>
      <c r="D10" s="4">
        <v>-1</v>
      </c>
      <c r="E10" s="4">
        <v>-0.25</v>
      </c>
      <c r="F10" s="4">
        <v>-0.1</v>
      </c>
      <c r="H10" s="4">
        <v>-2.645</v>
      </c>
    </row>
    <row r="11" spans="1:8" x14ac:dyDescent="0.35">
      <c r="A11">
        <v>1</v>
      </c>
      <c r="B11">
        <v>10</v>
      </c>
      <c r="C11" t="s">
        <v>70</v>
      </c>
      <c r="D11" s="4">
        <v>70</v>
      </c>
      <c r="E11" s="4">
        <v>100</v>
      </c>
      <c r="F11" s="4">
        <v>150</v>
      </c>
      <c r="H11" s="4">
        <v>100.83</v>
      </c>
    </row>
    <row r="12" spans="1:8" x14ac:dyDescent="0.35">
      <c r="A12">
        <v>1</v>
      </c>
      <c r="B12">
        <v>11</v>
      </c>
      <c r="C12" t="s">
        <v>72</v>
      </c>
      <c r="D12" s="4">
        <v>70</v>
      </c>
      <c r="E12" s="4">
        <v>100</v>
      </c>
      <c r="F12" s="4">
        <v>150</v>
      </c>
      <c r="H12" s="4">
        <v>88.7</v>
      </c>
    </row>
    <row r="13" spans="1:8" x14ac:dyDescent="0.35">
      <c r="A13">
        <v>2</v>
      </c>
      <c r="B13">
        <v>1</v>
      </c>
      <c r="C13" t="s">
        <v>228</v>
      </c>
      <c r="D13" s="4">
        <v>40</v>
      </c>
      <c r="E13" s="4">
        <v>45</v>
      </c>
      <c r="F13" s="4">
        <v>50</v>
      </c>
    </row>
    <row r="14" spans="1:8" x14ac:dyDescent="0.35">
      <c r="A14">
        <v>2</v>
      </c>
      <c r="B14">
        <v>2</v>
      </c>
      <c r="C14" t="s">
        <v>229</v>
      </c>
      <c r="D14" s="4">
        <v>200</v>
      </c>
      <c r="E14" s="4">
        <v>300</v>
      </c>
      <c r="F14" s="4">
        <v>500</v>
      </c>
    </row>
    <row r="15" spans="1:8" x14ac:dyDescent="0.35">
      <c r="A15">
        <v>2</v>
      </c>
      <c r="B15">
        <v>3</v>
      </c>
      <c r="C15" t="s">
        <v>230</v>
      </c>
      <c r="D15" s="4">
        <v>500</v>
      </c>
      <c r="E15" s="4">
        <v>1000</v>
      </c>
      <c r="F15" s="4">
        <v>1500</v>
      </c>
    </row>
    <row r="16" spans="1:8" x14ac:dyDescent="0.35">
      <c r="A16">
        <v>2</v>
      </c>
      <c r="B16">
        <v>4</v>
      </c>
      <c r="C16" t="s">
        <v>231</v>
      </c>
      <c r="D16" s="4">
        <v>0.5</v>
      </c>
      <c r="E16" s="4">
        <v>1</v>
      </c>
      <c r="F16" s="4">
        <v>1.5</v>
      </c>
    </row>
    <row r="17" spans="1:6" x14ac:dyDescent="0.35">
      <c r="A17">
        <v>2</v>
      </c>
      <c r="B17">
        <v>5</v>
      </c>
      <c r="C17" t="s">
        <v>232</v>
      </c>
      <c r="D17" s="4">
        <v>100</v>
      </c>
      <c r="E17" s="4">
        <v>200</v>
      </c>
      <c r="F17" s="4">
        <v>400</v>
      </c>
    </row>
    <row r="18" spans="1:6" x14ac:dyDescent="0.35">
      <c r="A18">
        <v>2</v>
      </c>
      <c r="B18">
        <v>6</v>
      </c>
      <c r="C18" t="s">
        <v>233</v>
      </c>
      <c r="D18" s="4">
        <v>0</v>
      </c>
      <c r="E18" s="4">
        <v>0.3</v>
      </c>
      <c r="F18" s="4">
        <v>0.5</v>
      </c>
    </row>
    <row r="19" spans="1:6" x14ac:dyDescent="0.35">
      <c r="A19">
        <v>2</v>
      </c>
      <c r="B19">
        <v>7</v>
      </c>
      <c r="C19" t="s">
        <v>234</v>
      </c>
      <c r="D19" s="4">
        <v>5</v>
      </c>
      <c r="E19" s="4">
        <v>20</v>
      </c>
      <c r="F19" s="4">
        <v>50</v>
      </c>
    </row>
    <row r="20" spans="1:6" x14ac:dyDescent="0.35">
      <c r="A20">
        <v>2</v>
      </c>
      <c r="B20">
        <v>8</v>
      </c>
      <c r="C20" t="s">
        <v>235</v>
      </c>
      <c r="D20" s="4">
        <v>500</v>
      </c>
      <c r="E20" s="4">
        <v>1000</v>
      </c>
      <c r="F20" s="4">
        <v>2000</v>
      </c>
    </row>
    <row r="21" spans="1:6" x14ac:dyDescent="0.35">
      <c r="A21">
        <v>2</v>
      </c>
      <c r="B21">
        <v>9</v>
      </c>
      <c r="C21" t="s">
        <v>69</v>
      </c>
      <c r="D21" s="4">
        <v>-2.5</v>
      </c>
      <c r="E21" s="4">
        <v>-1.5</v>
      </c>
      <c r="F21" s="4">
        <v>-0.5</v>
      </c>
    </row>
    <row r="22" spans="1:6" x14ac:dyDescent="0.35">
      <c r="A22">
        <v>2</v>
      </c>
      <c r="B22">
        <v>10</v>
      </c>
      <c r="C22" t="s">
        <v>70</v>
      </c>
      <c r="D22" s="4">
        <v>75</v>
      </c>
      <c r="E22" s="4">
        <v>100</v>
      </c>
      <c r="F22" s="4">
        <v>125</v>
      </c>
    </row>
    <row r="23" spans="1:6" x14ac:dyDescent="0.35">
      <c r="A23">
        <v>2</v>
      </c>
      <c r="B23">
        <v>11</v>
      </c>
      <c r="C23" t="s">
        <v>72</v>
      </c>
      <c r="D23" s="4">
        <v>75</v>
      </c>
      <c r="E23" s="4">
        <v>100</v>
      </c>
      <c r="F23" s="4">
        <v>125</v>
      </c>
    </row>
    <row r="24" spans="1:6" x14ac:dyDescent="0.35">
      <c r="A24">
        <v>3</v>
      </c>
      <c r="B24">
        <v>1</v>
      </c>
      <c r="C24" t="s">
        <v>228</v>
      </c>
      <c r="D24" s="4">
        <v>30</v>
      </c>
      <c r="E24" s="4">
        <v>100</v>
      </c>
      <c r="F24" s="4">
        <v>200</v>
      </c>
    </row>
    <row r="25" spans="1:6" x14ac:dyDescent="0.35">
      <c r="A25">
        <v>3</v>
      </c>
      <c r="B25">
        <v>2</v>
      </c>
      <c r="C25" t="s">
        <v>229</v>
      </c>
      <c r="D25" s="4">
        <v>350</v>
      </c>
      <c r="E25" s="4">
        <v>500</v>
      </c>
      <c r="F25" s="4">
        <v>600</v>
      </c>
    </row>
    <row r="26" spans="1:6" x14ac:dyDescent="0.35">
      <c r="A26">
        <v>3</v>
      </c>
      <c r="B26">
        <v>3</v>
      </c>
      <c r="C26" t="s">
        <v>230</v>
      </c>
      <c r="D26" s="4">
        <v>2000</v>
      </c>
      <c r="E26" s="4">
        <v>5000</v>
      </c>
      <c r="F26" s="4">
        <v>20000</v>
      </c>
    </row>
    <row r="27" spans="1:6" x14ac:dyDescent="0.35">
      <c r="A27">
        <v>3</v>
      </c>
      <c r="B27">
        <v>4</v>
      </c>
      <c r="C27" t="s">
        <v>231</v>
      </c>
      <c r="D27" s="4">
        <v>1</v>
      </c>
      <c r="E27" s="4">
        <v>1.2</v>
      </c>
      <c r="F27" s="4">
        <v>1.5</v>
      </c>
    </row>
    <row r="28" spans="1:6" x14ac:dyDescent="0.35">
      <c r="A28">
        <v>3</v>
      </c>
      <c r="B28">
        <v>5</v>
      </c>
      <c r="C28" t="s">
        <v>232</v>
      </c>
      <c r="D28" s="4">
        <v>100</v>
      </c>
      <c r="E28" s="4">
        <v>1000</v>
      </c>
      <c r="F28" s="4">
        <v>2000</v>
      </c>
    </row>
    <row r="29" spans="1:6" x14ac:dyDescent="0.35">
      <c r="A29">
        <v>3</v>
      </c>
      <c r="B29">
        <v>6</v>
      </c>
      <c r="C29" t="s">
        <v>233</v>
      </c>
      <c r="D29" s="4">
        <v>-10</v>
      </c>
      <c r="E29" s="4">
        <v>-5</v>
      </c>
      <c r="F29" s="4">
        <v>-3</v>
      </c>
    </row>
    <row r="30" spans="1:6" x14ac:dyDescent="0.35">
      <c r="A30">
        <v>3</v>
      </c>
      <c r="B30">
        <v>7</v>
      </c>
      <c r="C30" t="s">
        <v>234</v>
      </c>
      <c r="D30" s="4">
        <v>1</v>
      </c>
      <c r="E30" s="4">
        <v>2</v>
      </c>
      <c r="F30" s="4">
        <v>20</v>
      </c>
    </row>
    <row r="31" spans="1:6" x14ac:dyDescent="0.35">
      <c r="A31">
        <v>3</v>
      </c>
      <c r="B31">
        <v>8</v>
      </c>
      <c r="C31" t="s">
        <v>235</v>
      </c>
      <c r="D31" s="4">
        <v>100</v>
      </c>
      <c r="E31" s="4">
        <v>200</v>
      </c>
      <c r="F31" s="4">
        <v>500</v>
      </c>
    </row>
    <row r="32" spans="1:6" x14ac:dyDescent="0.35">
      <c r="A32">
        <v>3</v>
      </c>
      <c r="B32">
        <v>9</v>
      </c>
      <c r="C32" t="s">
        <v>69</v>
      </c>
      <c r="D32" s="4">
        <v>-10</v>
      </c>
      <c r="E32" s="4">
        <v>0</v>
      </c>
      <c r="F32" s="4">
        <v>10</v>
      </c>
    </row>
    <row r="33" spans="1:6" x14ac:dyDescent="0.35">
      <c r="A33">
        <v>3</v>
      </c>
      <c r="B33">
        <v>10</v>
      </c>
      <c r="C33" t="s">
        <v>70</v>
      </c>
      <c r="D33" s="4">
        <v>90</v>
      </c>
      <c r="E33" s="4">
        <v>100</v>
      </c>
      <c r="F33" s="4">
        <v>110</v>
      </c>
    </row>
    <row r="34" spans="1:6" x14ac:dyDescent="0.35">
      <c r="A34">
        <v>3</v>
      </c>
      <c r="B34">
        <v>11</v>
      </c>
      <c r="C34" t="s">
        <v>72</v>
      </c>
      <c r="D34" s="4">
        <v>75</v>
      </c>
      <c r="E34" s="4">
        <v>85</v>
      </c>
      <c r="F34" s="4">
        <v>95</v>
      </c>
    </row>
    <row r="35" spans="1:6" x14ac:dyDescent="0.35">
      <c r="A35">
        <v>4</v>
      </c>
      <c r="B35">
        <v>1</v>
      </c>
      <c r="C35" t="s">
        <v>228</v>
      </c>
      <c r="D35" s="4">
        <v>10</v>
      </c>
      <c r="E35" s="4">
        <v>40</v>
      </c>
      <c r="F35" s="4">
        <v>80</v>
      </c>
    </row>
    <row r="36" spans="1:6" x14ac:dyDescent="0.35">
      <c r="A36">
        <v>4</v>
      </c>
      <c r="B36">
        <v>2</v>
      </c>
      <c r="C36" t="s">
        <v>229</v>
      </c>
      <c r="D36" s="4">
        <v>2</v>
      </c>
      <c r="E36" s="4">
        <v>10</v>
      </c>
      <c r="F36" s="4">
        <v>20</v>
      </c>
    </row>
    <row r="37" spans="1:6" x14ac:dyDescent="0.35">
      <c r="A37">
        <v>4</v>
      </c>
      <c r="B37">
        <v>3</v>
      </c>
      <c r="C37" t="s">
        <v>230</v>
      </c>
      <c r="D37" s="4">
        <v>50</v>
      </c>
      <c r="E37" s="4">
        <v>100</v>
      </c>
      <c r="F37" s="4">
        <v>200</v>
      </c>
    </row>
    <row r="38" spans="1:6" x14ac:dyDescent="0.35">
      <c r="A38">
        <v>4</v>
      </c>
      <c r="B38">
        <v>4</v>
      </c>
      <c r="C38" t="s">
        <v>231</v>
      </c>
      <c r="D38" s="4">
        <v>0.1</v>
      </c>
      <c r="E38" s="4">
        <v>0.2</v>
      </c>
      <c r="F38" s="4">
        <v>0.4</v>
      </c>
    </row>
    <row r="39" spans="1:6" x14ac:dyDescent="0.35">
      <c r="A39">
        <v>4</v>
      </c>
      <c r="B39">
        <v>5</v>
      </c>
      <c r="C39" t="s">
        <v>232</v>
      </c>
      <c r="D39" s="4">
        <v>0.5</v>
      </c>
      <c r="E39" s="4">
        <v>5</v>
      </c>
      <c r="F39" s="4">
        <v>10</v>
      </c>
    </row>
    <row r="40" spans="1:6" x14ac:dyDescent="0.35">
      <c r="A40">
        <v>4</v>
      </c>
      <c r="B40">
        <v>6</v>
      </c>
      <c r="C40" t="s">
        <v>233</v>
      </c>
      <c r="D40" s="4">
        <v>-1</v>
      </c>
      <c r="E40" s="4">
        <v>0.5</v>
      </c>
      <c r="F40" s="4">
        <v>1</v>
      </c>
    </row>
    <row r="41" spans="1:6" x14ac:dyDescent="0.35">
      <c r="A41">
        <v>4</v>
      </c>
      <c r="B41">
        <v>7</v>
      </c>
      <c r="C41" t="s">
        <v>234</v>
      </c>
      <c r="D41" s="4">
        <v>1</v>
      </c>
      <c r="E41" s="4">
        <v>10</v>
      </c>
      <c r="F41" s="4">
        <v>20</v>
      </c>
    </row>
    <row r="42" spans="1:6" x14ac:dyDescent="0.35">
      <c r="A42">
        <v>4</v>
      </c>
      <c r="B42">
        <v>8</v>
      </c>
      <c r="C42" t="s">
        <v>235</v>
      </c>
      <c r="D42" s="4">
        <v>10</v>
      </c>
      <c r="E42" s="4">
        <v>50</v>
      </c>
      <c r="F42" s="4">
        <v>100</v>
      </c>
    </row>
    <row r="43" spans="1:6" x14ac:dyDescent="0.35">
      <c r="A43">
        <v>4</v>
      </c>
      <c r="B43">
        <v>9</v>
      </c>
      <c r="C43" t="s">
        <v>69</v>
      </c>
      <c r="D43" s="4">
        <v>-0.1</v>
      </c>
      <c r="E43" s="4">
        <v>-0.01</v>
      </c>
      <c r="F43" s="4">
        <v>0</v>
      </c>
    </row>
    <row r="44" spans="1:6" x14ac:dyDescent="0.35">
      <c r="A44">
        <v>4</v>
      </c>
      <c r="B44">
        <v>10</v>
      </c>
      <c r="C44" t="s">
        <v>70</v>
      </c>
      <c r="D44" s="4">
        <v>80</v>
      </c>
      <c r="E44" s="4">
        <v>90</v>
      </c>
      <c r="F44" s="4">
        <v>99</v>
      </c>
    </row>
    <row r="45" spans="1:6" x14ac:dyDescent="0.35">
      <c r="A45">
        <v>4</v>
      </c>
      <c r="B45">
        <v>11</v>
      </c>
      <c r="C45" t="s">
        <v>72</v>
      </c>
      <c r="D45" s="4">
        <v>70</v>
      </c>
      <c r="E45" s="4">
        <v>90</v>
      </c>
      <c r="F45" s="4">
        <v>99</v>
      </c>
    </row>
    <row r="46" spans="1:6" x14ac:dyDescent="0.35">
      <c r="A46">
        <v>5</v>
      </c>
      <c r="B46">
        <v>1</v>
      </c>
      <c r="C46" t="s">
        <v>228</v>
      </c>
      <c r="D46" s="4">
        <v>50</v>
      </c>
      <c r="E46" s="4">
        <v>80</v>
      </c>
      <c r="F46" s="4">
        <v>95</v>
      </c>
    </row>
    <row r="47" spans="1:6" x14ac:dyDescent="0.35">
      <c r="A47">
        <v>5</v>
      </c>
      <c r="B47">
        <v>2</v>
      </c>
      <c r="C47" t="s">
        <v>229</v>
      </c>
      <c r="D47" s="4">
        <v>150</v>
      </c>
      <c r="E47" s="4">
        <v>180</v>
      </c>
      <c r="F47" s="4">
        <v>250</v>
      </c>
    </row>
    <row r="48" spans="1:6" x14ac:dyDescent="0.35">
      <c r="A48">
        <v>5</v>
      </c>
      <c r="B48">
        <v>3</v>
      </c>
      <c r="C48" t="s">
        <v>230</v>
      </c>
      <c r="D48" s="4">
        <v>400</v>
      </c>
      <c r="E48" s="4">
        <v>500</v>
      </c>
      <c r="F48" s="4">
        <v>800</v>
      </c>
    </row>
    <row r="49" spans="1:6" x14ac:dyDescent="0.35">
      <c r="A49">
        <v>5</v>
      </c>
      <c r="B49">
        <v>4</v>
      </c>
      <c r="C49" t="s">
        <v>231</v>
      </c>
      <c r="D49" s="4">
        <v>2</v>
      </c>
      <c r="E49" s="4">
        <v>4</v>
      </c>
      <c r="F49" s="4">
        <v>7</v>
      </c>
    </row>
    <row r="50" spans="1:6" x14ac:dyDescent="0.35">
      <c r="A50">
        <v>5</v>
      </c>
      <c r="B50">
        <v>5</v>
      </c>
      <c r="C50" t="s">
        <v>232</v>
      </c>
      <c r="D50" s="4">
        <v>200</v>
      </c>
      <c r="E50" s="4">
        <v>500</v>
      </c>
      <c r="F50" s="4">
        <v>800</v>
      </c>
    </row>
    <row r="51" spans="1:6" x14ac:dyDescent="0.35">
      <c r="A51">
        <v>5</v>
      </c>
      <c r="B51">
        <v>6</v>
      </c>
      <c r="C51" t="s">
        <v>233</v>
      </c>
      <c r="D51" s="4">
        <v>-4</v>
      </c>
      <c r="E51" s="4">
        <v>-2</v>
      </c>
      <c r="F51" s="4">
        <v>2</v>
      </c>
    </row>
    <row r="52" spans="1:6" x14ac:dyDescent="0.35">
      <c r="A52">
        <v>5</v>
      </c>
      <c r="B52">
        <v>7</v>
      </c>
      <c r="C52" t="s">
        <v>234</v>
      </c>
      <c r="D52" s="4">
        <v>0</v>
      </c>
      <c r="E52" s="4">
        <v>4</v>
      </c>
      <c r="F52" s="4">
        <v>30</v>
      </c>
    </row>
    <row r="53" spans="1:6" x14ac:dyDescent="0.35">
      <c r="A53">
        <v>5</v>
      </c>
      <c r="B53">
        <v>8</v>
      </c>
      <c r="C53" t="s">
        <v>235</v>
      </c>
      <c r="D53" s="4">
        <v>50</v>
      </c>
      <c r="E53" s="4">
        <v>100</v>
      </c>
      <c r="F53" s="4">
        <v>200</v>
      </c>
    </row>
    <row r="54" spans="1:6" x14ac:dyDescent="0.35">
      <c r="A54">
        <v>5</v>
      </c>
      <c r="B54">
        <v>9</v>
      </c>
      <c r="C54" t="s">
        <v>69</v>
      </c>
      <c r="D54" s="4">
        <v>-0.6</v>
      </c>
      <c r="E54" s="4">
        <v>-0.3</v>
      </c>
      <c r="F54" s="4">
        <v>-0.05</v>
      </c>
    </row>
    <row r="55" spans="1:6" x14ac:dyDescent="0.35">
      <c r="A55">
        <v>5</v>
      </c>
      <c r="B55">
        <v>10</v>
      </c>
      <c r="C55" t="s">
        <v>70</v>
      </c>
      <c r="D55" s="4">
        <v>70</v>
      </c>
      <c r="E55" s="4">
        <v>100</v>
      </c>
      <c r="F55" s="4">
        <v>130</v>
      </c>
    </row>
    <row r="56" spans="1:6" x14ac:dyDescent="0.35">
      <c r="A56">
        <v>5</v>
      </c>
      <c r="B56">
        <v>11</v>
      </c>
      <c r="C56" t="s">
        <v>72</v>
      </c>
      <c r="D56" s="4">
        <v>70</v>
      </c>
      <c r="E56" s="4">
        <v>100</v>
      </c>
      <c r="F56" s="4">
        <v>110</v>
      </c>
    </row>
    <row r="57" spans="1:6" x14ac:dyDescent="0.35">
      <c r="A57">
        <v>6</v>
      </c>
      <c r="B57">
        <v>1</v>
      </c>
      <c r="C57" t="s">
        <v>228</v>
      </c>
      <c r="D57" s="4">
        <v>10</v>
      </c>
      <c r="E57" s="4">
        <v>30</v>
      </c>
      <c r="F57" s="4">
        <v>150</v>
      </c>
    </row>
    <row r="58" spans="1:6" x14ac:dyDescent="0.35">
      <c r="A58">
        <v>6</v>
      </c>
      <c r="B58">
        <v>2</v>
      </c>
      <c r="C58" t="s">
        <v>229</v>
      </c>
      <c r="D58" s="4">
        <v>20</v>
      </c>
      <c r="E58" s="4">
        <v>100</v>
      </c>
      <c r="F58" s="4">
        <v>200</v>
      </c>
    </row>
    <row r="59" spans="1:6" x14ac:dyDescent="0.35">
      <c r="A59">
        <v>6</v>
      </c>
      <c r="B59">
        <v>3</v>
      </c>
      <c r="C59" t="s">
        <v>230</v>
      </c>
      <c r="D59" s="4">
        <v>500</v>
      </c>
      <c r="E59" s="4">
        <v>650</v>
      </c>
      <c r="F59" s="4">
        <v>1200</v>
      </c>
    </row>
    <row r="60" spans="1:6" x14ac:dyDescent="0.35">
      <c r="A60">
        <v>6</v>
      </c>
      <c r="B60">
        <v>4</v>
      </c>
      <c r="C60" t="s">
        <v>231</v>
      </c>
      <c r="D60" s="4">
        <v>1.2</v>
      </c>
      <c r="E60" s="4">
        <v>1.8</v>
      </c>
      <c r="F60" s="4">
        <v>2.5</v>
      </c>
    </row>
    <row r="61" spans="1:6" x14ac:dyDescent="0.35">
      <c r="A61">
        <v>6</v>
      </c>
      <c r="B61">
        <v>5</v>
      </c>
      <c r="C61" t="s">
        <v>232</v>
      </c>
      <c r="D61" s="4">
        <v>50</v>
      </c>
      <c r="E61" s="4">
        <v>70</v>
      </c>
      <c r="F61" s="4">
        <v>200</v>
      </c>
    </row>
    <row r="62" spans="1:6" x14ac:dyDescent="0.35">
      <c r="A62">
        <v>6</v>
      </c>
      <c r="B62">
        <v>6</v>
      </c>
      <c r="C62" t="s">
        <v>233</v>
      </c>
      <c r="D62" s="4">
        <v>-5</v>
      </c>
      <c r="E62" s="4">
        <v>-2</v>
      </c>
      <c r="F62" s="4">
        <v>0</v>
      </c>
    </row>
    <row r="63" spans="1:6" x14ac:dyDescent="0.35">
      <c r="A63">
        <v>6</v>
      </c>
      <c r="B63">
        <v>7</v>
      </c>
      <c r="C63" t="s">
        <v>234</v>
      </c>
      <c r="D63" s="4">
        <v>0.02</v>
      </c>
      <c r="E63" s="4">
        <v>0.1</v>
      </c>
      <c r="F63" s="4">
        <v>1</v>
      </c>
    </row>
    <row r="64" spans="1:6" x14ac:dyDescent="0.35">
      <c r="A64">
        <v>6</v>
      </c>
      <c r="B64">
        <v>8</v>
      </c>
      <c r="C64" t="s">
        <v>235</v>
      </c>
      <c r="D64" s="4">
        <v>5</v>
      </c>
      <c r="E64" s="4">
        <v>12</v>
      </c>
      <c r="F64" s="4">
        <v>30</v>
      </c>
    </row>
    <row r="65" spans="1:6" x14ac:dyDescent="0.35">
      <c r="A65">
        <v>6</v>
      </c>
      <c r="B65">
        <v>9</v>
      </c>
      <c r="C65" t="s">
        <v>69</v>
      </c>
      <c r="D65" s="4">
        <v>-0.1</v>
      </c>
      <c r="E65" s="4">
        <v>-0.05</v>
      </c>
      <c r="F65" s="4">
        <v>-0.02</v>
      </c>
    </row>
    <row r="66" spans="1:6" x14ac:dyDescent="0.35">
      <c r="A66">
        <v>6</v>
      </c>
      <c r="B66">
        <v>10</v>
      </c>
      <c r="C66" t="s">
        <v>70</v>
      </c>
      <c r="D66" s="4">
        <v>92</v>
      </c>
      <c r="E66" s="4">
        <v>100</v>
      </c>
      <c r="F66" s="4">
        <v>108</v>
      </c>
    </row>
    <row r="67" spans="1:6" x14ac:dyDescent="0.35">
      <c r="A67">
        <v>6</v>
      </c>
      <c r="B67">
        <v>11</v>
      </c>
      <c r="C67" t="s">
        <v>72</v>
      </c>
      <c r="D67" s="4">
        <v>90</v>
      </c>
      <c r="E67" s="4">
        <v>98</v>
      </c>
      <c r="F67" s="4">
        <v>110</v>
      </c>
    </row>
    <row r="68" spans="1:6" x14ac:dyDescent="0.35">
      <c r="A68">
        <v>7</v>
      </c>
      <c r="B68">
        <v>1</v>
      </c>
      <c r="C68" t="s">
        <v>228</v>
      </c>
      <c r="D68" s="4">
        <v>100</v>
      </c>
      <c r="E68" s="4">
        <v>200</v>
      </c>
      <c r="F68" s="4">
        <v>600</v>
      </c>
    </row>
    <row r="69" spans="1:6" x14ac:dyDescent="0.35">
      <c r="A69">
        <v>7</v>
      </c>
      <c r="B69">
        <v>2</v>
      </c>
      <c r="C69" t="s">
        <v>229</v>
      </c>
      <c r="D69" s="4">
        <v>50</v>
      </c>
      <c r="E69" s="4">
        <v>100</v>
      </c>
      <c r="F69" s="4">
        <v>500</v>
      </c>
    </row>
    <row r="70" spans="1:6" x14ac:dyDescent="0.35">
      <c r="A70">
        <v>7</v>
      </c>
      <c r="B70">
        <v>3</v>
      </c>
      <c r="C70" t="s">
        <v>230</v>
      </c>
      <c r="D70" s="4">
        <v>100</v>
      </c>
      <c r="E70" s="4">
        <v>400</v>
      </c>
      <c r="F70" s="4">
        <v>1000</v>
      </c>
    </row>
    <row r="71" spans="1:6" x14ac:dyDescent="0.35">
      <c r="A71">
        <v>7</v>
      </c>
      <c r="B71">
        <v>4</v>
      </c>
      <c r="C71" t="s">
        <v>231</v>
      </c>
      <c r="D71" s="4">
        <v>0.5</v>
      </c>
      <c r="E71" s="4">
        <v>0.9</v>
      </c>
      <c r="F71" s="4">
        <v>1.5</v>
      </c>
    </row>
    <row r="72" spans="1:6" x14ac:dyDescent="0.35">
      <c r="A72">
        <v>7</v>
      </c>
      <c r="B72">
        <v>5</v>
      </c>
      <c r="C72" t="s">
        <v>232</v>
      </c>
      <c r="D72" s="4">
        <v>1</v>
      </c>
      <c r="E72" s="4">
        <v>10</v>
      </c>
      <c r="F72" s="4">
        <v>200</v>
      </c>
    </row>
    <row r="73" spans="1:6" x14ac:dyDescent="0.35">
      <c r="A73">
        <v>7</v>
      </c>
      <c r="B73">
        <v>6</v>
      </c>
      <c r="C73" t="s">
        <v>233</v>
      </c>
      <c r="D73" s="4">
        <v>-2</v>
      </c>
      <c r="E73" s="4">
        <v>0</v>
      </c>
      <c r="F73" s="4">
        <v>2</v>
      </c>
    </row>
    <row r="74" spans="1:6" x14ac:dyDescent="0.35">
      <c r="A74">
        <v>7</v>
      </c>
      <c r="B74">
        <v>7</v>
      </c>
      <c r="C74" t="s">
        <v>234</v>
      </c>
      <c r="D74" s="4">
        <v>0</v>
      </c>
      <c r="E74" s="4">
        <v>10</v>
      </c>
      <c r="F74" s="4">
        <v>100</v>
      </c>
    </row>
    <row r="75" spans="1:6" x14ac:dyDescent="0.35">
      <c r="A75">
        <v>7</v>
      </c>
      <c r="B75">
        <v>8</v>
      </c>
      <c r="C75" t="s">
        <v>235</v>
      </c>
      <c r="D75" s="4">
        <v>100</v>
      </c>
      <c r="E75" s="4">
        <v>400</v>
      </c>
      <c r="F75" s="4">
        <v>1000</v>
      </c>
    </row>
    <row r="76" spans="1:6" x14ac:dyDescent="0.35">
      <c r="A76">
        <v>7</v>
      </c>
      <c r="B76">
        <v>9</v>
      </c>
      <c r="C76" t="s">
        <v>69</v>
      </c>
      <c r="D76" s="4">
        <v>-5</v>
      </c>
      <c r="E76" s="4">
        <v>-0.5</v>
      </c>
      <c r="F76" s="4">
        <v>2</v>
      </c>
    </row>
    <row r="77" spans="1:6" x14ac:dyDescent="0.35">
      <c r="A77">
        <v>7</v>
      </c>
      <c r="B77">
        <v>10</v>
      </c>
      <c r="C77" t="s">
        <v>70</v>
      </c>
      <c r="D77" s="4">
        <v>80</v>
      </c>
      <c r="E77" s="4">
        <v>90</v>
      </c>
      <c r="F77" s="4">
        <v>120</v>
      </c>
    </row>
    <row r="78" spans="1:6" x14ac:dyDescent="0.35">
      <c r="A78">
        <v>7</v>
      </c>
      <c r="B78">
        <v>11</v>
      </c>
      <c r="C78" t="s">
        <v>72</v>
      </c>
      <c r="D78" s="4">
        <v>80</v>
      </c>
      <c r="E78" s="4">
        <v>90</v>
      </c>
      <c r="F78" s="4">
        <v>120</v>
      </c>
    </row>
    <row r="79" spans="1:6" x14ac:dyDescent="0.35">
      <c r="A79">
        <v>8</v>
      </c>
      <c r="B79">
        <v>1</v>
      </c>
      <c r="C79" t="s">
        <v>228</v>
      </c>
      <c r="D79" s="4">
        <v>10</v>
      </c>
      <c r="E79" s="4">
        <v>30</v>
      </c>
      <c r="F79" s="4">
        <v>50</v>
      </c>
    </row>
    <row r="80" spans="1:6" x14ac:dyDescent="0.35">
      <c r="A80">
        <v>8</v>
      </c>
      <c r="B80">
        <v>2</v>
      </c>
      <c r="C80" t="s">
        <v>229</v>
      </c>
      <c r="D80" s="4">
        <v>100</v>
      </c>
      <c r="E80" s="4">
        <v>200</v>
      </c>
      <c r="F80" s="4">
        <v>400</v>
      </c>
    </row>
    <row r="81" spans="1:6" x14ac:dyDescent="0.35">
      <c r="A81">
        <v>8</v>
      </c>
      <c r="B81">
        <v>3</v>
      </c>
      <c r="C81" t="s">
        <v>230</v>
      </c>
      <c r="D81" s="4">
        <v>200</v>
      </c>
      <c r="E81" s="4">
        <v>500</v>
      </c>
      <c r="F81" s="4">
        <v>1000</v>
      </c>
    </row>
    <row r="82" spans="1:6" x14ac:dyDescent="0.35">
      <c r="A82">
        <v>8</v>
      </c>
      <c r="B82">
        <v>4</v>
      </c>
      <c r="C82" t="s">
        <v>231</v>
      </c>
      <c r="D82" s="4">
        <v>1</v>
      </c>
      <c r="E82" s="4">
        <v>1.2</v>
      </c>
      <c r="F82" s="4">
        <v>2</v>
      </c>
    </row>
    <row r="83" spans="1:6" x14ac:dyDescent="0.35">
      <c r="A83">
        <v>8</v>
      </c>
      <c r="B83">
        <v>5</v>
      </c>
      <c r="C83" t="s">
        <v>232</v>
      </c>
      <c r="D83" s="4">
        <v>100</v>
      </c>
      <c r="E83" s="4">
        <v>500</v>
      </c>
      <c r="F83" s="4">
        <v>1000</v>
      </c>
    </row>
    <row r="84" spans="1:6" x14ac:dyDescent="0.35">
      <c r="A84">
        <v>8</v>
      </c>
      <c r="B84">
        <v>6</v>
      </c>
      <c r="C84" t="s">
        <v>233</v>
      </c>
      <c r="D84" s="4">
        <v>3</v>
      </c>
      <c r="E84" s="4">
        <v>4</v>
      </c>
      <c r="F84" s="4">
        <v>6</v>
      </c>
    </row>
    <row r="85" spans="1:6" x14ac:dyDescent="0.35">
      <c r="A85">
        <v>8</v>
      </c>
      <c r="B85">
        <v>7</v>
      </c>
      <c r="C85" t="s">
        <v>234</v>
      </c>
      <c r="D85" s="4">
        <v>0.5</v>
      </c>
      <c r="E85" s="4">
        <v>20</v>
      </c>
      <c r="F85" s="4">
        <v>100</v>
      </c>
    </row>
    <row r="86" spans="1:6" x14ac:dyDescent="0.35">
      <c r="A86">
        <v>8</v>
      </c>
      <c r="B86">
        <v>8</v>
      </c>
      <c r="C86" t="s">
        <v>235</v>
      </c>
      <c r="D86" s="4">
        <v>20</v>
      </c>
      <c r="E86" s="4">
        <v>50</v>
      </c>
      <c r="F86" s="4">
        <v>200</v>
      </c>
    </row>
    <row r="87" spans="1:6" x14ac:dyDescent="0.35">
      <c r="A87">
        <v>8</v>
      </c>
      <c r="B87">
        <v>9</v>
      </c>
      <c r="C87" t="s">
        <v>69</v>
      </c>
      <c r="D87" s="4">
        <v>-5</v>
      </c>
      <c r="E87" s="4">
        <v>-1</v>
      </c>
      <c r="F87" s="4">
        <v>0</v>
      </c>
    </row>
    <row r="88" spans="1:6" x14ac:dyDescent="0.35">
      <c r="A88">
        <v>8</v>
      </c>
      <c r="B88">
        <v>10</v>
      </c>
      <c r="C88" t="s">
        <v>70</v>
      </c>
      <c r="D88" s="4">
        <v>101</v>
      </c>
      <c r="E88" s="4">
        <v>110</v>
      </c>
      <c r="F88" s="4">
        <v>150</v>
      </c>
    </row>
    <row r="89" spans="1:6" x14ac:dyDescent="0.35">
      <c r="A89">
        <v>8</v>
      </c>
      <c r="B89">
        <v>11</v>
      </c>
      <c r="C89" t="s">
        <v>72</v>
      </c>
      <c r="D89" s="4">
        <v>50</v>
      </c>
      <c r="E89" s="4">
        <v>75</v>
      </c>
      <c r="F89" s="4">
        <v>85</v>
      </c>
    </row>
    <row r="90" spans="1:6" x14ac:dyDescent="0.35">
      <c r="A90">
        <v>9</v>
      </c>
      <c r="B90">
        <v>1</v>
      </c>
      <c r="C90" t="s">
        <v>228</v>
      </c>
      <c r="D90" s="4">
        <v>50</v>
      </c>
      <c r="E90" s="4">
        <v>100</v>
      </c>
      <c r="F90" s="4">
        <v>300</v>
      </c>
    </row>
    <row r="91" spans="1:6" x14ac:dyDescent="0.35">
      <c r="A91">
        <v>9</v>
      </c>
      <c r="B91">
        <v>2</v>
      </c>
      <c r="C91" t="s">
        <v>229</v>
      </c>
      <c r="D91" s="4">
        <v>100</v>
      </c>
      <c r="E91" s="4">
        <v>200</v>
      </c>
      <c r="F91" s="4">
        <v>300</v>
      </c>
    </row>
    <row r="92" spans="1:6" x14ac:dyDescent="0.35">
      <c r="A92">
        <v>9</v>
      </c>
      <c r="B92">
        <v>3</v>
      </c>
      <c r="C92" t="s">
        <v>230</v>
      </c>
      <c r="D92" s="4">
        <v>200</v>
      </c>
      <c r="E92" s="4">
        <v>1000</v>
      </c>
      <c r="F92" s="4">
        <v>2000</v>
      </c>
    </row>
    <row r="93" spans="1:6" x14ac:dyDescent="0.35">
      <c r="A93">
        <v>9</v>
      </c>
      <c r="B93">
        <v>4</v>
      </c>
      <c r="C93" t="s">
        <v>231</v>
      </c>
      <c r="D93" s="4">
        <v>0.8</v>
      </c>
      <c r="E93" s="4">
        <v>1.3</v>
      </c>
      <c r="F93" s="4">
        <v>2</v>
      </c>
    </row>
    <row r="94" spans="1:6" x14ac:dyDescent="0.35">
      <c r="A94">
        <v>9</v>
      </c>
      <c r="B94">
        <v>5</v>
      </c>
      <c r="C94" t="s">
        <v>232</v>
      </c>
      <c r="D94" s="4">
        <v>100</v>
      </c>
      <c r="E94" s="4">
        <v>200</v>
      </c>
      <c r="F94" s="4">
        <v>300</v>
      </c>
    </row>
    <row r="95" spans="1:6" x14ac:dyDescent="0.35">
      <c r="A95">
        <v>9</v>
      </c>
      <c r="B95">
        <v>6</v>
      </c>
      <c r="C95" t="s">
        <v>233</v>
      </c>
      <c r="D95" s="4">
        <v>4.5999999999999996</v>
      </c>
      <c r="E95" s="4">
        <v>6</v>
      </c>
      <c r="F95" s="4">
        <v>7</v>
      </c>
    </row>
    <row r="96" spans="1:6" x14ac:dyDescent="0.35">
      <c r="A96">
        <v>9</v>
      </c>
      <c r="B96">
        <v>7</v>
      </c>
      <c r="C96" t="s">
        <v>234</v>
      </c>
      <c r="D96" s="4">
        <v>0.7</v>
      </c>
      <c r="E96" s="4">
        <v>8</v>
      </c>
      <c r="F96" s="4">
        <v>10</v>
      </c>
    </row>
    <row r="97" spans="1:6" x14ac:dyDescent="0.35">
      <c r="A97">
        <v>9</v>
      </c>
      <c r="B97">
        <v>8</v>
      </c>
      <c r="C97" t="s">
        <v>235</v>
      </c>
      <c r="D97" s="4">
        <v>150</v>
      </c>
      <c r="E97" s="4">
        <v>200</v>
      </c>
      <c r="F97" s="4">
        <v>400</v>
      </c>
    </row>
    <row r="98" spans="1:6" x14ac:dyDescent="0.35">
      <c r="A98">
        <v>9</v>
      </c>
      <c r="B98">
        <v>9</v>
      </c>
      <c r="C98" t="s">
        <v>69</v>
      </c>
      <c r="D98" s="4">
        <v>-5</v>
      </c>
      <c r="E98" s="4">
        <v>-2</v>
      </c>
      <c r="F98" s="4">
        <v>0</v>
      </c>
    </row>
    <row r="99" spans="1:6" x14ac:dyDescent="0.35">
      <c r="A99">
        <v>9</v>
      </c>
      <c r="B99">
        <v>10</v>
      </c>
      <c r="C99" t="s">
        <v>70</v>
      </c>
      <c r="D99" s="4">
        <v>90</v>
      </c>
      <c r="E99" s="4">
        <v>110</v>
      </c>
      <c r="F99" s="4">
        <v>120</v>
      </c>
    </row>
    <row r="100" spans="1:6" x14ac:dyDescent="0.35">
      <c r="A100">
        <v>9</v>
      </c>
      <c r="B100">
        <v>11</v>
      </c>
      <c r="C100" t="s">
        <v>72</v>
      </c>
      <c r="D100" s="4">
        <v>60</v>
      </c>
      <c r="E100" s="4">
        <v>75</v>
      </c>
      <c r="F100" s="4">
        <v>80</v>
      </c>
    </row>
    <row r="101" spans="1:6" x14ac:dyDescent="0.35">
      <c r="A101">
        <v>10</v>
      </c>
      <c r="B101">
        <v>1</v>
      </c>
      <c r="C101" t="s">
        <v>228</v>
      </c>
      <c r="D101" s="4">
        <v>30</v>
      </c>
      <c r="E101" s="4">
        <v>50</v>
      </c>
      <c r="F101" s="4">
        <v>80</v>
      </c>
    </row>
    <row r="102" spans="1:6" x14ac:dyDescent="0.35">
      <c r="A102">
        <v>10</v>
      </c>
      <c r="B102">
        <v>2</v>
      </c>
      <c r="C102" t="s">
        <v>229</v>
      </c>
      <c r="D102" s="4">
        <v>50</v>
      </c>
      <c r="E102" s="4">
        <v>100</v>
      </c>
      <c r="F102" s="4">
        <v>150</v>
      </c>
    </row>
    <row r="103" spans="1:6" x14ac:dyDescent="0.35">
      <c r="A103">
        <v>10</v>
      </c>
      <c r="B103">
        <v>3</v>
      </c>
      <c r="C103" t="s">
        <v>230</v>
      </c>
      <c r="D103" s="4">
        <v>100</v>
      </c>
      <c r="E103" s="4">
        <v>200</v>
      </c>
      <c r="F103" s="4">
        <v>300</v>
      </c>
    </row>
    <row r="104" spans="1:6" x14ac:dyDescent="0.35">
      <c r="A104">
        <v>10</v>
      </c>
      <c r="B104">
        <v>4</v>
      </c>
      <c r="C104" t="s">
        <v>231</v>
      </c>
      <c r="D104" s="4">
        <v>0.7</v>
      </c>
      <c r="E104" s="4">
        <v>1.4</v>
      </c>
      <c r="F104" s="4">
        <v>2.1</v>
      </c>
    </row>
    <row r="105" spans="1:6" x14ac:dyDescent="0.35">
      <c r="A105">
        <v>10</v>
      </c>
      <c r="B105">
        <v>5</v>
      </c>
      <c r="C105" t="s">
        <v>232</v>
      </c>
      <c r="D105" s="4">
        <v>80</v>
      </c>
      <c r="E105" s="4">
        <v>150</v>
      </c>
      <c r="F105" s="4">
        <v>240</v>
      </c>
    </row>
    <row r="106" spans="1:6" x14ac:dyDescent="0.35">
      <c r="A106">
        <v>10</v>
      </c>
      <c r="B106">
        <v>6</v>
      </c>
      <c r="C106" t="s">
        <v>233</v>
      </c>
      <c r="D106" s="4">
        <v>-0.5</v>
      </c>
      <c r="E106" s="4">
        <v>-0.1</v>
      </c>
      <c r="F106" s="4">
        <v>0.5</v>
      </c>
    </row>
    <row r="107" spans="1:6" x14ac:dyDescent="0.35">
      <c r="A107">
        <v>10</v>
      </c>
      <c r="B107">
        <v>7</v>
      </c>
      <c r="C107" t="s">
        <v>234</v>
      </c>
      <c r="D107" s="4">
        <v>1</v>
      </c>
      <c r="E107" s="4">
        <v>3</v>
      </c>
      <c r="F107" s="4">
        <v>6</v>
      </c>
    </row>
    <row r="108" spans="1:6" x14ac:dyDescent="0.35">
      <c r="A108">
        <v>10</v>
      </c>
      <c r="B108">
        <v>8</v>
      </c>
      <c r="C108" t="s">
        <v>235</v>
      </c>
      <c r="D108" s="4">
        <v>40</v>
      </c>
      <c r="E108" s="4">
        <v>90</v>
      </c>
      <c r="F108" s="4">
        <v>150</v>
      </c>
    </row>
    <row r="109" spans="1:6" x14ac:dyDescent="0.35">
      <c r="A109">
        <v>10</v>
      </c>
      <c r="B109">
        <v>9</v>
      </c>
      <c r="C109" t="s">
        <v>69</v>
      </c>
      <c r="D109" s="4">
        <v>-0.6</v>
      </c>
      <c r="E109" s="4">
        <v>-0.4</v>
      </c>
      <c r="F109" s="4">
        <v>-0.2</v>
      </c>
    </row>
    <row r="110" spans="1:6" x14ac:dyDescent="0.35">
      <c r="A110">
        <v>10</v>
      </c>
      <c r="B110">
        <v>10</v>
      </c>
      <c r="C110" t="s">
        <v>70</v>
      </c>
      <c r="D110" s="4">
        <v>75</v>
      </c>
      <c r="E110" s="4">
        <v>85</v>
      </c>
      <c r="F110" s="4">
        <v>95</v>
      </c>
    </row>
    <row r="111" spans="1:6" x14ac:dyDescent="0.35">
      <c r="A111">
        <v>10</v>
      </c>
      <c r="B111">
        <v>11</v>
      </c>
      <c r="C111" t="s">
        <v>72</v>
      </c>
      <c r="D111" s="4">
        <v>70</v>
      </c>
      <c r="E111" s="4">
        <v>80</v>
      </c>
      <c r="F111" s="4">
        <v>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57"/>
  <dimension ref="A1:H321"/>
  <sheetViews>
    <sheetView workbookViewId="0">
      <selection activeCell="K15" sqref="K15"/>
    </sheetView>
  </sheetViews>
  <sheetFormatPr defaultRowHeight="14.5" x14ac:dyDescent="0.35"/>
  <sheetData>
    <row r="1" spans="1:8" x14ac:dyDescent="0.35">
      <c r="A1" t="s">
        <v>287</v>
      </c>
      <c r="H1" t="s">
        <v>34</v>
      </c>
    </row>
    <row r="2" spans="1:8" x14ac:dyDescent="0.35">
      <c r="A2">
        <v>1</v>
      </c>
      <c r="B2">
        <v>1</v>
      </c>
      <c r="C2" t="s">
        <v>271</v>
      </c>
      <c r="D2" s="4">
        <v>-50</v>
      </c>
      <c r="E2" s="4">
        <v>0</v>
      </c>
      <c r="F2" s="12">
        <v>50</v>
      </c>
      <c r="H2" s="4">
        <v>8</v>
      </c>
    </row>
    <row r="3" spans="1:8" x14ac:dyDescent="0.35">
      <c r="A3">
        <v>1</v>
      </c>
      <c r="B3">
        <v>2</v>
      </c>
      <c r="C3" t="s">
        <v>272</v>
      </c>
      <c r="D3" s="4">
        <v>10</v>
      </c>
      <c r="E3" s="4">
        <v>200</v>
      </c>
      <c r="F3" s="12">
        <v>500</v>
      </c>
      <c r="H3" s="4">
        <v>-549.79999999999995</v>
      </c>
    </row>
    <row r="4" spans="1:8" x14ac:dyDescent="0.35">
      <c r="A4">
        <v>1</v>
      </c>
      <c r="B4">
        <v>3</v>
      </c>
      <c r="C4" t="s">
        <v>273</v>
      </c>
      <c r="D4" s="4">
        <v>0.1</v>
      </c>
      <c r="E4" s="4">
        <v>1</v>
      </c>
      <c r="F4" s="4">
        <v>2</v>
      </c>
      <c r="H4" s="4">
        <v>1.9</v>
      </c>
    </row>
    <row r="5" spans="1:8" x14ac:dyDescent="0.35">
      <c r="A5">
        <v>1</v>
      </c>
      <c r="B5">
        <v>4</v>
      </c>
      <c r="C5" t="s">
        <v>274</v>
      </c>
      <c r="D5" s="4">
        <v>-200</v>
      </c>
      <c r="E5" s="4">
        <v>-130</v>
      </c>
      <c r="F5" s="12">
        <v>-50</v>
      </c>
      <c r="H5" s="4">
        <v>-399.26</v>
      </c>
    </row>
    <row r="6" spans="1:8" x14ac:dyDescent="0.35">
      <c r="A6">
        <v>1</v>
      </c>
      <c r="B6">
        <v>5</v>
      </c>
      <c r="C6" t="s">
        <v>275</v>
      </c>
      <c r="D6" s="4">
        <v>10</v>
      </c>
      <c r="E6" s="4">
        <v>70</v>
      </c>
      <c r="F6" s="12">
        <v>100</v>
      </c>
      <c r="H6" s="4">
        <v>-155.922</v>
      </c>
    </row>
    <row r="7" spans="1:8" x14ac:dyDescent="0.35">
      <c r="A7">
        <v>1</v>
      </c>
      <c r="B7">
        <v>6</v>
      </c>
      <c r="C7" t="s">
        <v>276</v>
      </c>
      <c r="D7" s="4">
        <v>0</v>
      </c>
      <c r="E7" s="4">
        <v>5000</v>
      </c>
      <c r="F7" s="12">
        <v>10000</v>
      </c>
      <c r="H7" s="4">
        <v>1650</v>
      </c>
    </row>
    <row r="8" spans="1:8" x14ac:dyDescent="0.35">
      <c r="A8">
        <v>1</v>
      </c>
      <c r="B8">
        <v>7</v>
      </c>
      <c r="C8" t="s">
        <v>277</v>
      </c>
      <c r="D8" s="4">
        <v>0</v>
      </c>
      <c r="E8" s="4">
        <v>2.5000000000000001E-2</v>
      </c>
      <c r="F8" s="12">
        <v>0.1</v>
      </c>
      <c r="H8" s="4">
        <v>-8.4</v>
      </c>
    </row>
    <row r="9" spans="1:8" x14ac:dyDescent="0.35">
      <c r="A9">
        <v>1</v>
      </c>
      <c r="B9">
        <v>8</v>
      </c>
      <c r="C9" t="s">
        <v>278</v>
      </c>
      <c r="D9" s="4">
        <v>10</v>
      </c>
      <c r="E9" s="4">
        <v>25</v>
      </c>
      <c r="F9" s="12">
        <v>50</v>
      </c>
      <c r="H9" s="4">
        <v>21</v>
      </c>
    </row>
    <row r="10" spans="1:8" x14ac:dyDescent="0.35">
      <c r="A10">
        <v>1</v>
      </c>
      <c r="B10">
        <v>9</v>
      </c>
      <c r="C10" t="s">
        <v>279</v>
      </c>
      <c r="D10" s="4">
        <v>100</v>
      </c>
      <c r="E10" s="4">
        <v>260</v>
      </c>
      <c r="F10" s="12">
        <v>400</v>
      </c>
      <c r="H10" s="4">
        <v>111.3</v>
      </c>
    </row>
    <row r="11" spans="1:8" x14ac:dyDescent="0.35">
      <c r="A11">
        <v>1</v>
      </c>
      <c r="B11">
        <v>10</v>
      </c>
      <c r="C11" t="s">
        <v>280</v>
      </c>
      <c r="D11" s="4">
        <v>2</v>
      </c>
      <c r="E11" s="4">
        <v>10</v>
      </c>
      <c r="F11" s="12">
        <v>20</v>
      </c>
      <c r="H11" s="4">
        <v>53.5</v>
      </c>
    </row>
    <row r="12" spans="1:8" x14ac:dyDescent="0.35">
      <c r="A12">
        <v>1</v>
      </c>
      <c r="B12">
        <v>11</v>
      </c>
      <c r="C12" t="s">
        <v>281</v>
      </c>
      <c r="D12" s="4">
        <v>-5</v>
      </c>
      <c r="E12" s="4">
        <v>-2</v>
      </c>
      <c r="F12" s="12">
        <v>-0.5</v>
      </c>
      <c r="H12" s="4">
        <v>-13.9</v>
      </c>
    </row>
    <row r="13" spans="1:8" x14ac:dyDescent="0.35">
      <c r="A13">
        <v>1</v>
      </c>
      <c r="B13">
        <v>12</v>
      </c>
      <c r="C13" t="s">
        <v>282</v>
      </c>
      <c r="D13" s="4">
        <v>10</v>
      </c>
      <c r="E13" s="4">
        <v>50</v>
      </c>
      <c r="F13" s="12">
        <v>200</v>
      </c>
      <c r="H13" s="4">
        <v>5.7</v>
      </c>
    </row>
    <row r="14" spans="1:8" x14ac:dyDescent="0.35">
      <c r="A14">
        <v>1</v>
      </c>
      <c r="B14">
        <v>13</v>
      </c>
      <c r="C14" t="s">
        <v>283</v>
      </c>
      <c r="D14" s="4">
        <v>1</v>
      </c>
      <c r="E14" s="4">
        <v>10</v>
      </c>
      <c r="F14" s="12">
        <v>30</v>
      </c>
      <c r="H14" s="4">
        <v>124.7</v>
      </c>
    </row>
    <row r="15" spans="1:8" x14ac:dyDescent="0.35">
      <c r="A15">
        <v>1</v>
      </c>
      <c r="B15">
        <v>14</v>
      </c>
      <c r="C15" t="s">
        <v>284</v>
      </c>
      <c r="D15" s="4">
        <v>1</v>
      </c>
      <c r="E15" s="4">
        <v>50</v>
      </c>
      <c r="F15" s="12">
        <v>100</v>
      </c>
      <c r="H15" s="4">
        <v>478.5</v>
      </c>
    </row>
    <row r="16" spans="1:8" x14ac:dyDescent="0.35">
      <c r="A16">
        <v>1</v>
      </c>
      <c r="B16">
        <v>15</v>
      </c>
      <c r="C16" t="s">
        <v>285</v>
      </c>
      <c r="D16" s="4">
        <v>1</v>
      </c>
      <c r="E16" s="4">
        <v>5</v>
      </c>
      <c r="F16" s="12">
        <v>10</v>
      </c>
      <c r="H16" s="4">
        <v>10</v>
      </c>
    </row>
    <row r="17" spans="1:8" x14ac:dyDescent="0.35">
      <c r="A17">
        <v>1</v>
      </c>
      <c r="B17">
        <v>16</v>
      </c>
      <c r="C17" t="s">
        <v>286</v>
      </c>
      <c r="D17" s="4">
        <v>0</v>
      </c>
      <c r="E17" s="4">
        <v>4</v>
      </c>
      <c r="F17" s="12">
        <v>8</v>
      </c>
      <c r="H17" s="4">
        <v>33.6</v>
      </c>
    </row>
    <row r="18" spans="1:8" x14ac:dyDescent="0.35">
      <c r="A18">
        <v>2</v>
      </c>
      <c r="B18">
        <v>1</v>
      </c>
      <c r="C18" t="s">
        <v>271</v>
      </c>
      <c r="D18" s="4">
        <v>-300</v>
      </c>
      <c r="E18" s="4">
        <v>-100</v>
      </c>
      <c r="F18" s="12">
        <v>-10</v>
      </c>
    </row>
    <row r="19" spans="1:8" x14ac:dyDescent="0.35">
      <c r="A19">
        <v>2</v>
      </c>
      <c r="B19">
        <v>2</v>
      </c>
      <c r="C19" t="s">
        <v>272</v>
      </c>
      <c r="D19" s="4">
        <v>-10</v>
      </c>
      <c r="E19" s="4">
        <v>0</v>
      </c>
      <c r="F19" s="12">
        <v>10</v>
      </c>
    </row>
    <row r="20" spans="1:8" x14ac:dyDescent="0.35">
      <c r="A20">
        <v>2</v>
      </c>
      <c r="B20">
        <v>3</v>
      </c>
      <c r="C20" t="s">
        <v>273</v>
      </c>
      <c r="D20" s="4">
        <v>0.1</v>
      </c>
      <c r="E20" s="4">
        <v>1</v>
      </c>
      <c r="F20" s="12">
        <v>2</v>
      </c>
    </row>
    <row r="21" spans="1:8" x14ac:dyDescent="0.35">
      <c r="A21">
        <v>2</v>
      </c>
      <c r="B21">
        <v>4</v>
      </c>
      <c r="C21" t="s">
        <v>274</v>
      </c>
      <c r="D21" s="4">
        <v>-150</v>
      </c>
      <c r="E21" s="4">
        <v>-60</v>
      </c>
      <c r="F21" s="12">
        <v>-30</v>
      </c>
    </row>
    <row r="22" spans="1:8" x14ac:dyDescent="0.35">
      <c r="A22">
        <v>2</v>
      </c>
      <c r="B22">
        <v>5</v>
      </c>
      <c r="C22" t="s">
        <v>275</v>
      </c>
      <c r="D22" s="4">
        <v>30</v>
      </c>
      <c r="E22" s="4">
        <v>60</v>
      </c>
      <c r="F22" s="12">
        <v>150</v>
      </c>
    </row>
    <row r="23" spans="1:8" x14ac:dyDescent="0.35">
      <c r="A23">
        <v>2</v>
      </c>
      <c r="B23">
        <v>6</v>
      </c>
      <c r="C23" t="s">
        <v>276</v>
      </c>
      <c r="D23" s="4">
        <v>-100</v>
      </c>
      <c r="E23" s="4">
        <v>100</v>
      </c>
      <c r="F23" s="12">
        <v>500</v>
      </c>
    </row>
    <row r="24" spans="1:8" x14ac:dyDescent="0.35">
      <c r="A24">
        <v>2</v>
      </c>
      <c r="B24">
        <v>7</v>
      </c>
      <c r="C24" t="s">
        <v>277</v>
      </c>
      <c r="D24" s="4">
        <v>-0.5</v>
      </c>
      <c r="E24" s="4">
        <v>1</v>
      </c>
      <c r="F24" s="12">
        <v>2</v>
      </c>
    </row>
    <row r="25" spans="1:8" x14ac:dyDescent="0.35">
      <c r="A25">
        <v>2</v>
      </c>
      <c r="B25">
        <v>8</v>
      </c>
      <c r="C25" t="s">
        <v>278</v>
      </c>
      <c r="D25" s="4">
        <v>20</v>
      </c>
      <c r="E25" s="4">
        <v>40</v>
      </c>
      <c r="F25" s="12">
        <v>75</v>
      </c>
    </row>
    <row r="26" spans="1:8" x14ac:dyDescent="0.35">
      <c r="A26">
        <v>2</v>
      </c>
      <c r="B26">
        <v>9</v>
      </c>
      <c r="C26" t="s">
        <v>279</v>
      </c>
      <c r="D26" s="4">
        <v>5</v>
      </c>
      <c r="E26" s="4">
        <v>18</v>
      </c>
      <c r="F26" s="12">
        <v>35</v>
      </c>
    </row>
    <row r="27" spans="1:8" x14ac:dyDescent="0.35">
      <c r="A27">
        <v>2</v>
      </c>
      <c r="B27">
        <v>10</v>
      </c>
      <c r="C27" t="s">
        <v>280</v>
      </c>
      <c r="D27" s="4">
        <v>1</v>
      </c>
      <c r="E27" s="4">
        <v>10</v>
      </c>
      <c r="F27" s="12">
        <v>25</v>
      </c>
    </row>
    <row r="28" spans="1:8" x14ac:dyDescent="0.35">
      <c r="A28">
        <v>2</v>
      </c>
      <c r="B28">
        <v>11</v>
      </c>
      <c r="C28" t="s">
        <v>281</v>
      </c>
      <c r="D28" s="4">
        <v>-200</v>
      </c>
      <c r="E28" s="4">
        <v>-50</v>
      </c>
      <c r="F28" s="12">
        <v>10</v>
      </c>
    </row>
    <row r="29" spans="1:8" x14ac:dyDescent="0.35">
      <c r="A29">
        <v>2</v>
      </c>
      <c r="B29">
        <v>12</v>
      </c>
      <c r="C29" t="s">
        <v>282</v>
      </c>
      <c r="D29" s="4">
        <v>25</v>
      </c>
      <c r="E29" s="4">
        <v>100</v>
      </c>
      <c r="F29" s="12">
        <v>150</v>
      </c>
    </row>
    <row r="30" spans="1:8" x14ac:dyDescent="0.35">
      <c r="A30">
        <v>2</v>
      </c>
      <c r="B30">
        <v>13</v>
      </c>
      <c r="C30" t="s">
        <v>283</v>
      </c>
      <c r="D30" s="4">
        <v>300</v>
      </c>
      <c r="E30" s="4">
        <v>1000</v>
      </c>
      <c r="F30" s="12">
        <v>3000</v>
      </c>
    </row>
    <row r="31" spans="1:8" x14ac:dyDescent="0.35">
      <c r="A31">
        <v>2</v>
      </c>
      <c r="B31">
        <v>14</v>
      </c>
      <c r="C31" t="s">
        <v>284</v>
      </c>
      <c r="D31" s="4">
        <v>500</v>
      </c>
      <c r="E31" s="4">
        <v>1000</v>
      </c>
      <c r="F31" s="12">
        <v>5000</v>
      </c>
    </row>
    <row r="32" spans="1:8" x14ac:dyDescent="0.35">
      <c r="A32">
        <v>2</v>
      </c>
      <c r="B32">
        <v>15</v>
      </c>
      <c r="C32" t="s">
        <v>285</v>
      </c>
      <c r="D32" s="4">
        <v>0.5</v>
      </c>
      <c r="E32" s="4">
        <v>2</v>
      </c>
      <c r="F32" s="12">
        <v>10</v>
      </c>
    </row>
    <row r="33" spans="1:6" x14ac:dyDescent="0.35">
      <c r="A33">
        <v>2</v>
      </c>
      <c r="B33">
        <v>16</v>
      </c>
      <c r="C33" t="s">
        <v>286</v>
      </c>
      <c r="D33" s="4">
        <v>2</v>
      </c>
      <c r="E33" s="4">
        <v>4</v>
      </c>
      <c r="F33" s="12">
        <v>20</v>
      </c>
    </row>
    <row r="34" spans="1:6" x14ac:dyDescent="0.35">
      <c r="A34">
        <v>3</v>
      </c>
      <c r="B34">
        <v>1</v>
      </c>
      <c r="C34" t="s">
        <v>271</v>
      </c>
      <c r="D34" s="4">
        <v>-12</v>
      </c>
      <c r="E34" s="4">
        <v>0</v>
      </c>
      <c r="F34" s="12">
        <v>12</v>
      </c>
    </row>
    <row r="35" spans="1:6" x14ac:dyDescent="0.35">
      <c r="A35">
        <v>3</v>
      </c>
      <c r="B35">
        <v>2</v>
      </c>
      <c r="C35" t="s">
        <v>272</v>
      </c>
      <c r="D35" s="4">
        <v>-1500</v>
      </c>
      <c r="E35" s="4">
        <v>0</v>
      </c>
      <c r="F35" s="12">
        <v>1500</v>
      </c>
    </row>
    <row r="36" spans="1:6" x14ac:dyDescent="0.35">
      <c r="A36">
        <v>3</v>
      </c>
      <c r="B36">
        <v>3</v>
      </c>
      <c r="C36" t="s">
        <v>273</v>
      </c>
      <c r="D36" s="4">
        <v>3</v>
      </c>
      <c r="E36" s="4">
        <v>16</v>
      </c>
      <c r="F36" s="12">
        <v>40</v>
      </c>
    </row>
    <row r="37" spans="1:6" x14ac:dyDescent="0.35">
      <c r="A37">
        <v>3</v>
      </c>
      <c r="B37">
        <v>4</v>
      </c>
      <c r="C37" t="s">
        <v>274</v>
      </c>
      <c r="D37" s="4">
        <v>-800</v>
      </c>
      <c r="E37" s="4">
        <v>-500</v>
      </c>
      <c r="F37" s="12">
        <v>-300</v>
      </c>
    </row>
    <row r="38" spans="1:6" x14ac:dyDescent="0.35">
      <c r="A38">
        <v>3</v>
      </c>
      <c r="B38">
        <v>5</v>
      </c>
      <c r="C38" t="s">
        <v>275</v>
      </c>
      <c r="D38" s="4">
        <v>-250</v>
      </c>
      <c r="E38" s="4">
        <v>-100</v>
      </c>
      <c r="F38" s="12">
        <v>-40</v>
      </c>
    </row>
    <row r="39" spans="1:6" x14ac:dyDescent="0.35">
      <c r="A39">
        <v>3</v>
      </c>
      <c r="B39">
        <v>6</v>
      </c>
      <c r="C39" t="s">
        <v>276</v>
      </c>
      <c r="D39" s="4">
        <v>20</v>
      </c>
      <c r="E39" s="4">
        <v>800</v>
      </c>
      <c r="F39" s="12">
        <v>5000</v>
      </c>
    </row>
    <row r="40" spans="1:6" x14ac:dyDescent="0.35">
      <c r="A40">
        <v>3</v>
      </c>
      <c r="B40">
        <v>7</v>
      </c>
      <c r="C40" t="s">
        <v>277</v>
      </c>
      <c r="D40" s="4">
        <v>-60</v>
      </c>
      <c r="E40" s="4">
        <v>-20</v>
      </c>
      <c r="F40" s="12">
        <v>50</v>
      </c>
    </row>
    <row r="41" spans="1:6" x14ac:dyDescent="0.35">
      <c r="A41">
        <v>3</v>
      </c>
      <c r="B41">
        <v>8</v>
      </c>
      <c r="C41" t="s">
        <v>278</v>
      </c>
      <c r="D41" s="4">
        <v>20</v>
      </c>
      <c r="E41" s="4">
        <v>80</v>
      </c>
      <c r="F41" s="12">
        <v>130</v>
      </c>
    </row>
    <row r="42" spans="1:6" x14ac:dyDescent="0.35">
      <c r="A42">
        <v>3</v>
      </c>
      <c r="B42">
        <v>9</v>
      </c>
      <c r="C42" t="s">
        <v>279</v>
      </c>
      <c r="D42" s="4">
        <v>100</v>
      </c>
      <c r="E42" s="4">
        <v>240</v>
      </c>
      <c r="F42" s="12">
        <v>350</v>
      </c>
    </row>
    <row r="43" spans="1:6" x14ac:dyDescent="0.35">
      <c r="A43">
        <v>3</v>
      </c>
      <c r="B43">
        <v>10</v>
      </c>
      <c r="C43" t="s">
        <v>280</v>
      </c>
      <c r="D43" s="4">
        <v>10</v>
      </c>
      <c r="E43" s="4">
        <v>100</v>
      </c>
      <c r="F43" s="12">
        <v>400</v>
      </c>
    </row>
    <row r="44" spans="1:6" x14ac:dyDescent="0.35">
      <c r="A44">
        <v>3</v>
      </c>
      <c r="B44">
        <v>11</v>
      </c>
      <c r="C44" t="s">
        <v>281</v>
      </c>
      <c r="D44" s="4">
        <v>-200</v>
      </c>
      <c r="E44" s="4">
        <v>0</v>
      </c>
      <c r="F44" s="12">
        <v>200</v>
      </c>
    </row>
    <row r="45" spans="1:6" x14ac:dyDescent="0.35">
      <c r="A45">
        <v>3</v>
      </c>
      <c r="B45">
        <v>12</v>
      </c>
      <c r="C45" t="s">
        <v>282</v>
      </c>
      <c r="D45" s="4">
        <v>5</v>
      </c>
      <c r="E45" s="4">
        <v>15</v>
      </c>
      <c r="F45" s="12">
        <v>30</v>
      </c>
    </row>
    <row r="46" spans="1:6" x14ac:dyDescent="0.35">
      <c r="A46">
        <v>3</v>
      </c>
      <c r="B46">
        <v>13</v>
      </c>
      <c r="C46" t="s">
        <v>283</v>
      </c>
      <c r="D46" s="4">
        <v>100</v>
      </c>
      <c r="E46" s="4">
        <v>1000</v>
      </c>
      <c r="F46" s="12">
        <v>4000</v>
      </c>
    </row>
    <row r="47" spans="1:6" x14ac:dyDescent="0.35">
      <c r="A47">
        <v>3</v>
      </c>
      <c r="B47">
        <v>14</v>
      </c>
      <c r="C47" t="s">
        <v>284</v>
      </c>
      <c r="D47" s="4">
        <v>200</v>
      </c>
      <c r="E47" s="4">
        <v>800</v>
      </c>
      <c r="F47" s="12">
        <v>4000</v>
      </c>
    </row>
    <row r="48" spans="1:6" x14ac:dyDescent="0.35">
      <c r="A48">
        <v>3</v>
      </c>
      <c r="B48">
        <v>15</v>
      </c>
      <c r="C48" t="s">
        <v>285</v>
      </c>
      <c r="D48" s="4">
        <v>1</v>
      </c>
      <c r="E48" s="4">
        <v>3</v>
      </c>
      <c r="F48" s="12">
        <v>10</v>
      </c>
    </row>
    <row r="49" spans="1:6" x14ac:dyDescent="0.35">
      <c r="A49">
        <v>3</v>
      </c>
      <c r="B49">
        <v>16</v>
      </c>
      <c r="C49" t="s">
        <v>286</v>
      </c>
      <c r="D49" s="4">
        <v>10</v>
      </c>
      <c r="E49" s="4">
        <v>20</v>
      </c>
      <c r="F49" s="12">
        <v>35</v>
      </c>
    </row>
    <row r="50" spans="1:6" x14ac:dyDescent="0.35">
      <c r="A50">
        <v>4</v>
      </c>
      <c r="B50">
        <v>1</v>
      </c>
      <c r="C50" t="s">
        <v>271</v>
      </c>
      <c r="D50" s="4">
        <v>-4</v>
      </c>
      <c r="E50" s="4">
        <v>1</v>
      </c>
      <c r="F50" s="12">
        <v>3</v>
      </c>
    </row>
    <row r="51" spans="1:6" x14ac:dyDescent="0.35">
      <c r="A51">
        <v>4</v>
      </c>
      <c r="B51">
        <v>2</v>
      </c>
      <c r="C51" t="s">
        <v>272</v>
      </c>
      <c r="D51" s="4">
        <v>-200</v>
      </c>
      <c r="E51" s="4">
        <v>200</v>
      </c>
      <c r="F51" s="12">
        <v>800</v>
      </c>
    </row>
    <row r="52" spans="1:6" x14ac:dyDescent="0.35">
      <c r="A52">
        <v>4</v>
      </c>
      <c r="B52">
        <v>3</v>
      </c>
      <c r="C52" t="s">
        <v>273</v>
      </c>
      <c r="D52" s="4">
        <v>2</v>
      </c>
      <c r="E52" s="4">
        <v>6</v>
      </c>
      <c r="F52" s="12">
        <v>15</v>
      </c>
    </row>
    <row r="53" spans="1:6" x14ac:dyDescent="0.35">
      <c r="A53">
        <v>4</v>
      </c>
      <c r="B53">
        <v>4</v>
      </c>
      <c r="C53" t="s">
        <v>274</v>
      </c>
      <c r="D53" s="4">
        <v>-600</v>
      </c>
      <c r="E53" s="4">
        <v>-400</v>
      </c>
      <c r="F53" s="12">
        <v>-200</v>
      </c>
    </row>
    <row r="54" spans="1:6" x14ac:dyDescent="0.35">
      <c r="A54">
        <v>4</v>
      </c>
      <c r="B54">
        <v>5</v>
      </c>
      <c r="C54" t="s">
        <v>275</v>
      </c>
      <c r="D54" s="4">
        <v>-100</v>
      </c>
      <c r="E54" s="4">
        <v>-40</v>
      </c>
      <c r="F54" s="12">
        <v>40</v>
      </c>
    </row>
    <row r="55" spans="1:6" x14ac:dyDescent="0.35">
      <c r="A55">
        <v>4</v>
      </c>
      <c r="B55">
        <v>6</v>
      </c>
      <c r="C55" t="s">
        <v>276</v>
      </c>
      <c r="D55" s="4">
        <v>-1000</v>
      </c>
      <c r="E55" s="4">
        <v>-100</v>
      </c>
      <c r="F55" s="12">
        <v>-10</v>
      </c>
    </row>
    <row r="56" spans="1:6" x14ac:dyDescent="0.35">
      <c r="A56">
        <v>4</v>
      </c>
      <c r="B56">
        <v>7</v>
      </c>
      <c r="C56" t="s">
        <v>277</v>
      </c>
      <c r="D56" s="4">
        <v>-10</v>
      </c>
      <c r="E56" s="4">
        <v>0</v>
      </c>
      <c r="F56" s="12">
        <v>20</v>
      </c>
    </row>
    <row r="57" spans="1:6" x14ac:dyDescent="0.35">
      <c r="A57">
        <v>4</v>
      </c>
      <c r="B57">
        <v>8</v>
      </c>
      <c r="C57" t="s">
        <v>278</v>
      </c>
      <c r="D57" s="4">
        <v>20</v>
      </c>
      <c r="E57" s="4">
        <v>60</v>
      </c>
      <c r="F57" s="12">
        <v>100</v>
      </c>
    </row>
    <row r="58" spans="1:6" x14ac:dyDescent="0.35">
      <c r="A58">
        <v>4</v>
      </c>
      <c r="B58">
        <v>9</v>
      </c>
      <c r="C58" t="s">
        <v>279</v>
      </c>
      <c r="D58" s="4">
        <v>220</v>
      </c>
      <c r="E58" s="4">
        <v>280</v>
      </c>
      <c r="F58" s="12">
        <v>350</v>
      </c>
    </row>
    <row r="59" spans="1:6" x14ac:dyDescent="0.35">
      <c r="A59">
        <v>4</v>
      </c>
      <c r="B59">
        <v>10</v>
      </c>
      <c r="C59" t="s">
        <v>280</v>
      </c>
      <c r="D59" s="4">
        <v>5</v>
      </c>
      <c r="E59" s="4">
        <v>20</v>
      </c>
      <c r="F59" s="12">
        <v>40</v>
      </c>
    </row>
    <row r="60" spans="1:6" x14ac:dyDescent="0.35">
      <c r="A60">
        <v>4</v>
      </c>
      <c r="B60">
        <v>11</v>
      </c>
      <c r="C60" t="s">
        <v>281</v>
      </c>
      <c r="D60" s="4">
        <v>-200</v>
      </c>
      <c r="E60" s="4">
        <v>-50</v>
      </c>
      <c r="F60" s="12">
        <v>-10</v>
      </c>
    </row>
    <row r="61" spans="1:6" x14ac:dyDescent="0.35">
      <c r="A61">
        <v>4</v>
      </c>
      <c r="B61">
        <v>12</v>
      </c>
      <c r="C61" t="s">
        <v>282</v>
      </c>
      <c r="D61" s="4">
        <v>1</v>
      </c>
      <c r="E61" s="4">
        <v>4</v>
      </c>
      <c r="F61" s="12">
        <v>20</v>
      </c>
    </row>
    <row r="62" spans="1:6" x14ac:dyDescent="0.35">
      <c r="A62">
        <v>4</v>
      </c>
      <c r="B62">
        <v>13</v>
      </c>
      <c r="C62" t="s">
        <v>283</v>
      </c>
      <c r="D62" s="4">
        <v>100</v>
      </c>
      <c r="E62" s="4">
        <v>500</v>
      </c>
      <c r="F62" s="12">
        <v>2000</v>
      </c>
    </row>
    <row r="63" spans="1:6" x14ac:dyDescent="0.35">
      <c r="A63">
        <v>4</v>
      </c>
      <c r="B63">
        <v>14</v>
      </c>
      <c r="C63" t="s">
        <v>284</v>
      </c>
      <c r="D63" s="4">
        <v>500</v>
      </c>
      <c r="E63" s="4">
        <v>2000</v>
      </c>
      <c r="F63" s="12">
        <v>4000</v>
      </c>
    </row>
    <row r="64" spans="1:6" x14ac:dyDescent="0.35">
      <c r="A64">
        <v>4</v>
      </c>
      <c r="B64">
        <v>15</v>
      </c>
      <c r="C64" t="s">
        <v>285</v>
      </c>
      <c r="D64" s="4">
        <v>1.2</v>
      </c>
      <c r="E64" s="4">
        <v>1.5</v>
      </c>
      <c r="F64" s="12">
        <v>2</v>
      </c>
    </row>
    <row r="65" spans="1:6" x14ac:dyDescent="0.35">
      <c r="A65">
        <v>4</v>
      </c>
      <c r="B65">
        <v>16</v>
      </c>
      <c r="C65" t="s">
        <v>286</v>
      </c>
      <c r="D65" s="4">
        <v>15</v>
      </c>
      <c r="E65" s="4">
        <v>20</v>
      </c>
      <c r="F65" s="12">
        <v>30</v>
      </c>
    </row>
    <row r="66" spans="1:6" x14ac:dyDescent="0.35">
      <c r="A66">
        <v>5</v>
      </c>
      <c r="B66">
        <v>1</v>
      </c>
      <c r="C66" t="s">
        <v>271</v>
      </c>
      <c r="D66" s="4">
        <v>0</v>
      </c>
      <c r="E66" s="4">
        <v>4</v>
      </c>
      <c r="F66" s="12">
        <v>20</v>
      </c>
    </row>
    <row r="67" spans="1:6" x14ac:dyDescent="0.35">
      <c r="A67">
        <v>5</v>
      </c>
      <c r="B67">
        <v>2</v>
      </c>
      <c r="C67" t="s">
        <v>272</v>
      </c>
      <c r="D67" s="4">
        <v>-300</v>
      </c>
      <c r="E67" s="4">
        <v>50</v>
      </c>
      <c r="F67" s="12">
        <v>300</v>
      </c>
    </row>
    <row r="68" spans="1:6" x14ac:dyDescent="0.35">
      <c r="A68">
        <v>5</v>
      </c>
      <c r="B68">
        <v>3</v>
      </c>
      <c r="C68" t="s">
        <v>273</v>
      </c>
      <c r="D68" s="4">
        <v>0</v>
      </c>
      <c r="E68" s="4">
        <v>10</v>
      </c>
      <c r="F68" s="12">
        <v>100</v>
      </c>
    </row>
    <row r="69" spans="1:6" x14ac:dyDescent="0.35">
      <c r="A69">
        <v>5</v>
      </c>
      <c r="B69">
        <v>4</v>
      </c>
      <c r="C69" t="s">
        <v>274</v>
      </c>
      <c r="D69" s="4">
        <v>-300</v>
      </c>
      <c r="E69" s="4">
        <v>-120</v>
      </c>
      <c r="F69" s="12">
        <v>-10</v>
      </c>
    </row>
    <row r="70" spans="1:6" x14ac:dyDescent="0.35">
      <c r="A70">
        <v>5</v>
      </c>
      <c r="B70">
        <v>5</v>
      </c>
      <c r="C70" t="s">
        <v>275</v>
      </c>
      <c r="D70" s="4">
        <v>-300</v>
      </c>
      <c r="E70" s="4">
        <v>-180</v>
      </c>
      <c r="F70" s="12">
        <v>-20</v>
      </c>
    </row>
    <row r="71" spans="1:6" x14ac:dyDescent="0.35">
      <c r="A71">
        <v>5</v>
      </c>
      <c r="B71">
        <v>6</v>
      </c>
      <c r="C71" t="s">
        <v>276</v>
      </c>
      <c r="D71" s="4">
        <v>50</v>
      </c>
      <c r="E71" s="4">
        <v>500</v>
      </c>
      <c r="F71" s="12">
        <v>2500</v>
      </c>
    </row>
    <row r="72" spans="1:6" x14ac:dyDescent="0.35">
      <c r="A72">
        <v>5</v>
      </c>
      <c r="B72">
        <v>7</v>
      </c>
      <c r="C72" t="s">
        <v>277</v>
      </c>
      <c r="D72" s="4">
        <v>-0.5</v>
      </c>
      <c r="E72" s="4">
        <v>0</v>
      </c>
      <c r="F72" s="12">
        <v>0.5</v>
      </c>
    </row>
    <row r="73" spans="1:6" x14ac:dyDescent="0.35">
      <c r="A73">
        <v>5</v>
      </c>
      <c r="B73">
        <v>8</v>
      </c>
      <c r="C73" t="s">
        <v>278</v>
      </c>
      <c r="D73" s="4">
        <v>1</v>
      </c>
      <c r="E73" s="4">
        <v>10</v>
      </c>
      <c r="F73" s="12">
        <v>50</v>
      </c>
    </row>
    <row r="74" spans="1:6" x14ac:dyDescent="0.35">
      <c r="A74">
        <v>5</v>
      </c>
      <c r="B74">
        <v>9</v>
      </c>
      <c r="C74" t="s">
        <v>279</v>
      </c>
      <c r="D74" s="4">
        <v>100</v>
      </c>
      <c r="E74" s="4">
        <v>200</v>
      </c>
      <c r="F74" s="12">
        <v>500</v>
      </c>
    </row>
    <row r="75" spans="1:6" x14ac:dyDescent="0.35">
      <c r="A75">
        <v>5</v>
      </c>
      <c r="B75">
        <v>10</v>
      </c>
      <c r="C75" t="s">
        <v>280</v>
      </c>
      <c r="D75" s="4">
        <v>2</v>
      </c>
      <c r="E75" s="4">
        <v>10</v>
      </c>
      <c r="F75" s="12">
        <v>50</v>
      </c>
    </row>
    <row r="76" spans="1:6" x14ac:dyDescent="0.35">
      <c r="A76">
        <v>5</v>
      </c>
      <c r="B76">
        <v>11</v>
      </c>
      <c r="C76" t="s">
        <v>281</v>
      </c>
      <c r="D76" s="4">
        <v>-1000</v>
      </c>
      <c r="E76" s="4">
        <v>-100</v>
      </c>
      <c r="F76" s="12">
        <v>500</v>
      </c>
    </row>
    <row r="77" spans="1:6" x14ac:dyDescent="0.35">
      <c r="A77">
        <v>5</v>
      </c>
      <c r="B77">
        <v>12</v>
      </c>
      <c r="C77" t="s">
        <v>282</v>
      </c>
      <c r="D77" s="4">
        <v>1</v>
      </c>
      <c r="E77" s="4">
        <v>10</v>
      </c>
      <c r="F77" s="12">
        <v>50</v>
      </c>
    </row>
    <row r="78" spans="1:6" x14ac:dyDescent="0.35">
      <c r="A78">
        <v>5</v>
      </c>
      <c r="B78">
        <v>13</v>
      </c>
      <c r="C78" t="s">
        <v>283</v>
      </c>
      <c r="D78" s="4">
        <v>250</v>
      </c>
      <c r="E78" s="4">
        <v>1000</v>
      </c>
      <c r="F78" s="12">
        <v>4000</v>
      </c>
    </row>
    <row r="79" spans="1:6" x14ac:dyDescent="0.35">
      <c r="A79">
        <v>5</v>
      </c>
      <c r="B79">
        <v>14</v>
      </c>
      <c r="C79" t="s">
        <v>284</v>
      </c>
      <c r="D79" s="4">
        <v>1000</v>
      </c>
      <c r="E79" s="4">
        <v>3000</v>
      </c>
      <c r="F79" s="12">
        <v>10000</v>
      </c>
    </row>
    <row r="80" spans="1:6" x14ac:dyDescent="0.35">
      <c r="A80">
        <v>5</v>
      </c>
      <c r="B80">
        <v>15</v>
      </c>
      <c r="C80" t="s">
        <v>285</v>
      </c>
      <c r="D80" s="4">
        <v>0.5</v>
      </c>
      <c r="E80" s="4">
        <v>1.5</v>
      </c>
      <c r="F80" s="12">
        <v>2</v>
      </c>
    </row>
    <row r="81" spans="1:6" x14ac:dyDescent="0.35">
      <c r="A81">
        <v>5</v>
      </c>
      <c r="B81">
        <v>16</v>
      </c>
      <c r="C81" t="s">
        <v>286</v>
      </c>
      <c r="D81" s="4">
        <v>5</v>
      </c>
      <c r="E81" s="4">
        <v>12</v>
      </c>
      <c r="F81" s="12">
        <v>30</v>
      </c>
    </row>
    <row r="82" spans="1:6" x14ac:dyDescent="0.35">
      <c r="A82">
        <v>6</v>
      </c>
      <c r="B82">
        <v>1</v>
      </c>
      <c r="C82" t="s">
        <v>271</v>
      </c>
      <c r="D82" s="4">
        <v>0</v>
      </c>
      <c r="E82" s="4">
        <v>4</v>
      </c>
      <c r="F82" s="12">
        <v>8</v>
      </c>
    </row>
    <row r="83" spans="1:6" x14ac:dyDescent="0.35">
      <c r="A83">
        <v>6</v>
      </c>
      <c r="B83">
        <v>2</v>
      </c>
      <c r="C83" t="s">
        <v>272</v>
      </c>
      <c r="D83" s="4">
        <v>-500</v>
      </c>
      <c r="E83" s="4">
        <v>0</v>
      </c>
      <c r="F83" s="12">
        <v>500</v>
      </c>
    </row>
    <row r="84" spans="1:6" x14ac:dyDescent="0.35">
      <c r="A84">
        <v>6</v>
      </c>
      <c r="B84">
        <v>3</v>
      </c>
      <c r="C84" t="s">
        <v>273</v>
      </c>
      <c r="D84" s="4">
        <v>0.1</v>
      </c>
      <c r="E84" s="4">
        <v>1</v>
      </c>
      <c r="F84" s="12">
        <v>2</v>
      </c>
    </row>
    <row r="85" spans="1:6" x14ac:dyDescent="0.35">
      <c r="A85">
        <v>6</v>
      </c>
      <c r="B85">
        <v>4</v>
      </c>
      <c r="C85" t="s">
        <v>274</v>
      </c>
      <c r="D85" s="4">
        <v>-900</v>
      </c>
      <c r="E85" s="4">
        <v>-700</v>
      </c>
      <c r="F85" s="12">
        <v>-500</v>
      </c>
    </row>
    <row r="86" spans="1:6" x14ac:dyDescent="0.35">
      <c r="A86">
        <v>6</v>
      </c>
      <c r="B86">
        <v>5</v>
      </c>
      <c r="C86" t="s">
        <v>275</v>
      </c>
      <c r="D86" s="4">
        <v>-200</v>
      </c>
      <c r="E86" s="4">
        <v>-100</v>
      </c>
      <c r="F86" s="12">
        <v>100</v>
      </c>
    </row>
    <row r="87" spans="1:6" x14ac:dyDescent="0.35">
      <c r="A87">
        <v>6</v>
      </c>
      <c r="B87">
        <v>6</v>
      </c>
      <c r="C87" t="s">
        <v>276</v>
      </c>
      <c r="D87" s="4">
        <v>20</v>
      </c>
      <c r="E87" s="4">
        <v>1000</v>
      </c>
      <c r="F87" s="12">
        <v>2000</v>
      </c>
    </row>
    <row r="88" spans="1:6" x14ac:dyDescent="0.35">
      <c r="A88">
        <v>6</v>
      </c>
      <c r="B88">
        <v>7</v>
      </c>
      <c r="C88" t="s">
        <v>277</v>
      </c>
      <c r="D88" s="4">
        <v>-50</v>
      </c>
      <c r="E88" s="4">
        <v>0</v>
      </c>
      <c r="F88" s="12">
        <v>50</v>
      </c>
    </row>
    <row r="89" spans="1:6" x14ac:dyDescent="0.35">
      <c r="A89">
        <v>6</v>
      </c>
      <c r="B89">
        <v>8</v>
      </c>
      <c r="C89" t="s">
        <v>278</v>
      </c>
      <c r="D89" s="4">
        <v>30</v>
      </c>
      <c r="E89" s="4">
        <v>50</v>
      </c>
      <c r="F89" s="12">
        <v>80</v>
      </c>
    </row>
    <row r="90" spans="1:6" x14ac:dyDescent="0.35">
      <c r="A90">
        <v>6</v>
      </c>
      <c r="B90">
        <v>9</v>
      </c>
      <c r="C90" t="s">
        <v>279</v>
      </c>
      <c r="D90" s="4">
        <v>100</v>
      </c>
      <c r="E90" s="4">
        <v>300</v>
      </c>
      <c r="F90" s="12">
        <v>400</v>
      </c>
    </row>
    <row r="91" spans="1:6" x14ac:dyDescent="0.35">
      <c r="A91">
        <v>6</v>
      </c>
      <c r="B91">
        <v>10</v>
      </c>
      <c r="C91" t="s">
        <v>280</v>
      </c>
      <c r="D91" s="4">
        <v>10</v>
      </c>
      <c r="E91" s="4">
        <v>50</v>
      </c>
      <c r="F91" s="12">
        <v>100</v>
      </c>
    </row>
    <row r="92" spans="1:6" x14ac:dyDescent="0.35">
      <c r="A92">
        <v>6</v>
      </c>
      <c r="B92">
        <v>11</v>
      </c>
      <c r="C92" t="s">
        <v>281</v>
      </c>
      <c r="D92" s="4">
        <v>-500</v>
      </c>
      <c r="E92" s="4">
        <v>-100</v>
      </c>
      <c r="F92" s="12">
        <v>-10</v>
      </c>
    </row>
    <row r="93" spans="1:6" x14ac:dyDescent="0.35">
      <c r="A93">
        <v>6</v>
      </c>
      <c r="B93">
        <v>12</v>
      </c>
      <c r="C93" t="s">
        <v>282</v>
      </c>
      <c r="D93" s="4">
        <v>5</v>
      </c>
      <c r="E93" s="4">
        <v>20</v>
      </c>
      <c r="F93" s="12">
        <v>40</v>
      </c>
    </row>
    <row r="94" spans="1:6" x14ac:dyDescent="0.35">
      <c r="A94">
        <v>6</v>
      </c>
      <c r="B94">
        <v>13</v>
      </c>
      <c r="C94" t="s">
        <v>283</v>
      </c>
      <c r="D94" s="4">
        <v>100</v>
      </c>
      <c r="E94" s="4">
        <v>200</v>
      </c>
      <c r="F94" s="12">
        <v>500</v>
      </c>
    </row>
    <row r="95" spans="1:6" x14ac:dyDescent="0.35">
      <c r="A95">
        <v>6</v>
      </c>
      <c r="B95">
        <v>14</v>
      </c>
      <c r="C95" t="s">
        <v>284</v>
      </c>
      <c r="D95" s="4">
        <v>50</v>
      </c>
      <c r="E95" s="4">
        <v>200</v>
      </c>
      <c r="F95" s="12">
        <v>300</v>
      </c>
    </row>
    <row r="96" spans="1:6" x14ac:dyDescent="0.35">
      <c r="A96">
        <v>6</v>
      </c>
      <c r="B96">
        <v>15</v>
      </c>
      <c r="C96" t="s">
        <v>285</v>
      </c>
      <c r="D96" s="4">
        <v>1</v>
      </c>
      <c r="E96" s="4">
        <v>2</v>
      </c>
      <c r="F96" s="12">
        <v>4</v>
      </c>
    </row>
    <row r="97" spans="1:6" x14ac:dyDescent="0.35">
      <c r="A97">
        <v>6</v>
      </c>
      <c r="B97">
        <v>16</v>
      </c>
      <c r="C97" t="s">
        <v>286</v>
      </c>
      <c r="D97" s="4">
        <v>5</v>
      </c>
      <c r="E97" s="4">
        <v>10</v>
      </c>
      <c r="F97" s="12">
        <v>20</v>
      </c>
    </row>
    <row r="98" spans="1:6" x14ac:dyDescent="0.35">
      <c r="A98">
        <v>7</v>
      </c>
      <c r="B98">
        <v>1</v>
      </c>
      <c r="C98" t="s">
        <v>271</v>
      </c>
      <c r="D98" s="4">
        <v>0</v>
      </c>
      <c r="E98" s="4">
        <v>30</v>
      </c>
      <c r="F98" s="12">
        <v>80</v>
      </c>
    </row>
    <row r="99" spans="1:6" x14ac:dyDescent="0.35">
      <c r="A99">
        <v>7</v>
      </c>
      <c r="B99">
        <v>2</v>
      </c>
      <c r="C99" t="s">
        <v>272</v>
      </c>
      <c r="D99" s="4">
        <v>-1000</v>
      </c>
      <c r="E99" s="4">
        <v>0</v>
      </c>
      <c r="F99" s="12">
        <v>1000</v>
      </c>
    </row>
    <row r="100" spans="1:6" x14ac:dyDescent="0.35">
      <c r="A100">
        <v>7</v>
      </c>
      <c r="B100">
        <v>3</v>
      </c>
      <c r="C100" t="s">
        <v>273</v>
      </c>
      <c r="D100" s="4">
        <v>0</v>
      </c>
      <c r="E100" s="4">
        <v>0.3</v>
      </c>
      <c r="F100" s="12">
        <v>2</v>
      </c>
    </row>
    <row r="101" spans="1:6" x14ac:dyDescent="0.35">
      <c r="A101">
        <v>7</v>
      </c>
      <c r="B101">
        <v>4</v>
      </c>
      <c r="C101" t="s">
        <v>274</v>
      </c>
      <c r="D101" s="4">
        <v>-1500</v>
      </c>
      <c r="E101" s="4">
        <v>-700</v>
      </c>
      <c r="F101" s="12">
        <v>-300</v>
      </c>
    </row>
    <row r="102" spans="1:6" x14ac:dyDescent="0.35">
      <c r="A102">
        <v>7</v>
      </c>
      <c r="B102">
        <v>5</v>
      </c>
      <c r="C102" t="s">
        <v>275</v>
      </c>
      <c r="D102" s="4">
        <v>-4000</v>
      </c>
      <c r="E102" s="4">
        <v>-1400</v>
      </c>
      <c r="F102" s="12">
        <v>-500</v>
      </c>
    </row>
    <row r="103" spans="1:6" x14ac:dyDescent="0.35">
      <c r="A103">
        <v>7</v>
      </c>
      <c r="B103">
        <v>6</v>
      </c>
      <c r="C103" t="s">
        <v>276</v>
      </c>
      <c r="D103" s="4">
        <v>0</v>
      </c>
      <c r="E103" s="4">
        <v>100</v>
      </c>
      <c r="F103" s="12">
        <v>500</v>
      </c>
    </row>
    <row r="104" spans="1:6" x14ac:dyDescent="0.35">
      <c r="A104">
        <v>7</v>
      </c>
      <c r="B104">
        <v>7</v>
      </c>
      <c r="C104" t="s">
        <v>277</v>
      </c>
      <c r="D104" s="4">
        <v>-10</v>
      </c>
      <c r="E104" s="4">
        <v>5</v>
      </c>
      <c r="F104" s="12">
        <v>30</v>
      </c>
    </row>
    <row r="105" spans="1:6" x14ac:dyDescent="0.35">
      <c r="A105">
        <v>7</v>
      </c>
      <c r="B105">
        <v>8</v>
      </c>
      <c r="C105" t="s">
        <v>278</v>
      </c>
      <c r="D105" s="4">
        <v>90</v>
      </c>
      <c r="E105" s="4">
        <v>110</v>
      </c>
      <c r="F105" s="12">
        <v>150</v>
      </c>
    </row>
    <row r="106" spans="1:6" x14ac:dyDescent="0.35">
      <c r="A106">
        <v>7</v>
      </c>
      <c r="B106">
        <v>9</v>
      </c>
      <c r="C106" t="s">
        <v>279</v>
      </c>
      <c r="D106" s="4">
        <v>100</v>
      </c>
      <c r="E106" s="4">
        <v>200</v>
      </c>
      <c r="F106" s="12">
        <v>300</v>
      </c>
    </row>
    <row r="107" spans="1:6" x14ac:dyDescent="0.35">
      <c r="A107">
        <v>7</v>
      </c>
      <c r="B107">
        <v>10</v>
      </c>
      <c r="C107" t="s">
        <v>280</v>
      </c>
      <c r="D107" s="4">
        <v>10</v>
      </c>
      <c r="E107" s="4">
        <v>50</v>
      </c>
      <c r="F107" s="12">
        <v>100</v>
      </c>
    </row>
    <row r="108" spans="1:6" x14ac:dyDescent="0.35">
      <c r="A108">
        <v>7</v>
      </c>
      <c r="B108">
        <v>11</v>
      </c>
      <c r="C108" t="s">
        <v>281</v>
      </c>
      <c r="D108" s="4">
        <v>-100</v>
      </c>
      <c r="E108" s="4">
        <v>0</v>
      </c>
      <c r="F108" s="12">
        <v>500</v>
      </c>
    </row>
    <row r="109" spans="1:6" x14ac:dyDescent="0.35">
      <c r="A109">
        <v>7</v>
      </c>
      <c r="B109">
        <v>12</v>
      </c>
      <c r="C109" t="s">
        <v>282</v>
      </c>
      <c r="D109" s="4">
        <v>2</v>
      </c>
      <c r="E109" s="4">
        <v>8</v>
      </c>
      <c r="F109" s="12">
        <v>20</v>
      </c>
    </row>
    <row r="110" spans="1:6" x14ac:dyDescent="0.35">
      <c r="A110">
        <v>7</v>
      </c>
      <c r="B110">
        <v>13</v>
      </c>
      <c r="C110" t="s">
        <v>283</v>
      </c>
      <c r="D110" s="4">
        <v>100</v>
      </c>
      <c r="E110" s="4">
        <v>500</v>
      </c>
      <c r="F110" s="12">
        <v>2000</v>
      </c>
    </row>
    <row r="111" spans="1:6" x14ac:dyDescent="0.35">
      <c r="A111">
        <v>7</v>
      </c>
      <c r="B111">
        <v>14</v>
      </c>
      <c r="C111" t="s">
        <v>284</v>
      </c>
      <c r="D111" s="4">
        <v>200</v>
      </c>
      <c r="E111" s="4">
        <v>1000</v>
      </c>
      <c r="F111" s="12">
        <v>5000</v>
      </c>
    </row>
    <row r="112" spans="1:6" x14ac:dyDescent="0.35">
      <c r="A112">
        <v>7</v>
      </c>
      <c r="B112">
        <v>15</v>
      </c>
      <c r="C112" t="s">
        <v>285</v>
      </c>
      <c r="D112" s="4">
        <v>0.5</v>
      </c>
      <c r="E112" s="4">
        <v>1.5</v>
      </c>
      <c r="F112" s="12">
        <v>2.5</v>
      </c>
    </row>
    <row r="113" spans="1:6" x14ac:dyDescent="0.35">
      <c r="A113">
        <v>7</v>
      </c>
      <c r="B113">
        <v>16</v>
      </c>
      <c r="C113" t="s">
        <v>286</v>
      </c>
      <c r="D113" s="4">
        <v>10</v>
      </c>
      <c r="E113" s="4">
        <v>20</v>
      </c>
      <c r="F113" s="12">
        <v>40</v>
      </c>
    </row>
    <row r="114" spans="1:6" x14ac:dyDescent="0.35">
      <c r="A114">
        <v>8</v>
      </c>
      <c r="B114">
        <v>1</v>
      </c>
      <c r="C114" t="s">
        <v>271</v>
      </c>
      <c r="D114" s="4">
        <v>2</v>
      </c>
      <c r="E114" s="4">
        <v>6</v>
      </c>
      <c r="F114" s="12">
        <v>16</v>
      </c>
    </row>
    <row r="115" spans="1:6" x14ac:dyDescent="0.35">
      <c r="A115">
        <v>8</v>
      </c>
      <c r="B115">
        <v>2</v>
      </c>
      <c r="C115" t="s">
        <v>272</v>
      </c>
      <c r="D115" s="4">
        <v>-700</v>
      </c>
      <c r="E115" s="4">
        <v>-300</v>
      </c>
      <c r="F115" s="12">
        <v>-50</v>
      </c>
    </row>
    <row r="116" spans="1:6" x14ac:dyDescent="0.35">
      <c r="A116">
        <v>8</v>
      </c>
      <c r="B116">
        <v>3</v>
      </c>
      <c r="C116" t="s">
        <v>273</v>
      </c>
      <c r="D116" s="4">
        <v>1</v>
      </c>
      <c r="E116" s="4">
        <v>2</v>
      </c>
      <c r="F116" s="12">
        <v>6</v>
      </c>
    </row>
    <row r="117" spans="1:6" x14ac:dyDescent="0.35">
      <c r="A117">
        <v>8</v>
      </c>
      <c r="B117">
        <v>4</v>
      </c>
      <c r="C117" t="s">
        <v>274</v>
      </c>
      <c r="D117" s="4">
        <v>-600</v>
      </c>
      <c r="E117" s="4">
        <v>-300</v>
      </c>
      <c r="F117" s="12">
        <v>-150</v>
      </c>
    </row>
    <row r="118" spans="1:6" x14ac:dyDescent="0.35">
      <c r="A118">
        <v>8</v>
      </c>
      <c r="B118">
        <v>5</v>
      </c>
      <c r="C118" t="s">
        <v>275</v>
      </c>
      <c r="D118" s="4">
        <v>-100</v>
      </c>
      <c r="E118" s="4">
        <v>500</v>
      </c>
      <c r="F118" s="12">
        <v>1000</v>
      </c>
    </row>
    <row r="119" spans="1:6" x14ac:dyDescent="0.35">
      <c r="A119">
        <v>8</v>
      </c>
      <c r="B119">
        <v>6</v>
      </c>
      <c r="C119" t="s">
        <v>276</v>
      </c>
      <c r="D119" s="4">
        <v>200</v>
      </c>
      <c r="E119" s="4">
        <v>1000</v>
      </c>
      <c r="F119" s="12">
        <v>2500</v>
      </c>
    </row>
    <row r="120" spans="1:6" x14ac:dyDescent="0.35">
      <c r="A120">
        <v>8</v>
      </c>
      <c r="B120">
        <v>7</v>
      </c>
      <c r="C120" t="s">
        <v>277</v>
      </c>
      <c r="D120" s="4">
        <v>-45</v>
      </c>
      <c r="E120" s="4">
        <v>-10</v>
      </c>
      <c r="F120" s="12">
        <v>-1</v>
      </c>
    </row>
    <row r="121" spans="1:6" x14ac:dyDescent="0.35">
      <c r="A121">
        <v>8</v>
      </c>
      <c r="B121">
        <v>8</v>
      </c>
      <c r="C121" t="s">
        <v>278</v>
      </c>
      <c r="D121" s="4">
        <v>10</v>
      </c>
      <c r="E121" s="4">
        <v>30</v>
      </c>
      <c r="F121" s="12">
        <v>50</v>
      </c>
    </row>
    <row r="122" spans="1:6" x14ac:dyDescent="0.35">
      <c r="A122">
        <v>8</v>
      </c>
      <c r="B122">
        <v>9</v>
      </c>
      <c r="C122" t="s">
        <v>279</v>
      </c>
      <c r="D122" s="4">
        <v>50</v>
      </c>
      <c r="E122" s="4">
        <v>200</v>
      </c>
      <c r="F122" s="12">
        <v>350</v>
      </c>
    </row>
    <row r="123" spans="1:6" x14ac:dyDescent="0.35">
      <c r="A123">
        <v>8</v>
      </c>
      <c r="B123">
        <v>10</v>
      </c>
      <c r="C123" t="s">
        <v>280</v>
      </c>
      <c r="D123" s="4">
        <v>10</v>
      </c>
      <c r="E123" s="4">
        <v>30</v>
      </c>
      <c r="F123" s="12">
        <v>50</v>
      </c>
    </row>
    <row r="124" spans="1:6" x14ac:dyDescent="0.35">
      <c r="A124">
        <v>8</v>
      </c>
      <c r="B124">
        <v>11</v>
      </c>
      <c r="C124" t="s">
        <v>281</v>
      </c>
      <c r="D124" s="4">
        <v>-500</v>
      </c>
      <c r="E124" s="4">
        <v>0</v>
      </c>
      <c r="F124" s="12">
        <v>500</v>
      </c>
    </row>
    <row r="125" spans="1:6" x14ac:dyDescent="0.35">
      <c r="A125">
        <v>8</v>
      </c>
      <c r="B125">
        <v>12</v>
      </c>
      <c r="C125" t="s">
        <v>282</v>
      </c>
      <c r="D125" s="4">
        <v>8</v>
      </c>
      <c r="E125" s="4">
        <v>20</v>
      </c>
      <c r="F125" s="12">
        <v>40</v>
      </c>
    </row>
    <row r="126" spans="1:6" x14ac:dyDescent="0.35">
      <c r="A126">
        <v>8</v>
      </c>
      <c r="B126">
        <v>13</v>
      </c>
      <c r="C126" t="s">
        <v>283</v>
      </c>
      <c r="D126" s="4">
        <v>200</v>
      </c>
      <c r="E126" s="4">
        <v>500</v>
      </c>
      <c r="F126" s="12">
        <v>1400</v>
      </c>
    </row>
    <row r="127" spans="1:6" x14ac:dyDescent="0.35">
      <c r="A127">
        <v>8</v>
      </c>
      <c r="B127">
        <v>14</v>
      </c>
      <c r="C127" t="s">
        <v>284</v>
      </c>
      <c r="D127" s="4">
        <v>400</v>
      </c>
      <c r="E127" s="4">
        <v>900</v>
      </c>
      <c r="F127" s="12">
        <v>1500</v>
      </c>
    </row>
    <row r="128" spans="1:6" x14ac:dyDescent="0.35">
      <c r="A128">
        <v>8</v>
      </c>
      <c r="B128">
        <v>15</v>
      </c>
      <c r="C128" t="s">
        <v>285</v>
      </c>
      <c r="D128" s="4">
        <v>1</v>
      </c>
      <c r="E128" s="4">
        <v>2</v>
      </c>
      <c r="F128" s="12">
        <v>8</v>
      </c>
    </row>
    <row r="129" spans="1:6" x14ac:dyDescent="0.35">
      <c r="A129">
        <v>8</v>
      </c>
      <c r="B129">
        <v>16</v>
      </c>
      <c r="C129" t="s">
        <v>286</v>
      </c>
      <c r="D129" s="4">
        <v>10</v>
      </c>
      <c r="E129" s="4">
        <v>20</v>
      </c>
      <c r="F129" s="12">
        <v>35</v>
      </c>
    </row>
    <row r="130" spans="1:6" x14ac:dyDescent="0.35">
      <c r="A130">
        <v>9</v>
      </c>
      <c r="B130">
        <v>1</v>
      </c>
      <c r="C130" t="s">
        <v>271</v>
      </c>
      <c r="D130" s="4">
        <v>-4</v>
      </c>
      <c r="E130" s="4">
        <v>-2</v>
      </c>
      <c r="F130" s="12">
        <v>3</v>
      </c>
    </row>
    <row r="131" spans="1:6" x14ac:dyDescent="0.35">
      <c r="A131">
        <v>9</v>
      </c>
      <c r="B131">
        <v>2</v>
      </c>
      <c r="C131" t="s">
        <v>272</v>
      </c>
      <c r="D131" s="4">
        <v>150</v>
      </c>
      <c r="E131" s="4">
        <v>300</v>
      </c>
      <c r="F131" s="12">
        <v>800</v>
      </c>
    </row>
    <row r="132" spans="1:6" x14ac:dyDescent="0.35">
      <c r="A132">
        <v>9</v>
      </c>
      <c r="B132">
        <v>3</v>
      </c>
      <c r="C132" t="s">
        <v>273</v>
      </c>
      <c r="D132" s="4">
        <v>1</v>
      </c>
      <c r="E132" s="4">
        <v>2</v>
      </c>
      <c r="F132" s="12">
        <v>5</v>
      </c>
    </row>
    <row r="133" spans="1:6" x14ac:dyDescent="0.35">
      <c r="A133">
        <v>9</v>
      </c>
      <c r="B133">
        <v>4</v>
      </c>
      <c r="C133" t="s">
        <v>274</v>
      </c>
      <c r="D133" s="4">
        <v>-600</v>
      </c>
      <c r="E133" s="4">
        <v>-380</v>
      </c>
      <c r="F133" s="12">
        <v>100</v>
      </c>
    </row>
    <row r="134" spans="1:6" x14ac:dyDescent="0.35">
      <c r="A134">
        <v>9</v>
      </c>
      <c r="B134">
        <v>5</v>
      </c>
      <c r="C134" t="s">
        <v>275</v>
      </c>
      <c r="D134" s="4">
        <v>-280</v>
      </c>
      <c r="E134" s="4">
        <v>-180</v>
      </c>
      <c r="F134" s="12">
        <v>-100</v>
      </c>
    </row>
    <row r="135" spans="1:6" x14ac:dyDescent="0.35">
      <c r="A135">
        <v>9</v>
      </c>
      <c r="B135">
        <v>6</v>
      </c>
      <c r="C135" t="s">
        <v>276</v>
      </c>
      <c r="D135" s="4">
        <v>200</v>
      </c>
      <c r="E135" s="4">
        <v>800</v>
      </c>
      <c r="F135" s="12">
        <v>2000</v>
      </c>
    </row>
    <row r="136" spans="1:6" x14ac:dyDescent="0.35">
      <c r="A136">
        <v>9</v>
      </c>
      <c r="B136">
        <v>7</v>
      </c>
      <c r="C136" t="s">
        <v>277</v>
      </c>
      <c r="D136" s="4">
        <v>-6</v>
      </c>
      <c r="E136" s="4">
        <v>-2</v>
      </c>
      <c r="F136" s="12">
        <v>-0.8</v>
      </c>
    </row>
    <row r="137" spans="1:6" x14ac:dyDescent="0.35">
      <c r="A137">
        <v>9</v>
      </c>
      <c r="B137">
        <v>8</v>
      </c>
      <c r="C137" t="s">
        <v>278</v>
      </c>
      <c r="D137" s="4">
        <v>12</v>
      </c>
      <c r="E137" s="4">
        <v>25</v>
      </c>
      <c r="F137" s="12">
        <v>40</v>
      </c>
    </row>
    <row r="138" spans="1:6" x14ac:dyDescent="0.35">
      <c r="A138">
        <v>9</v>
      </c>
      <c r="B138">
        <v>9</v>
      </c>
      <c r="C138" t="s">
        <v>279</v>
      </c>
      <c r="D138" s="4">
        <v>100</v>
      </c>
      <c r="E138" s="4">
        <v>180</v>
      </c>
      <c r="F138" s="12">
        <v>270</v>
      </c>
    </row>
    <row r="139" spans="1:6" x14ac:dyDescent="0.35">
      <c r="A139">
        <v>9</v>
      </c>
      <c r="B139">
        <v>10</v>
      </c>
      <c r="C139" t="s">
        <v>280</v>
      </c>
      <c r="D139" s="4">
        <v>30</v>
      </c>
      <c r="E139" s="4">
        <v>100</v>
      </c>
      <c r="F139" s="12">
        <v>150</v>
      </c>
    </row>
    <row r="140" spans="1:6" x14ac:dyDescent="0.35">
      <c r="A140">
        <v>9</v>
      </c>
      <c r="B140">
        <v>11</v>
      </c>
      <c r="C140" t="s">
        <v>281</v>
      </c>
      <c r="D140" s="4">
        <v>100</v>
      </c>
      <c r="E140" s="4">
        <v>300</v>
      </c>
      <c r="F140" s="12">
        <v>1000</v>
      </c>
    </row>
    <row r="141" spans="1:6" x14ac:dyDescent="0.35">
      <c r="A141">
        <v>9</v>
      </c>
      <c r="B141">
        <v>12</v>
      </c>
      <c r="C141" t="s">
        <v>282</v>
      </c>
      <c r="D141" s="4">
        <v>3</v>
      </c>
      <c r="E141" s="4">
        <v>5</v>
      </c>
      <c r="F141" s="12">
        <v>20</v>
      </c>
    </row>
    <row r="142" spans="1:6" x14ac:dyDescent="0.35">
      <c r="A142">
        <v>9</v>
      </c>
      <c r="B142">
        <v>13</v>
      </c>
      <c r="C142" t="s">
        <v>283</v>
      </c>
      <c r="D142" s="4">
        <v>300</v>
      </c>
      <c r="E142" s="4">
        <v>600</v>
      </c>
      <c r="F142" s="12">
        <v>1250</v>
      </c>
    </row>
    <row r="143" spans="1:6" x14ac:dyDescent="0.35">
      <c r="A143">
        <v>9</v>
      </c>
      <c r="B143">
        <v>14</v>
      </c>
      <c r="C143" t="s">
        <v>284</v>
      </c>
      <c r="D143" s="4">
        <v>300</v>
      </c>
      <c r="E143" s="4">
        <v>1000</v>
      </c>
      <c r="F143" s="12">
        <v>2000</v>
      </c>
    </row>
    <row r="144" spans="1:6" x14ac:dyDescent="0.35">
      <c r="A144">
        <v>9</v>
      </c>
      <c r="B144">
        <v>15</v>
      </c>
      <c r="C144" t="s">
        <v>285</v>
      </c>
      <c r="D144" s="4">
        <v>1.3</v>
      </c>
      <c r="E144" s="4">
        <v>1.8</v>
      </c>
      <c r="F144" s="12">
        <v>3</v>
      </c>
    </row>
    <row r="145" spans="1:6" x14ac:dyDescent="0.35">
      <c r="A145">
        <v>9</v>
      </c>
      <c r="B145">
        <v>16</v>
      </c>
      <c r="C145" t="s">
        <v>286</v>
      </c>
      <c r="D145" s="4">
        <v>0.8</v>
      </c>
      <c r="E145" s="4">
        <v>1.3</v>
      </c>
      <c r="F145" s="12">
        <v>1.8</v>
      </c>
    </row>
    <row r="146" spans="1:6" x14ac:dyDescent="0.35">
      <c r="A146">
        <v>10</v>
      </c>
      <c r="B146">
        <v>1</v>
      </c>
      <c r="C146" t="s">
        <v>271</v>
      </c>
      <c r="D146" s="4">
        <v>5</v>
      </c>
      <c r="E146" s="4">
        <v>10</v>
      </c>
      <c r="F146" s="12">
        <v>60</v>
      </c>
    </row>
    <row r="147" spans="1:6" x14ac:dyDescent="0.35">
      <c r="A147">
        <v>10</v>
      </c>
      <c r="B147">
        <v>2</v>
      </c>
      <c r="C147" t="s">
        <v>272</v>
      </c>
      <c r="D147" s="4">
        <v>-300</v>
      </c>
      <c r="E147" s="4">
        <v>-200</v>
      </c>
      <c r="F147" s="12">
        <v>500</v>
      </c>
    </row>
    <row r="148" spans="1:6" x14ac:dyDescent="0.35">
      <c r="A148">
        <v>10</v>
      </c>
      <c r="B148">
        <v>3</v>
      </c>
      <c r="C148" t="s">
        <v>273</v>
      </c>
      <c r="D148" s="4">
        <v>0.5</v>
      </c>
      <c r="E148" s="4">
        <v>0.71</v>
      </c>
      <c r="F148" s="12">
        <v>1</v>
      </c>
    </row>
    <row r="149" spans="1:6" x14ac:dyDescent="0.35">
      <c r="A149">
        <v>10</v>
      </c>
      <c r="B149">
        <v>4</v>
      </c>
      <c r="C149" t="s">
        <v>274</v>
      </c>
      <c r="D149" s="4">
        <v>-450</v>
      </c>
      <c r="E149" s="4">
        <v>-250</v>
      </c>
      <c r="F149" s="12">
        <v>-200</v>
      </c>
    </row>
    <row r="150" spans="1:6" x14ac:dyDescent="0.35">
      <c r="A150">
        <v>10</v>
      </c>
      <c r="B150">
        <v>5</v>
      </c>
      <c r="C150" t="s">
        <v>275</v>
      </c>
      <c r="D150" s="4">
        <v>-700</v>
      </c>
      <c r="E150" s="4">
        <v>0</v>
      </c>
      <c r="F150" s="12">
        <v>700</v>
      </c>
    </row>
    <row r="151" spans="1:6" x14ac:dyDescent="0.35">
      <c r="A151">
        <v>10</v>
      </c>
      <c r="B151">
        <v>6</v>
      </c>
      <c r="C151" t="s">
        <v>276</v>
      </c>
      <c r="D151" s="4">
        <v>100</v>
      </c>
      <c r="E151" s="4">
        <v>500</v>
      </c>
      <c r="F151" s="12">
        <v>700</v>
      </c>
    </row>
    <row r="152" spans="1:6" x14ac:dyDescent="0.35">
      <c r="A152">
        <v>10</v>
      </c>
      <c r="B152">
        <v>7</v>
      </c>
      <c r="C152" t="s">
        <v>277</v>
      </c>
      <c r="D152" s="4">
        <v>-10</v>
      </c>
      <c r="E152" s="4">
        <v>0</v>
      </c>
      <c r="F152" s="12">
        <v>10</v>
      </c>
    </row>
    <row r="153" spans="1:6" x14ac:dyDescent="0.35">
      <c r="A153">
        <v>10</v>
      </c>
      <c r="B153">
        <v>8</v>
      </c>
      <c r="C153" t="s">
        <v>278</v>
      </c>
      <c r="D153" s="4">
        <v>10</v>
      </c>
      <c r="E153" s="4">
        <v>30</v>
      </c>
      <c r="F153" s="12">
        <v>40</v>
      </c>
    </row>
    <row r="154" spans="1:6" x14ac:dyDescent="0.35">
      <c r="A154">
        <v>10</v>
      </c>
      <c r="B154">
        <v>9</v>
      </c>
      <c r="C154" t="s">
        <v>279</v>
      </c>
      <c r="D154" s="4">
        <v>150</v>
      </c>
      <c r="E154" s="4">
        <v>200</v>
      </c>
      <c r="F154" s="12">
        <v>250</v>
      </c>
    </row>
    <row r="155" spans="1:6" x14ac:dyDescent="0.35">
      <c r="A155">
        <v>10</v>
      </c>
      <c r="B155">
        <v>10</v>
      </c>
      <c r="C155" t="s">
        <v>280</v>
      </c>
      <c r="D155" s="4">
        <v>10</v>
      </c>
      <c r="E155" s="4">
        <v>20</v>
      </c>
      <c r="F155" s="12">
        <v>35</v>
      </c>
    </row>
    <row r="156" spans="1:6" x14ac:dyDescent="0.35">
      <c r="A156">
        <v>10</v>
      </c>
      <c r="B156">
        <v>11</v>
      </c>
      <c r="C156" t="s">
        <v>281</v>
      </c>
      <c r="D156" s="4">
        <v>-150</v>
      </c>
      <c r="E156" s="4">
        <v>-100</v>
      </c>
      <c r="F156" s="12">
        <v>50</v>
      </c>
    </row>
    <row r="157" spans="1:6" x14ac:dyDescent="0.35">
      <c r="A157">
        <v>10</v>
      </c>
      <c r="B157">
        <v>12</v>
      </c>
      <c r="C157" t="s">
        <v>282</v>
      </c>
      <c r="D157" s="4">
        <v>7</v>
      </c>
      <c r="E157" s="4">
        <v>10</v>
      </c>
      <c r="F157" s="12">
        <v>20</v>
      </c>
    </row>
    <row r="158" spans="1:6" x14ac:dyDescent="0.35">
      <c r="A158">
        <v>10</v>
      </c>
      <c r="B158">
        <v>13</v>
      </c>
      <c r="C158" t="s">
        <v>283</v>
      </c>
      <c r="D158" s="4">
        <v>100</v>
      </c>
      <c r="E158" s="4">
        <v>250</v>
      </c>
      <c r="F158" s="12">
        <v>400</v>
      </c>
    </row>
    <row r="159" spans="1:6" x14ac:dyDescent="0.35">
      <c r="A159">
        <v>10</v>
      </c>
      <c r="B159">
        <v>14</v>
      </c>
      <c r="C159" t="s">
        <v>284</v>
      </c>
      <c r="D159" s="4">
        <v>500</v>
      </c>
      <c r="E159" s="4">
        <v>1200</v>
      </c>
      <c r="F159" s="12">
        <v>2000</v>
      </c>
    </row>
    <row r="160" spans="1:6" x14ac:dyDescent="0.35">
      <c r="A160">
        <v>10</v>
      </c>
      <c r="B160">
        <v>15</v>
      </c>
      <c r="C160" t="s">
        <v>285</v>
      </c>
      <c r="D160" s="4">
        <v>0.5</v>
      </c>
      <c r="E160" s="4">
        <v>0.75</v>
      </c>
      <c r="F160" s="12">
        <v>1.2</v>
      </c>
    </row>
    <row r="161" spans="1:6" x14ac:dyDescent="0.35">
      <c r="A161">
        <v>10</v>
      </c>
      <c r="B161">
        <v>16</v>
      </c>
      <c r="C161" t="s">
        <v>286</v>
      </c>
      <c r="D161" s="4">
        <v>12</v>
      </c>
      <c r="E161" s="4">
        <v>20</v>
      </c>
      <c r="F161" s="12">
        <v>30</v>
      </c>
    </row>
    <row r="162" spans="1:6" x14ac:dyDescent="0.35">
      <c r="A162">
        <v>11</v>
      </c>
      <c r="B162">
        <v>1</v>
      </c>
      <c r="C162" t="s">
        <v>271</v>
      </c>
      <c r="D162" s="4">
        <v>0.5</v>
      </c>
      <c r="E162" s="4">
        <v>4</v>
      </c>
      <c r="F162" s="12">
        <v>7</v>
      </c>
    </row>
    <row r="163" spans="1:6" x14ac:dyDescent="0.35">
      <c r="A163">
        <v>11</v>
      </c>
      <c r="B163">
        <v>2</v>
      </c>
      <c r="C163" t="s">
        <v>272</v>
      </c>
      <c r="D163" s="4">
        <v>-300</v>
      </c>
      <c r="E163" s="4">
        <v>50</v>
      </c>
      <c r="F163" s="12">
        <v>400</v>
      </c>
    </row>
    <row r="164" spans="1:6" x14ac:dyDescent="0.35">
      <c r="A164">
        <v>11</v>
      </c>
      <c r="B164">
        <v>3</v>
      </c>
      <c r="C164" t="s">
        <v>273</v>
      </c>
      <c r="D164" s="4">
        <v>-10</v>
      </c>
      <c r="E164" s="4">
        <v>1</v>
      </c>
      <c r="F164" s="12">
        <v>10</v>
      </c>
    </row>
    <row r="165" spans="1:6" x14ac:dyDescent="0.35">
      <c r="A165">
        <v>11</v>
      </c>
      <c r="B165">
        <v>4</v>
      </c>
      <c r="C165" t="s">
        <v>274</v>
      </c>
      <c r="D165" s="4">
        <v>-600</v>
      </c>
      <c r="E165" s="4">
        <v>-400</v>
      </c>
      <c r="F165" s="12">
        <v>-370</v>
      </c>
    </row>
    <row r="166" spans="1:6" x14ac:dyDescent="0.35">
      <c r="A166">
        <v>11</v>
      </c>
      <c r="B166">
        <v>5</v>
      </c>
      <c r="C166" t="s">
        <v>275</v>
      </c>
      <c r="D166" s="4">
        <v>-300</v>
      </c>
      <c r="E166" s="4">
        <v>-150</v>
      </c>
      <c r="F166" s="12">
        <v>-138</v>
      </c>
    </row>
    <row r="167" spans="1:6" x14ac:dyDescent="0.35">
      <c r="A167">
        <v>11</v>
      </c>
      <c r="B167">
        <v>6</v>
      </c>
      <c r="C167" t="s">
        <v>276</v>
      </c>
      <c r="D167" s="4">
        <v>0</v>
      </c>
      <c r="E167" s="4">
        <v>100</v>
      </c>
      <c r="F167" s="12">
        <v>10000</v>
      </c>
    </row>
    <row r="168" spans="1:6" x14ac:dyDescent="0.35">
      <c r="A168">
        <v>11</v>
      </c>
      <c r="B168">
        <v>7</v>
      </c>
      <c r="C168" t="s">
        <v>277</v>
      </c>
      <c r="D168" s="4">
        <v>-20</v>
      </c>
      <c r="E168" s="4">
        <v>5</v>
      </c>
      <c r="F168" s="12">
        <v>20</v>
      </c>
    </row>
    <row r="169" spans="1:6" x14ac:dyDescent="0.35">
      <c r="A169">
        <v>11</v>
      </c>
      <c r="B169">
        <v>8</v>
      </c>
      <c r="C169" t="s">
        <v>278</v>
      </c>
      <c r="D169" s="4">
        <v>5</v>
      </c>
      <c r="E169" s="4">
        <v>10</v>
      </c>
      <c r="F169" s="12">
        <v>60</v>
      </c>
    </row>
    <row r="170" spans="1:6" x14ac:dyDescent="0.35">
      <c r="A170">
        <v>11</v>
      </c>
      <c r="B170">
        <v>9</v>
      </c>
      <c r="C170" t="s">
        <v>279</v>
      </c>
      <c r="D170" s="4">
        <v>50</v>
      </c>
      <c r="E170" s="4">
        <v>180</v>
      </c>
      <c r="F170" s="12">
        <v>360</v>
      </c>
    </row>
    <row r="171" spans="1:6" x14ac:dyDescent="0.35">
      <c r="A171">
        <v>11</v>
      </c>
      <c r="B171">
        <v>10</v>
      </c>
      <c r="C171" t="s">
        <v>280</v>
      </c>
      <c r="D171" s="4">
        <v>1</v>
      </c>
      <c r="E171" s="4">
        <v>8</v>
      </c>
      <c r="F171" s="12">
        <v>50</v>
      </c>
    </row>
    <row r="172" spans="1:6" x14ac:dyDescent="0.35">
      <c r="A172">
        <v>11</v>
      </c>
      <c r="B172">
        <v>11</v>
      </c>
      <c r="C172" t="s">
        <v>281</v>
      </c>
      <c r="D172" s="4">
        <v>10</v>
      </c>
      <c r="E172" s="4">
        <v>50</v>
      </c>
      <c r="F172" s="12">
        <v>1000</v>
      </c>
    </row>
    <row r="173" spans="1:6" x14ac:dyDescent="0.35">
      <c r="A173">
        <v>11</v>
      </c>
      <c r="B173">
        <v>12</v>
      </c>
      <c r="C173" t="s">
        <v>282</v>
      </c>
      <c r="D173" s="4">
        <v>0.5</v>
      </c>
      <c r="E173" s="4">
        <v>70</v>
      </c>
      <c r="F173" s="12">
        <v>200</v>
      </c>
    </row>
    <row r="174" spans="1:6" x14ac:dyDescent="0.35">
      <c r="A174">
        <v>11</v>
      </c>
      <c r="B174">
        <v>13</v>
      </c>
      <c r="C174" t="s">
        <v>283</v>
      </c>
      <c r="D174" s="4">
        <v>10</v>
      </c>
      <c r="E174" s="4">
        <v>50</v>
      </c>
      <c r="F174" s="12">
        <v>500</v>
      </c>
    </row>
    <row r="175" spans="1:6" x14ac:dyDescent="0.35">
      <c r="A175">
        <v>11</v>
      </c>
      <c r="B175">
        <v>14</v>
      </c>
      <c r="C175" t="s">
        <v>284</v>
      </c>
      <c r="D175" s="4">
        <v>50</v>
      </c>
      <c r="E175" s="4">
        <v>100</v>
      </c>
      <c r="F175" s="12">
        <v>500</v>
      </c>
    </row>
    <row r="176" spans="1:6" x14ac:dyDescent="0.35">
      <c r="A176">
        <v>11</v>
      </c>
      <c r="B176">
        <v>15</v>
      </c>
      <c r="C176" t="s">
        <v>285</v>
      </c>
      <c r="D176" s="4">
        <v>1.2</v>
      </c>
      <c r="E176" s="4">
        <v>6</v>
      </c>
      <c r="F176" s="12">
        <v>13</v>
      </c>
    </row>
    <row r="177" spans="1:6" x14ac:dyDescent="0.35">
      <c r="A177">
        <v>11</v>
      </c>
      <c r="B177">
        <v>16</v>
      </c>
      <c r="C177" t="s">
        <v>286</v>
      </c>
      <c r="D177" s="4">
        <v>12</v>
      </c>
      <c r="E177" s="4">
        <v>20</v>
      </c>
      <c r="F177" s="12">
        <v>24</v>
      </c>
    </row>
    <row r="178" spans="1:6" x14ac:dyDescent="0.35">
      <c r="A178">
        <v>12</v>
      </c>
      <c r="B178">
        <v>1</v>
      </c>
      <c r="C178" t="s">
        <v>271</v>
      </c>
      <c r="D178" s="4">
        <v>0</v>
      </c>
      <c r="E178" s="4">
        <v>8</v>
      </c>
      <c r="F178" s="12">
        <v>20</v>
      </c>
    </row>
    <row r="179" spans="1:6" x14ac:dyDescent="0.35">
      <c r="A179">
        <v>12</v>
      </c>
      <c r="B179">
        <v>2</v>
      </c>
      <c r="C179" t="s">
        <v>272</v>
      </c>
      <c r="D179" s="4">
        <v>-500</v>
      </c>
      <c r="E179" s="4">
        <v>300</v>
      </c>
      <c r="F179" s="12">
        <v>500</v>
      </c>
    </row>
    <row r="180" spans="1:6" x14ac:dyDescent="0.35">
      <c r="A180">
        <v>12</v>
      </c>
      <c r="B180">
        <v>3</v>
      </c>
      <c r="C180" t="s">
        <v>273</v>
      </c>
      <c r="D180" s="4">
        <v>0.1</v>
      </c>
      <c r="E180" s="4">
        <v>0.5</v>
      </c>
      <c r="F180" s="12">
        <v>3</v>
      </c>
    </row>
    <row r="181" spans="1:6" x14ac:dyDescent="0.35">
      <c r="A181">
        <v>12</v>
      </c>
      <c r="B181">
        <v>4</v>
      </c>
      <c r="C181" t="s">
        <v>274</v>
      </c>
      <c r="D181" s="4">
        <v>-600</v>
      </c>
      <c r="E181" s="4">
        <v>-540</v>
      </c>
      <c r="F181" s="12">
        <v>-270</v>
      </c>
    </row>
    <row r="182" spans="1:6" x14ac:dyDescent="0.35">
      <c r="A182">
        <v>12</v>
      </c>
      <c r="B182">
        <v>5</v>
      </c>
      <c r="C182" t="s">
        <v>275</v>
      </c>
      <c r="D182" s="4">
        <v>-400</v>
      </c>
      <c r="E182" s="4">
        <v>-138</v>
      </c>
      <c r="F182" s="12">
        <v>0</v>
      </c>
    </row>
    <row r="183" spans="1:6" x14ac:dyDescent="0.35">
      <c r="A183">
        <v>12</v>
      </c>
      <c r="B183">
        <v>6</v>
      </c>
      <c r="C183" t="s">
        <v>276</v>
      </c>
      <c r="D183" s="4">
        <v>-300</v>
      </c>
      <c r="E183" s="4">
        <v>200</v>
      </c>
      <c r="F183" s="12">
        <v>1000</v>
      </c>
    </row>
    <row r="184" spans="1:6" x14ac:dyDescent="0.35">
      <c r="A184">
        <v>12</v>
      </c>
      <c r="B184">
        <v>7</v>
      </c>
      <c r="C184" t="s">
        <v>277</v>
      </c>
      <c r="D184" s="4">
        <v>-50</v>
      </c>
      <c r="E184" s="4">
        <v>-28</v>
      </c>
      <c r="F184" s="12">
        <v>50</v>
      </c>
    </row>
    <row r="185" spans="1:6" x14ac:dyDescent="0.35">
      <c r="A185">
        <v>12</v>
      </c>
      <c r="B185">
        <v>8</v>
      </c>
      <c r="C185" t="s">
        <v>278</v>
      </c>
      <c r="D185" s="4">
        <v>15</v>
      </c>
      <c r="E185" s="4">
        <v>60</v>
      </c>
      <c r="F185" s="12">
        <v>120</v>
      </c>
    </row>
    <row r="186" spans="1:6" x14ac:dyDescent="0.35">
      <c r="A186">
        <v>12</v>
      </c>
      <c r="B186">
        <v>9</v>
      </c>
      <c r="C186" t="s">
        <v>279</v>
      </c>
      <c r="D186" s="4">
        <v>210</v>
      </c>
      <c r="E186" s="4">
        <v>250</v>
      </c>
      <c r="F186" s="12">
        <v>280</v>
      </c>
    </row>
    <row r="187" spans="1:6" x14ac:dyDescent="0.35">
      <c r="A187">
        <v>12</v>
      </c>
      <c r="B187">
        <v>10</v>
      </c>
      <c r="C187" t="s">
        <v>280</v>
      </c>
      <c r="D187" s="4">
        <v>2</v>
      </c>
      <c r="E187" s="4">
        <v>20</v>
      </c>
      <c r="F187" s="12">
        <v>100</v>
      </c>
    </row>
    <row r="188" spans="1:6" x14ac:dyDescent="0.35">
      <c r="A188">
        <v>12</v>
      </c>
      <c r="B188">
        <v>11</v>
      </c>
      <c r="C188" t="s">
        <v>281</v>
      </c>
      <c r="D188" s="4">
        <v>-1000</v>
      </c>
      <c r="E188" s="4">
        <v>-100</v>
      </c>
      <c r="F188" s="12">
        <v>200</v>
      </c>
    </row>
    <row r="189" spans="1:6" x14ac:dyDescent="0.35">
      <c r="A189">
        <v>12</v>
      </c>
      <c r="B189">
        <v>12</v>
      </c>
      <c r="C189" t="s">
        <v>282</v>
      </c>
      <c r="D189" s="4">
        <v>2</v>
      </c>
      <c r="E189" s="4">
        <v>70</v>
      </c>
      <c r="F189" s="12">
        <v>300</v>
      </c>
    </row>
    <row r="190" spans="1:6" x14ac:dyDescent="0.35">
      <c r="A190">
        <v>12</v>
      </c>
      <c r="B190">
        <v>13</v>
      </c>
      <c r="C190" t="s">
        <v>283</v>
      </c>
      <c r="D190" s="4">
        <v>50</v>
      </c>
      <c r="E190" s="4">
        <v>500</v>
      </c>
      <c r="F190" s="12">
        <v>1000</v>
      </c>
    </row>
    <row r="191" spans="1:6" x14ac:dyDescent="0.35">
      <c r="A191">
        <v>12</v>
      </c>
      <c r="B191">
        <v>14</v>
      </c>
      <c r="C191" t="s">
        <v>284</v>
      </c>
      <c r="D191" s="4">
        <v>50</v>
      </c>
      <c r="E191" s="4">
        <v>500</v>
      </c>
      <c r="F191" s="12">
        <v>5000</v>
      </c>
    </row>
    <row r="192" spans="1:6" x14ac:dyDescent="0.35">
      <c r="A192">
        <v>12</v>
      </c>
      <c r="B192">
        <v>15</v>
      </c>
      <c r="C192" t="s">
        <v>285</v>
      </c>
      <c r="D192" s="4">
        <v>-1</v>
      </c>
      <c r="E192" s="4">
        <v>4</v>
      </c>
      <c r="F192" s="12">
        <v>16</v>
      </c>
    </row>
    <row r="193" spans="1:6" x14ac:dyDescent="0.35">
      <c r="A193">
        <v>12</v>
      </c>
      <c r="B193">
        <v>16</v>
      </c>
      <c r="C193" t="s">
        <v>286</v>
      </c>
      <c r="D193" s="4">
        <v>0</v>
      </c>
      <c r="E193" s="4">
        <v>2</v>
      </c>
      <c r="F193" s="12">
        <v>10</v>
      </c>
    </row>
    <row r="194" spans="1:6" x14ac:dyDescent="0.35">
      <c r="A194">
        <v>13</v>
      </c>
      <c r="B194">
        <v>1</v>
      </c>
      <c r="C194" t="s">
        <v>271</v>
      </c>
      <c r="D194" s="4">
        <v>0</v>
      </c>
      <c r="E194" s="4">
        <v>4</v>
      </c>
      <c r="F194" s="12">
        <v>8</v>
      </c>
    </row>
    <row r="195" spans="1:6" x14ac:dyDescent="0.35">
      <c r="A195">
        <v>13</v>
      </c>
      <c r="B195">
        <v>2</v>
      </c>
      <c r="C195" t="s">
        <v>272</v>
      </c>
      <c r="D195" s="4">
        <v>200</v>
      </c>
      <c r="E195" s="4">
        <v>400</v>
      </c>
      <c r="F195" s="12">
        <v>800</v>
      </c>
    </row>
    <row r="196" spans="1:6" x14ac:dyDescent="0.35">
      <c r="A196">
        <v>13</v>
      </c>
      <c r="B196">
        <v>3</v>
      </c>
      <c r="C196" t="s">
        <v>273</v>
      </c>
      <c r="D196" s="4">
        <v>1</v>
      </c>
      <c r="E196" s="4">
        <v>2</v>
      </c>
      <c r="F196" s="12">
        <v>10</v>
      </c>
    </row>
    <row r="197" spans="1:6" x14ac:dyDescent="0.35">
      <c r="A197">
        <v>13</v>
      </c>
      <c r="B197">
        <v>4</v>
      </c>
      <c r="C197" t="s">
        <v>274</v>
      </c>
      <c r="D197" s="4">
        <v>-200</v>
      </c>
      <c r="E197" s="4">
        <v>-160</v>
      </c>
      <c r="F197" s="12">
        <v>-90</v>
      </c>
    </row>
    <row r="198" spans="1:6" x14ac:dyDescent="0.35">
      <c r="A198">
        <v>13</v>
      </c>
      <c r="B198">
        <v>5</v>
      </c>
      <c r="C198" t="s">
        <v>275</v>
      </c>
      <c r="D198" s="4">
        <v>-40</v>
      </c>
      <c r="E198" s="4">
        <v>-35</v>
      </c>
      <c r="F198" s="12">
        <v>-30</v>
      </c>
    </row>
    <row r="199" spans="1:6" x14ac:dyDescent="0.35">
      <c r="A199">
        <v>13</v>
      </c>
      <c r="B199">
        <v>6</v>
      </c>
      <c r="C199" t="s">
        <v>276</v>
      </c>
      <c r="D199" s="4">
        <v>0</v>
      </c>
      <c r="E199" s="4">
        <v>250</v>
      </c>
      <c r="F199" s="12">
        <v>500</v>
      </c>
    </row>
    <row r="200" spans="1:6" x14ac:dyDescent="0.35">
      <c r="A200">
        <v>13</v>
      </c>
      <c r="B200">
        <v>7</v>
      </c>
      <c r="C200" t="s">
        <v>277</v>
      </c>
      <c r="D200" s="4">
        <v>-20</v>
      </c>
      <c r="E200" s="4">
        <v>0</v>
      </c>
      <c r="F200" s="12">
        <v>20</v>
      </c>
    </row>
    <row r="201" spans="1:6" x14ac:dyDescent="0.35">
      <c r="A201">
        <v>13</v>
      </c>
      <c r="B201">
        <v>8</v>
      </c>
      <c r="C201" t="s">
        <v>278</v>
      </c>
      <c r="D201" s="4">
        <v>20</v>
      </c>
      <c r="E201" s="4">
        <v>40</v>
      </c>
      <c r="F201" s="12">
        <v>100</v>
      </c>
    </row>
    <row r="202" spans="1:6" x14ac:dyDescent="0.35">
      <c r="A202">
        <v>13</v>
      </c>
      <c r="B202">
        <v>9</v>
      </c>
      <c r="C202" t="s">
        <v>279</v>
      </c>
      <c r="D202" s="4">
        <v>100</v>
      </c>
      <c r="E202" s="4">
        <v>200</v>
      </c>
      <c r="F202" s="12">
        <v>300</v>
      </c>
    </row>
    <row r="203" spans="1:6" x14ac:dyDescent="0.35">
      <c r="A203">
        <v>13</v>
      </c>
      <c r="B203">
        <v>10</v>
      </c>
      <c r="C203" t="s">
        <v>280</v>
      </c>
      <c r="D203" s="4">
        <v>5</v>
      </c>
      <c r="E203" s="4">
        <v>20</v>
      </c>
      <c r="F203" s="12">
        <v>50</v>
      </c>
    </row>
    <row r="204" spans="1:6" x14ac:dyDescent="0.35">
      <c r="A204">
        <v>13</v>
      </c>
      <c r="B204">
        <v>11</v>
      </c>
      <c r="C204" t="s">
        <v>281</v>
      </c>
      <c r="D204" s="4">
        <v>-50</v>
      </c>
      <c r="E204" s="4">
        <v>0</v>
      </c>
      <c r="F204" s="12">
        <v>50</v>
      </c>
    </row>
    <row r="205" spans="1:6" x14ac:dyDescent="0.35">
      <c r="A205">
        <v>13</v>
      </c>
      <c r="B205">
        <v>12</v>
      </c>
      <c r="C205" t="s">
        <v>282</v>
      </c>
      <c r="D205" s="4">
        <v>5</v>
      </c>
      <c r="E205" s="4">
        <v>10</v>
      </c>
      <c r="F205" s="12">
        <v>20</v>
      </c>
    </row>
    <row r="206" spans="1:6" x14ac:dyDescent="0.35">
      <c r="A206">
        <v>13</v>
      </c>
      <c r="B206">
        <v>13</v>
      </c>
      <c r="C206" t="s">
        <v>283</v>
      </c>
      <c r="D206" s="4">
        <v>500</v>
      </c>
      <c r="E206" s="4">
        <v>1000</v>
      </c>
      <c r="F206" s="12">
        <v>2000</v>
      </c>
    </row>
    <row r="207" spans="1:6" x14ac:dyDescent="0.35">
      <c r="A207">
        <v>13</v>
      </c>
      <c r="B207">
        <v>14</v>
      </c>
      <c r="C207" t="s">
        <v>284</v>
      </c>
      <c r="D207" s="4">
        <v>3000</v>
      </c>
      <c r="E207" s="4">
        <v>8000</v>
      </c>
      <c r="F207" s="12">
        <v>14000</v>
      </c>
    </row>
    <row r="208" spans="1:6" x14ac:dyDescent="0.35">
      <c r="A208">
        <v>13</v>
      </c>
      <c r="B208">
        <v>15</v>
      </c>
      <c r="C208" t="s">
        <v>285</v>
      </c>
      <c r="D208" s="4">
        <v>2</v>
      </c>
      <c r="E208" s="4">
        <v>5</v>
      </c>
      <c r="F208" s="12">
        <v>10</v>
      </c>
    </row>
    <row r="209" spans="1:6" x14ac:dyDescent="0.35">
      <c r="A209">
        <v>13</v>
      </c>
      <c r="B209">
        <v>16</v>
      </c>
      <c r="C209" t="s">
        <v>286</v>
      </c>
      <c r="D209" s="4">
        <v>10</v>
      </c>
      <c r="E209" s="4">
        <v>20</v>
      </c>
      <c r="F209" s="12">
        <v>30</v>
      </c>
    </row>
    <row r="210" spans="1:6" x14ac:dyDescent="0.35">
      <c r="A210">
        <v>14</v>
      </c>
      <c r="B210">
        <v>1</v>
      </c>
      <c r="C210" t="s">
        <v>271</v>
      </c>
      <c r="D210" s="4">
        <v>2</v>
      </c>
      <c r="E210" s="4">
        <v>6</v>
      </c>
      <c r="F210" s="12">
        <v>10</v>
      </c>
    </row>
    <row r="211" spans="1:6" x14ac:dyDescent="0.35">
      <c r="A211">
        <v>14</v>
      </c>
      <c r="B211">
        <v>2</v>
      </c>
      <c r="C211" t="s">
        <v>272</v>
      </c>
      <c r="D211" s="4">
        <v>-500</v>
      </c>
      <c r="E211" s="4">
        <v>150</v>
      </c>
      <c r="F211" s="12">
        <v>500</v>
      </c>
    </row>
    <row r="212" spans="1:6" x14ac:dyDescent="0.35">
      <c r="A212">
        <v>14</v>
      </c>
      <c r="B212">
        <v>3</v>
      </c>
      <c r="C212" t="s">
        <v>273</v>
      </c>
      <c r="D212" s="4">
        <v>1</v>
      </c>
      <c r="E212" s="4">
        <v>5</v>
      </c>
      <c r="F212" s="12">
        <v>15</v>
      </c>
    </row>
    <row r="213" spans="1:6" x14ac:dyDescent="0.35">
      <c r="A213">
        <v>14</v>
      </c>
      <c r="B213">
        <v>4</v>
      </c>
      <c r="C213" t="s">
        <v>274</v>
      </c>
      <c r="D213" s="4">
        <v>-900</v>
      </c>
      <c r="E213" s="4">
        <v>-600</v>
      </c>
      <c r="F213" s="12">
        <v>-400</v>
      </c>
    </row>
    <row r="214" spans="1:6" x14ac:dyDescent="0.35">
      <c r="A214">
        <v>14</v>
      </c>
      <c r="B214">
        <v>5</v>
      </c>
      <c r="C214" t="s">
        <v>275</v>
      </c>
      <c r="D214" s="4">
        <v>250</v>
      </c>
      <c r="E214" s="4">
        <v>350</v>
      </c>
      <c r="F214" s="12">
        <v>500</v>
      </c>
    </row>
    <row r="215" spans="1:6" x14ac:dyDescent="0.35">
      <c r="A215">
        <v>14</v>
      </c>
      <c r="B215">
        <v>6</v>
      </c>
      <c r="C215" t="s">
        <v>276</v>
      </c>
      <c r="D215" s="4">
        <v>50</v>
      </c>
      <c r="E215" s="4">
        <v>150</v>
      </c>
      <c r="F215" s="12">
        <v>500</v>
      </c>
    </row>
    <row r="216" spans="1:6" x14ac:dyDescent="0.35">
      <c r="A216">
        <v>14</v>
      </c>
      <c r="B216">
        <v>7</v>
      </c>
      <c r="C216" t="s">
        <v>277</v>
      </c>
      <c r="D216" s="4">
        <v>-14</v>
      </c>
      <c r="E216" s="4">
        <v>2</v>
      </c>
      <c r="F216" s="12">
        <v>16</v>
      </c>
    </row>
    <row r="217" spans="1:6" x14ac:dyDescent="0.35">
      <c r="A217">
        <v>14</v>
      </c>
      <c r="B217">
        <v>8</v>
      </c>
      <c r="C217" t="s">
        <v>278</v>
      </c>
      <c r="D217" s="4">
        <v>20</v>
      </c>
      <c r="E217" s="4">
        <v>35</v>
      </c>
      <c r="F217" s="12">
        <v>50</v>
      </c>
    </row>
    <row r="218" spans="1:6" x14ac:dyDescent="0.35">
      <c r="A218">
        <v>14</v>
      </c>
      <c r="B218">
        <v>9</v>
      </c>
      <c r="C218" t="s">
        <v>279</v>
      </c>
      <c r="D218" s="4">
        <v>110</v>
      </c>
      <c r="E218" s="4">
        <v>140</v>
      </c>
      <c r="F218" s="12">
        <v>170</v>
      </c>
    </row>
    <row r="219" spans="1:6" x14ac:dyDescent="0.35">
      <c r="A219">
        <v>14</v>
      </c>
      <c r="B219">
        <v>10</v>
      </c>
      <c r="C219" t="s">
        <v>280</v>
      </c>
      <c r="D219" s="4">
        <v>5</v>
      </c>
      <c r="E219" s="4">
        <v>20</v>
      </c>
      <c r="F219" s="12">
        <v>35</v>
      </c>
    </row>
    <row r="220" spans="1:6" x14ac:dyDescent="0.35">
      <c r="A220">
        <v>14</v>
      </c>
      <c r="B220">
        <v>11</v>
      </c>
      <c r="C220" t="s">
        <v>281</v>
      </c>
      <c r="D220" s="4">
        <v>-15</v>
      </c>
      <c r="E220" s="4">
        <v>-2</v>
      </c>
      <c r="F220" s="12">
        <v>13</v>
      </c>
    </row>
    <row r="221" spans="1:6" x14ac:dyDescent="0.35">
      <c r="A221">
        <v>14</v>
      </c>
      <c r="B221">
        <v>12</v>
      </c>
      <c r="C221" t="s">
        <v>282</v>
      </c>
      <c r="D221" s="4">
        <v>2</v>
      </c>
      <c r="E221" s="4">
        <v>7</v>
      </c>
      <c r="F221" s="12">
        <v>15</v>
      </c>
    </row>
    <row r="222" spans="1:6" x14ac:dyDescent="0.35">
      <c r="A222">
        <v>14</v>
      </c>
      <c r="B222">
        <v>13</v>
      </c>
      <c r="C222" t="s">
        <v>283</v>
      </c>
      <c r="D222" s="4">
        <v>50</v>
      </c>
      <c r="E222" s="4">
        <v>100</v>
      </c>
      <c r="F222" s="12">
        <v>200</v>
      </c>
    </row>
    <row r="223" spans="1:6" x14ac:dyDescent="0.35">
      <c r="A223">
        <v>14</v>
      </c>
      <c r="B223">
        <v>14</v>
      </c>
      <c r="C223" t="s">
        <v>284</v>
      </c>
      <c r="D223" s="4">
        <v>500</v>
      </c>
      <c r="E223" s="4">
        <v>3000</v>
      </c>
      <c r="F223" s="12">
        <v>7000</v>
      </c>
    </row>
    <row r="224" spans="1:6" x14ac:dyDescent="0.35">
      <c r="A224">
        <v>14</v>
      </c>
      <c r="B224">
        <v>15</v>
      </c>
      <c r="C224" t="s">
        <v>285</v>
      </c>
      <c r="D224" s="4">
        <v>1</v>
      </c>
      <c r="E224" s="4">
        <v>2</v>
      </c>
      <c r="F224" s="12">
        <v>5</v>
      </c>
    </row>
    <row r="225" spans="1:6" x14ac:dyDescent="0.35">
      <c r="A225">
        <v>14</v>
      </c>
      <c r="B225">
        <v>16</v>
      </c>
      <c r="C225" t="s">
        <v>286</v>
      </c>
      <c r="D225" s="4">
        <v>20</v>
      </c>
      <c r="E225" s="4">
        <v>25</v>
      </c>
      <c r="F225" s="12">
        <v>30</v>
      </c>
    </row>
    <row r="226" spans="1:6" x14ac:dyDescent="0.35">
      <c r="A226">
        <v>15</v>
      </c>
      <c r="B226">
        <v>1</v>
      </c>
      <c r="C226" t="s">
        <v>271</v>
      </c>
      <c r="D226" s="4">
        <v>2</v>
      </c>
      <c r="E226" s="4">
        <v>8</v>
      </c>
      <c r="F226" s="12">
        <v>15</v>
      </c>
    </row>
    <row r="227" spans="1:6" x14ac:dyDescent="0.35">
      <c r="A227">
        <v>15</v>
      </c>
      <c r="B227">
        <v>2</v>
      </c>
      <c r="C227" t="s">
        <v>272</v>
      </c>
      <c r="D227" s="4">
        <v>-200</v>
      </c>
      <c r="E227" s="4">
        <v>200</v>
      </c>
      <c r="F227" s="12">
        <v>500</v>
      </c>
    </row>
    <row r="228" spans="1:6" x14ac:dyDescent="0.35">
      <c r="A228">
        <v>15</v>
      </c>
      <c r="B228">
        <v>3</v>
      </c>
      <c r="C228" t="s">
        <v>273</v>
      </c>
      <c r="D228" s="4">
        <v>0.1</v>
      </c>
      <c r="E228" s="4">
        <v>1</v>
      </c>
      <c r="F228" s="12">
        <v>10</v>
      </c>
    </row>
    <row r="229" spans="1:6" x14ac:dyDescent="0.35">
      <c r="A229">
        <v>15</v>
      </c>
      <c r="B229">
        <v>4</v>
      </c>
      <c r="C229" t="s">
        <v>274</v>
      </c>
      <c r="D229" s="4">
        <v>-500</v>
      </c>
      <c r="E229" s="4">
        <v>-300</v>
      </c>
      <c r="F229" s="12">
        <v>-200</v>
      </c>
    </row>
    <row r="230" spans="1:6" x14ac:dyDescent="0.35">
      <c r="A230">
        <v>15</v>
      </c>
      <c r="B230">
        <v>5</v>
      </c>
      <c r="C230" t="s">
        <v>275</v>
      </c>
      <c r="D230" s="4">
        <v>-250</v>
      </c>
      <c r="E230" s="4">
        <v>-180</v>
      </c>
      <c r="F230" s="12">
        <v>-130</v>
      </c>
    </row>
    <row r="231" spans="1:6" x14ac:dyDescent="0.35">
      <c r="A231">
        <v>15</v>
      </c>
      <c r="B231">
        <v>6</v>
      </c>
      <c r="C231" t="s">
        <v>276</v>
      </c>
      <c r="D231" s="4">
        <v>50</v>
      </c>
      <c r="E231" s="4">
        <v>500</v>
      </c>
      <c r="F231" s="12">
        <v>2000</v>
      </c>
    </row>
    <row r="232" spans="1:6" x14ac:dyDescent="0.35">
      <c r="A232">
        <v>15</v>
      </c>
      <c r="B232">
        <v>7</v>
      </c>
      <c r="C232" t="s">
        <v>277</v>
      </c>
      <c r="D232" s="4">
        <v>-10</v>
      </c>
      <c r="E232" s="4">
        <v>0</v>
      </c>
      <c r="F232" s="12">
        <v>10</v>
      </c>
    </row>
    <row r="233" spans="1:6" x14ac:dyDescent="0.35">
      <c r="A233">
        <v>15</v>
      </c>
      <c r="B233">
        <v>8</v>
      </c>
      <c r="C233" t="s">
        <v>278</v>
      </c>
      <c r="D233" s="4">
        <v>100</v>
      </c>
      <c r="E233" s="4">
        <v>120</v>
      </c>
      <c r="F233" s="12">
        <v>200</v>
      </c>
    </row>
    <row r="234" spans="1:6" x14ac:dyDescent="0.35">
      <c r="A234">
        <v>15</v>
      </c>
      <c r="B234">
        <v>9</v>
      </c>
      <c r="C234" t="s">
        <v>279</v>
      </c>
      <c r="D234" s="4">
        <v>100</v>
      </c>
      <c r="E234" s="4">
        <v>200</v>
      </c>
      <c r="F234" s="12">
        <v>300</v>
      </c>
    </row>
    <row r="235" spans="1:6" x14ac:dyDescent="0.35">
      <c r="A235">
        <v>15</v>
      </c>
      <c r="B235">
        <v>10</v>
      </c>
      <c r="C235" t="s">
        <v>280</v>
      </c>
      <c r="D235" s="4">
        <v>5</v>
      </c>
      <c r="E235" s="4">
        <v>20</v>
      </c>
      <c r="F235" s="12">
        <v>60</v>
      </c>
    </row>
    <row r="236" spans="1:6" x14ac:dyDescent="0.35">
      <c r="A236">
        <v>15</v>
      </c>
      <c r="B236">
        <v>11</v>
      </c>
      <c r="C236" t="s">
        <v>281</v>
      </c>
      <c r="D236" s="4">
        <v>-500</v>
      </c>
      <c r="E236" s="4">
        <v>0</v>
      </c>
      <c r="F236" s="12">
        <v>500</v>
      </c>
    </row>
    <row r="237" spans="1:6" x14ac:dyDescent="0.35">
      <c r="A237">
        <v>15</v>
      </c>
      <c r="B237">
        <v>12</v>
      </c>
      <c r="C237" t="s">
        <v>282</v>
      </c>
      <c r="D237" s="4">
        <v>1</v>
      </c>
      <c r="E237" s="4">
        <v>5</v>
      </c>
      <c r="F237" s="12">
        <v>20</v>
      </c>
    </row>
    <row r="238" spans="1:6" x14ac:dyDescent="0.35">
      <c r="A238">
        <v>15</v>
      </c>
      <c r="B238">
        <v>13</v>
      </c>
      <c r="C238" t="s">
        <v>283</v>
      </c>
      <c r="D238" s="4">
        <v>500</v>
      </c>
      <c r="E238" s="4">
        <v>1000</v>
      </c>
      <c r="F238" s="12">
        <v>2000</v>
      </c>
    </row>
    <row r="239" spans="1:6" x14ac:dyDescent="0.35">
      <c r="A239">
        <v>15</v>
      </c>
      <c r="B239">
        <v>14</v>
      </c>
      <c r="C239" t="s">
        <v>284</v>
      </c>
      <c r="D239" s="4">
        <v>1</v>
      </c>
      <c r="E239" s="4">
        <v>3</v>
      </c>
      <c r="F239" s="12">
        <v>8</v>
      </c>
    </row>
    <row r="240" spans="1:6" x14ac:dyDescent="0.35">
      <c r="A240">
        <v>15</v>
      </c>
      <c r="B240">
        <v>15</v>
      </c>
      <c r="C240" t="s">
        <v>285</v>
      </c>
      <c r="D240" s="4">
        <v>1</v>
      </c>
      <c r="E240" s="4">
        <v>1.5</v>
      </c>
      <c r="F240" s="12">
        <v>3</v>
      </c>
    </row>
    <row r="241" spans="1:6" x14ac:dyDescent="0.35">
      <c r="A241">
        <v>15</v>
      </c>
      <c r="B241">
        <v>16</v>
      </c>
      <c r="C241" t="s">
        <v>286</v>
      </c>
      <c r="D241" s="4">
        <v>10</v>
      </c>
      <c r="E241" s="4">
        <v>15</v>
      </c>
      <c r="F241" s="12">
        <v>20</v>
      </c>
    </row>
    <row r="242" spans="1:6" x14ac:dyDescent="0.35">
      <c r="A242">
        <v>16</v>
      </c>
      <c r="B242">
        <v>1</v>
      </c>
      <c r="C242" t="s">
        <v>271</v>
      </c>
      <c r="D242" s="4">
        <v>5</v>
      </c>
      <c r="E242" s="4">
        <v>8</v>
      </c>
      <c r="F242" s="12">
        <v>12</v>
      </c>
    </row>
    <row r="243" spans="1:6" x14ac:dyDescent="0.35">
      <c r="A243">
        <v>16</v>
      </c>
      <c r="B243">
        <v>2</v>
      </c>
      <c r="C243" t="s">
        <v>272</v>
      </c>
      <c r="D243" s="4">
        <v>-100</v>
      </c>
      <c r="E243" s="4">
        <v>300</v>
      </c>
      <c r="F243" s="12">
        <v>600</v>
      </c>
    </row>
    <row r="244" spans="1:6" x14ac:dyDescent="0.35">
      <c r="A244">
        <v>16</v>
      </c>
      <c r="B244">
        <v>3</v>
      </c>
      <c r="C244" t="s">
        <v>273</v>
      </c>
      <c r="D244" s="4">
        <v>1</v>
      </c>
      <c r="E244" s="4">
        <v>10</v>
      </c>
      <c r="F244" s="12">
        <v>30</v>
      </c>
    </row>
    <row r="245" spans="1:6" x14ac:dyDescent="0.35">
      <c r="A245">
        <v>16</v>
      </c>
      <c r="B245">
        <v>4</v>
      </c>
      <c r="C245" t="s">
        <v>274</v>
      </c>
      <c r="D245" s="4">
        <v>-300</v>
      </c>
      <c r="E245" s="4">
        <v>-250</v>
      </c>
      <c r="F245" s="12">
        <v>-50</v>
      </c>
    </row>
    <row r="246" spans="1:6" x14ac:dyDescent="0.35">
      <c r="A246">
        <v>16</v>
      </c>
      <c r="B246">
        <v>5</v>
      </c>
      <c r="C246" t="s">
        <v>275</v>
      </c>
      <c r="D246" s="4">
        <v>-200</v>
      </c>
      <c r="E246" s="4">
        <v>-50</v>
      </c>
      <c r="F246" s="12">
        <v>50</v>
      </c>
    </row>
    <row r="247" spans="1:6" x14ac:dyDescent="0.35">
      <c r="A247">
        <v>16</v>
      </c>
      <c r="B247">
        <v>6</v>
      </c>
      <c r="C247" t="s">
        <v>276</v>
      </c>
      <c r="D247" s="4">
        <v>20</v>
      </c>
      <c r="E247" s="4">
        <v>100</v>
      </c>
      <c r="F247" s="12">
        <v>300</v>
      </c>
    </row>
    <row r="248" spans="1:6" x14ac:dyDescent="0.35">
      <c r="A248">
        <v>16</v>
      </c>
      <c r="B248">
        <v>7</v>
      </c>
      <c r="C248" t="s">
        <v>277</v>
      </c>
      <c r="D248" s="4">
        <v>-50</v>
      </c>
      <c r="E248" s="4">
        <v>0</v>
      </c>
      <c r="F248" s="12">
        <v>50</v>
      </c>
    </row>
    <row r="249" spans="1:6" x14ac:dyDescent="0.35">
      <c r="A249">
        <v>16</v>
      </c>
      <c r="B249">
        <v>8</v>
      </c>
      <c r="C249" t="s">
        <v>278</v>
      </c>
      <c r="D249" s="4">
        <v>1.2</v>
      </c>
      <c r="E249" s="4">
        <v>7.5</v>
      </c>
      <c r="F249" s="12">
        <v>15</v>
      </c>
    </row>
    <row r="250" spans="1:6" x14ac:dyDescent="0.35">
      <c r="A250">
        <v>16</v>
      </c>
      <c r="B250">
        <v>9</v>
      </c>
      <c r="C250" t="s">
        <v>279</v>
      </c>
      <c r="D250" s="4">
        <v>100</v>
      </c>
      <c r="E250" s="4">
        <v>300</v>
      </c>
      <c r="F250" s="12">
        <v>500</v>
      </c>
    </row>
    <row r="251" spans="1:6" x14ac:dyDescent="0.35">
      <c r="A251">
        <v>16</v>
      </c>
      <c r="B251">
        <v>10</v>
      </c>
      <c r="C251" t="s">
        <v>280</v>
      </c>
      <c r="D251" s="4">
        <v>2</v>
      </c>
      <c r="E251" s="4">
        <v>5</v>
      </c>
      <c r="F251" s="12">
        <v>20</v>
      </c>
    </row>
    <row r="252" spans="1:6" x14ac:dyDescent="0.35">
      <c r="A252">
        <v>16</v>
      </c>
      <c r="B252">
        <v>11</v>
      </c>
      <c r="C252" t="s">
        <v>281</v>
      </c>
      <c r="D252" s="4">
        <v>-100</v>
      </c>
      <c r="E252" s="4">
        <v>-50</v>
      </c>
      <c r="F252" s="12">
        <v>25</v>
      </c>
    </row>
    <row r="253" spans="1:6" x14ac:dyDescent="0.35">
      <c r="A253">
        <v>16</v>
      </c>
      <c r="B253">
        <v>12</v>
      </c>
      <c r="C253" t="s">
        <v>282</v>
      </c>
      <c r="D253" s="4">
        <v>10</v>
      </c>
      <c r="E253" s="4">
        <v>30</v>
      </c>
      <c r="F253" s="12">
        <v>100</v>
      </c>
    </row>
    <row r="254" spans="1:6" x14ac:dyDescent="0.35">
      <c r="A254">
        <v>16</v>
      </c>
      <c r="B254">
        <v>13</v>
      </c>
      <c r="C254" t="s">
        <v>283</v>
      </c>
      <c r="D254" s="4">
        <v>100</v>
      </c>
      <c r="E254" s="4">
        <v>300</v>
      </c>
      <c r="F254" s="12">
        <v>500</v>
      </c>
    </row>
    <row r="255" spans="1:6" x14ac:dyDescent="0.35">
      <c r="A255">
        <v>16</v>
      </c>
      <c r="B255">
        <v>14</v>
      </c>
      <c r="C255" t="s">
        <v>284</v>
      </c>
      <c r="D255" s="4">
        <v>500</v>
      </c>
      <c r="E255" s="4">
        <v>1000</v>
      </c>
      <c r="F255" s="12">
        <v>10000</v>
      </c>
    </row>
    <row r="256" spans="1:6" x14ac:dyDescent="0.35">
      <c r="A256">
        <v>16</v>
      </c>
      <c r="B256">
        <v>15</v>
      </c>
      <c r="C256" t="s">
        <v>285</v>
      </c>
      <c r="D256" s="4">
        <v>-2</v>
      </c>
      <c r="E256" s="4">
        <v>-1</v>
      </c>
      <c r="F256" s="12">
        <v>0</v>
      </c>
    </row>
    <row r="257" spans="1:6" x14ac:dyDescent="0.35">
      <c r="A257">
        <v>16</v>
      </c>
      <c r="B257">
        <v>16</v>
      </c>
      <c r="C257" t="s">
        <v>286</v>
      </c>
      <c r="D257" s="4">
        <v>10</v>
      </c>
      <c r="E257" s="4">
        <v>25</v>
      </c>
      <c r="F257" s="12">
        <v>40</v>
      </c>
    </row>
    <row r="258" spans="1:6" x14ac:dyDescent="0.35">
      <c r="A258">
        <v>17</v>
      </c>
      <c r="B258">
        <v>1</v>
      </c>
      <c r="C258" t="s">
        <v>271</v>
      </c>
      <c r="D258" s="4">
        <v>3</v>
      </c>
      <c r="E258" s="4">
        <v>4</v>
      </c>
      <c r="F258" s="12">
        <v>5</v>
      </c>
    </row>
    <row r="259" spans="1:6" x14ac:dyDescent="0.35">
      <c r="A259">
        <v>17</v>
      </c>
      <c r="B259">
        <v>2</v>
      </c>
      <c r="C259" t="s">
        <v>272</v>
      </c>
      <c r="D259" s="4">
        <v>10</v>
      </c>
      <c r="E259" s="4">
        <v>100</v>
      </c>
      <c r="F259" s="12">
        <v>500</v>
      </c>
    </row>
    <row r="260" spans="1:6" x14ac:dyDescent="0.35">
      <c r="A260">
        <v>17</v>
      </c>
      <c r="B260">
        <v>3</v>
      </c>
      <c r="C260" t="s">
        <v>273</v>
      </c>
      <c r="D260" s="4">
        <v>1</v>
      </c>
      <c r="E260" s="4">
        <v>10</v>
      </c>
      <c r="F260" s="12">
        <v>100</v>
      </c>
    </row>
    <row r="261" spans="1:6" x14ac:dyDescent="0.35">
      <c r="A261">
        <v>17</v>
      </c>
      <c r="B261">
        <v>4</v>
      </c>
      <c r="C261" t="s">
        <v>274</v>
      </c>
      <c r="D261" s="4">
        <v>-700</v>
      </c>
      <c r="E261" s="4">
        <v>-500</v>
      </c>
      <c r="F261" s="12">
        <v>-200</v>
      </c>
    </row>
    <row r="262" spans="1:6" x14ac:dyDescent="0.35">
      <c r="A262">
        <v>17</v>
      </c>
      <c r="B262">
        <v>5</v>
      </c>
      <c r="C262" t="s">
        <v>275</v>
      </c>
      <c r="D262" s="4">
        <v>-100</v>
      </c>
      <c r="E262" s="4">
        <v>100</v>
      </c>
      <c r="F262" s="12">
        <v>300</v>
      </c>
    </row>
    <row r="263" spans="1:6" x14ac:dyDescent="0.35">
      <c r="A263">
        <v>17</v>
      </c>
      <c r="B263">
        <v>6</v>
      </c>
      <c r="C263" t="s">
        <v>276</v>
      </c>
      <c r="D263" s="4">
        <v>-100</v>
      </c>
      <c r="E263" s="4">
        <v>-20</v>
      </c>
      <c r="F263" s="12">
        <v>0</v>
      </c>
    </row>
    <row r="264" spans="1:6" x14ac:dyDescent="0.35">
      <c r="A264">
        <v>17</v>
      </c>
      <c r="B264">
        <v>7</v>
      </c>
      <c r="C264" t="s">
        <v>277</v>
      </c>
      <c r="D264" s="4">
        <v>-70</v>
      </c>
      <c r="E264" s="4">
        <v>-40</v>
      </c>
      <c r="F264" s="12">
        <v>-10</v>
      </c>
    </row>
    <row r="265" spans="1:6" x14ac:dyDescent="0.35">
      <c r="A265">
        <v>17</v>
      </c>
      <c r="B265">
        <v>8</v>
      </c>
      <c r="C265" t="s">
        <v>278</v>
      </c>
      <c r="D265" s="4">
        <v>10</v>
      </c>
      <c r="E265" s="4">
        <v>60</v>
      </c>
      <c r="F265" s="12">
        <v>100</v>
      </c>
    </row>
    <row r="266" spans="1:6" x14ac:dyDescent="0.35">
      <c r="A266">
        <v>17</v>
      </c>
      <c r="B266">
        <v>9</v>
      </c>
      <c r="C266" t="s">
        <v>279</v>
      </c>
      <c r="D266" s="4">
        <v>160</v>
      </c>
      <c r="E266" s="4">
        <v>243</v>
      </c>
      <c r="F266" s="12">
        <v>337</v>
      </c>
    </row>
    <row r="267" spans="1:6" x14ac:dyDescent="0.35">
      <c r="A267">
        <v>17</v>
      </c>
      <c r="B267">
        <v>10</v>
      </c>
      <c r="C267" t="s">
        <v>280</v>
      </c>
      <c r="D267" s="4">
        <v>10</v>
      </c>
      <c r="E267" s="4">
        <v>50</v>
      </c>
      <c r="F267" s="12">
        <v>200</v>
      </c>
    </row>
    <row r="268" spans="1:6" x14ac:dyDescent="0.35">
      <c r="A268">
        <v>17</v>
      </c>
      <c r="B268">
        <v>11</v>
      </c>
      <c r="C268" t="s">
        <v>281</v>
      </c>
      <c r="D268" s="4">
        <v>-500</v>
      </c>
      <c r="E268" s="4">
        <v>0</v>
      </c>
      <c r="F268" s="12">
        <v>1000</v>
      </c>
    </row>
    <row r="269" spans="1:6" x14ac:dyDescent="0.35">
      <c r="A269">
        <v>17</v>
      </c>
      <c r="B269">
        <v>12</v>
      </c>
      <c r="C269" t="s">
        <v>282</v>
      </c>
      <c r="D269" s="4">
        <v>0.1</v>
      </c>
      <c r="E269" s="4">
        <v>10</v>
      </c>
      <c r="F269" s="12">
        <v>100</v>
      </c>
    </row>
    <row r="270" spans="1:6" x14ac:dyDescent="0.35">
      <c r="A270">
        <v>17</v>
      </c>
      <c r="B270">
        <v>13</v>
      </c>
      <c r="C270" t="s">
        <v>283</v>
      </c>
      <c r="D270" s="4">
        <v>0</v>
      </c>
      <c r="E270" s="4">
        <v>30</v>
      </c>
      <c r="F270" s="12">
        <v>300</v>
      </c>
    </row>
    <row r="271" spans="1:6" x14ac:dyDescent="0.35">
      <c r="A271">
        <v>17</v>
      </c>
      <c r="B271">
        <v>14</v>
      </c>
      <c r="C271" t="s">
        <v>284</v>
      </c>
      <c r="D271" s="4">
        <v>10</v>
      </c>
      <c r="E271" s="4">
        <v>100</v>
      </c>
      <c r="F271" s="12">
        <v>400</v>
      </c>
    </row>
    <row r="272" spans="1:6" x14ac:dyDescent="0.35">
      <c r="A272">
        <v>17</v>
      </c>
      <c r="B272">
        <v>15</v>
      </c>
      <c r="C272" t="s">
        <v>285</v>
      </c>
      <c r="D272" s="4">
        <v>1.5</v>
      </c>
      <c r="E272" s="4">
        <v>2</v>
      </c>
      <c r="F272" s="12">
        <v>3</v>
      </c>
    </row>
    <row r="273" spans="1:6" x14ac:dyDescent="0.35">
      <c r="A273">
        <v>17</v>
      </c>
      <c r="B273">
        <v>16</v>
      </c>
      <c r="C273" t="s">
        <v>286</v>
      </c>
      <c r="D273" s="4">
        <v>10</v>
      </c>
      <c r="E273" s="4">
        <v>25</v>
      </c>
      <c r="F273" s="12">
        <v>35</v>
      </c>
    </row>
    <row r="274" spans="1:6" x14ac:dyDescent="0.35">
      <c r="A274">
        <v>18</v>
      </c>
      <c r="B274">
        <v>1</v>
      </c>
      <c r="C274" t="s">
        <v>271</v>
      </c>
      <c r="D274" s="4">
        <v>10</v>
      </c>
      <c r="E274" s="4">
        <v>20</v>
      </c>
      <c r="F274" s="12">
        <v>80</v>
      </c>
    </row>
    <row r="275" spans="1:6" x14ac:dyDescent="0.35">
      <c r="A275">
        <v>18</v>
      </c>
      <c r="B275">
        <v>2</v>
      </c>
      <c r="C275" t="s">
        <v>272</v>
      </c>
      <c r="D275" s="4">
        <v>50</v>
      </c>
      <c r="E275" s="4">
        <v>150</v>
      </c>
      <c r="F275" s="12">
        <v>300</v>
      </c>
    </row>
    <row r="276" spans="1:6" x14ac:dyDescent="0.35">
      <c r="A276">
        <v>18</v>
      </c>
      <c r="B276">
        <v>3</v>
      </c>
      <c r="C276" t="s">
        <v>273</v>
      </c>
      <c r="D276" s="4">
        <v>0.5</v>
      </c>
      <c r="E276" s="4">
        <v>3</v>
      </c>
      <c r="F276" s="12">
        <v>7</v>
      </c>
    </row>
    <row r="277" spans="1:6" x14ac:dyDescent="0.35">
      <c r="A277">
        <v>18</v>
      </c>
      <c r="B277">
        <v>4</v>
      </c>
      <c r="C277" t="s">
        <v>274</v>
      </c>
      <c r="D277" s="4">
        <v>-550</v>
      </c>
      <c r="E277" s="4">
        <v>-460</v>
      </c>
      <c r="F277" s="12">
        <v>-220</v>
      </c>
    </row>
    <row r="278" spans="1:6" x14ac:dyDescent="0.35">
      <c r="A278">
        <v>18</v>
      </c>
      <c r="B278">
        <v>5</v>
      </c>
      <c r="C278" t="s">
        <v>275</v>
      </c>
      <c r="D278" s="4">
        <v>-50</v>
      </c>
      <c r="E278" s="4">
        <v>0</v>
      </c>
      <c r="F278" s="12">
        <v>100</v>
      </c>
    </row>
    <row r="279" spans="1:6" x14ac:dyDescent="0.35">
      <c r="A279">
        <v>18</v>
      </c>
      <c r="B279">
        <v>6</v>
      </c>
      <c r="C279" t="s">
        <v>276</v>
      </c>
      <c r="D279" s="4">
        <v>-200</v>
      </c>
      <c r="E279" s="4">
        <v>300</v>
      </c>
      <c r="F279" s="12">
        <v>800</v>
      </c>
    </row>
    <row r="280" spans="1:6" x14ac:dyDescent="0.35">
      <c r="A280">
        <v>18</v>
      </c>
      <c r="B280">
        <v>7</v>
      </c>
      <c r="C280" t="s">
        <v>277</v>
      </c>
      <c r="D280" s="4">
        <v>-10</v>
      </c>
      <c r="E280" s="4">
        <v>10</v>
      </c>
      <c r="F280" s="12">
        <v>20</v>
      </c>
    </row>
    <row r="281" spans="1:6" x14ac:dyDescent="0.35">
      <c r="A281">
        <v>18</v>
      </c>
      <c r="B281">
        <v>8</v>
      </c>
      <c r="C281" t="s">
        <v>278</v>
      </c>
      <c r="D281" s="4">
        <v>20</v>
      </c>
      <c r="E281" s="4">
        <v>40</v>
      </c>
      <c r="F281" s="12">
        <v>50</v>
      </c>
    </row>
    <row r="282" spans="1:6" x14ac:dyDescent="0.35">
      <c r="A282">
        <v>18</v>
      </c>
      <c r="B282">
        <v>9</v>
      </c>
      <c r="C282" t="s">
        <v>279</v>
      </c>
      <c r="D282" s="4">
        <v>100</v>
      </c>
      <c r="E282" s="4">
        <v>200</v>
      </c>
      <c r="F282" s="12">
        <v>300</v>
      </c>
    </row>
    <row r="283" spans="1:6" x14ac:dyDescent="0.35">
      <c r="A283">
        <v>18</v>
      </c>
      <c r="B283">
        <v>10</v>
      </c>
      <c r="C283" t="s">
        <v>280</v>
      </c>
      <c r="D283" s="4">
        <v>11</v>
      </c>
      <c r="E283" s="4">
        <v>20</v>
      </c>
      <c r="F283" s="12">
        <v>40</v>
      </c>
    </row>
    <row r="284" spans="1:6" x14ac:dyDescent="0.35">
      <c r="A284">
        <v>18</v>
      </c>
      <c r="B284">
        <v>11</v>
      </c>
      <c r="C284" t="s">
        <v>281</v>
      </c>
      <c r="D284" s="4">
        <v>5</v>
      </c>
      <c r="E284" s="4">
        <v>7</v>
      </c>
      <c r="F284" s="12">
        <v>20</v>
      </c>
    </row>
    <row r="285" spans="1:6" x14ac:dyDescent="0.35">
      <c r="A285">
        <v>18</v>
      </c>
      <c r="B285">
        <v>12</v>
      </c>
      <c r="C285" t="s">
        <v>282</v>
      </c>
      <c r="D285" s="4">
        <v>1</v>
      </c>
      <c r="E285" s="4">
        <v>8</v>
      </c>
      <c r="F285" s="12">
        <v>20</v>
      </c>
    </row>
    <row r="286" spans="1:6" x14ac:dyDescent="0.35">
      <c r="A286">
        <v>18</v>
      </c>
      <c r="B286">
        <v>13</v>
      </c>
      <c r="C286" t="s">
        <v>283</v>
      </c>
      <c r="D286" s="4">
        <v>50</v>
      </c>
      <c r="E286" s="4">
        <v>200</v>
      </c>
      <c r="F286" s="12">
        <v>500</v>
      </c>
    </row>
    <row r="287" spans="1:6" x14ac:dyDescent="0.35">
      <c r="A287">
        <v>18</v>
      </c>
      <c r="B287">
        <v>14</v>
      </c>
      <c r="C287" t="s">
        <v>284</v>
      </c>
      <c r="D287" s="4">
        <v>100</v>
      </c>
      <c r="E287" s="4">
        <v>500</v>
      </c>
      <c r="F287" s="12">
        <v>1000</v>
      </c>
    </row>
    <row r="288" spans="1:6" x14ac:dyDescent="0.35">
      <c r="A288">
        <v>18</v>
      </c>
      <c r="B288">
        <v>15</v>
      </c>
      <c r="C288" t="s">
        <v>285</v>
      </c>
      <c r="D288" s="4">
        <v>1</v>
      </c>
      <c r="E288" s="4">
        <v>1.2</v>
      </c>
      <c r="F288" s="12">
        <v>1.5</v>
      </c>
    </row>
    <row r="289" spans="1:6" x14ac:dyDescent="0.35">
      <c r="A289">
        <v>18</v>
      </c>
      <c r="B289">
        <v>16</v>
      </c>
      <c r="C289" t="s">
        <v>286</v>
      </c>
      <c r="D289" s="4">
        <v>2</v>
      </c>
      <c r="E289" s="4">
        <v>3</v>
      </c>
      <c r="F289" s="12">
        <v>5</v>
      </c>
    </row>
    <row r="290" spans="1:6" x14ac:dyDescent="0.35">
      <c r="A290">
        <v>19</v>
      </c>
      <c r="B290">
        <v>1</v>
      </c>
      <c r="C290" t="s">
        <v>271</v>
      </c>
      <c r="D290" s="4">
        <v>1</v>
      </c>
      <c r="E290" s="4">
        <v>4</v>
      </c>
      <c r="F290" s="12">
        <v>8</v>
      </c>
    </row>
    <row r="291" spans="1:6" x14ac:dyDescent="0.35">
      <c r="A291">
        <v>19</v>
      </c>
      <c r="B291">
        <v>2</v>
      </c>
      <c r="C291" t="s">
        <v>272</v>
      </c>
      <c r="D291" s="4">
        <v>-600</v>
      </c>
      <c r="E291" s="4">
        <v>0</v>
      </c>
      <c r="F291" s="12">
        <v>600</v>
      </c>
    </row>
    <row r="292" spans="1:6" x14ac:dyDescent="0.35">
      <c r="A292">
        <v>19</v>
      </c>
      <c r="B292">
        <v>3</v>
      </c>
      <c r="C292" t="s">
        <v>273</v>
      </c>
      <c r="D292" s="4">
        <v>0.1</v>
      </c>
      <c r="E292" s="4">
        <v>10</v>
      </c>
      <c r="F292" s="12">
        <v>100</v>
      </c>
    </row>
    <row r="293" spans="1:6" x14ac:dyDescent="0.35">
      <c r="A293">
        <v>19</v>
      </c>
      <c r="B293">
        <v>4</v>
      </c>
      <c r="C293" t="s">
        <v>274</v>
      </c>
      <c r="D293" s="4">
        <v>-500</v>
      </c>
      <c r="E293" s="4">
        <v>-270</v>
      </c>
      <c r="F293" s="12">
        <v>-200</v>
      </c>
    </row>
    <row r="294" spans="1:6" x14ac:dyDescent="0.35">
      <c r="A294">
        <v>19</v>
      </c>
      <c r="B294">
        <v>5</v>
      </c>
      <c r="C294" t="s">
        <v>275</v>
      </c>
      <c r="D294" s="4">
        <v>-100</v>
      </c>
      <c r="E294" s="4">
        <v>-35</v>
      </c>
      <c r="F294" s="12">
        <v>0</v>
      </c>
    </row>
    <row r="295" spans="1:6" x14ac:dyDescent="0.35">
      <c r="A295">
        <v>19</v>
      </c>
      <c r="B295">
        <v>6</v>
      </c>
      <c r="C295" t="s">
        <v>276</v>
      </c>
      <c r="D295" s="4">
        <v>100</v>
      </c>
      <c r="E295" s="4">
        <v>1000</v>
      </c>
      <c r="F295" s="12">
        <v>10000</v>
      </c>
    </row>
    <row r="296" spans="1:6" x14ac:dyDescent="0.35">
      <c r="A296">
        <v>19</v>
      </c>
      <c r="B296">
        <v>7</v>
      </c>
      <c r="C296" t="s">
        <v>277</v>
      </c>
      <c r="D296" s="4">
        <v>-40</v>
      </c>
      <c r="E296" s="4">
        <v>0</v>
      </c>
      <c r="F296" s="12">
        <v>40</v>
      </c>
    </row>
    <row r="297" spans="1:6" x14ac:dyDescent="0.35">
      <c r="A297">
        <v>19</v>
      </c>
      <c r="B297">
        <v>8</v>
      </c>
      <c r="C297" t="s">
        <v>278</v>
      </c>
      <c r="D297" s="4">
        <v>10</v>
      </c>
      <c r="E297" s="4">
        <v>30</v>
      </c>
      <c r="F297" s="12">
        <v>50</v>
      </c>
    </row>
    <row r="298" spans="1:6" x14ac:dyDescent="0.35">
      <c r="A298">
        <v>19</v>
      </c>
      <c r="B298">
        <v>9</v>
      </c>
      <c r="C298" t="s">
        <v>279</v>
      </c>
      <c r="D298" s="4">
        <v>150</v>
      </c>
      <c r="E298" s="4">
        <v>270</v>
      </c>
      <c r="F298" s="12">
        <v>300</v>
      </c>
    </row>
    <row r="299" spans="1:6" x14ac:dyDescent="0.35">
      <c r="A299">
        <v>19</v>
      </c>
      <c r="B299">
        <v>10</v>
      </c>
      <c r="C299" t="s">
        <v>280</v>
      </c>
      <c r="D299" s="4">
        <v>2</v>
      </c>
      <c r="E299" s="4">
        <v>15</v>
      </c>
      <c r="F299" s="12">
        <v>50</v>
      </c>
    </row>
    <row r="300" spans="1:6" x14ac:dyDescent="0.35">
      <c r="A300">
        <v>19</v>
      </c>
      <c r="B300">
        <v>11</v>
      </c>
      <c r="C300" t="s">
        <v>281</v>
      </c>
      <c r="D300" s="4">
        <v>-100</v>
      </c>
      <c r="E300" s="4">
        <v>-50</v>
      </c>
      <c r="F300" s="12">
        <v>10</v>
      </c>
    </row>
    <row r="301" spans="1:6" x14ac:dyDescent="0.35">
      <c r="A301">
        <v>19</v>
      </c>
      <c r="B301">
        <v>12</v>
      </c>
      <c r="C301" t="s">
        <v>282</v>
      </c>
      <c r="D301" s="4">
        <v>5</v>
      </c>
      <c r="E301" s="4">
        <v>20</v>
      </c>
      <c r="F301" s="12">
        <v>100</v>
      </c>
    </row>
    <row r="302" spans="1:6" x14ac:dyDescent="0.35">
      <c r="A302">
        <v>19</v>
      </c>
      <c r="B302">
        <v>13</v>
      </c>
      <c r="C302" t="s">
        <v>283</v>
      </c>
      <c r="D302" s="4">
        <v>1</v>
      </c>
      <c r="E302" s="4">
        <v>100</v>
      </c>
      <c r="F302" s="12">
        <v>1000</v>
      </c>
    </row>
    <row r="303" spans="1:6" x14ac:dyDescent="0.35">
      <c r="A303">
        <v>19</v>
      </c>
      <c r="B303">
        <v>14</v>
      </c>
      <c r="C303" t="s">
        <v>284</v>
      </c>
      <c r="D303" s="4">
        <v>100</v>
      </c>
      <c r="E303" s="4">
        <v>1000</v>
      </c>
      <c r="F303" s="12">
        <v>10000</v>
      </c>
    </row>
    <row r="304" spans="1:6" x14ac:dyDescent="0.35">
      <c r="A304">
        <v>19</v>
      </c>
      <c r="B304">
        <v>15</v>
      </c>
      <c r="C304" t="s">
        <v>285</v>
      </c>
      <c r="D304" s="4">
        <v>1</v>
      </c>
      <c r="E304" s="4">
        <v>1.25</v>
      </c>
      <c r="F304" s="12">
        <v>2</v>
      </c>
    </row>
    <row r="305" spans="1:6" x14ac:dyDescent="0.35">
      <c r="A305">
        <v>19</v>
      </c>
      <c r="B305">
        <v>16</v>
      </c>
      <c r="C305" t="s">
        <v>286</v>
      </c>
      <c r="D305" s="4">
        <v>0</v>
      </c>
      <c r="E305" s="4">
        <v>10</v>
      </c>
      <c r="F305" s="12">
        <v>20</v>
      </c>
    </row>
    <row r="306" spans="1:6" x14ac:dyDescent="0.35">
      <c r="A306">
        <v>20</v>
      </c>
      <c r="B306">
        <v>1</v>
      </c>
      <c r="C306" t="s">
        <v>271</v>
      </c>
      <c r="D306" s="4">
        <v>1</v>
      </c>
      <c r="E306" s="4">
        <v>3</v>
      </c>
      <c r="F306" s="12">
        <v>12</v>
      </c>
    </row>
    <row r="307" spans="1:6" x14ac:dyDescent="0.35">
      <c r="A307">
        <v>20</v>
      </c>
      <c r="B307">
        <v>2</v>
      </c>
      <c r="C307" t="s">
        <v>272</v>
      </c>
      <c r="D307" s="4">
        <v>-750</v>
      </c>
      <c r="E307" s="4">
        <v>-650</v>
      </c>
      <c r="F307" s="12">
        <v>-500</v>
      </c>
    </row>
    <row r="308" spans="1:6" x14ac:dyDescent="0.35">
      <c r="A308">
        <v>20</v>
      </c>
      <c r="B308">
        <v>3</v>
      </c>
      <c r="C308" t="s">
        <v>273</v>
      </c>
      <c r="D308" s="4">
        <v>0.5</v>
      </c>
      <c r="E308" s="4">
        <v>1</v>
      </c>
      <c r="F308" s="12">
        <v>4</v>
      </c>
    </row>
    <row r="309" spans="1:6" x14ac:dyDescent="0.35">
      <c r="A309">
        <v>20</v>
      </c>
      <c r="B309">
        <v>4</v>
      </c>
      <c r="C309" t="s">
        <v>274</v>
      </c>
      <c r="D309" s="4">
        <v>-550</v>
      </c>
      <c r="E309" s="4">
        <v>-450</v>
      </c>
      <c r="F309" s="12">
        <v>-350</v>
      </c>
    </row>
    <row r="310" spans="1:6" x14ac:dyDescent="0.35">
      <c r="A310">
        <v>20</v>
      </c>
      <c r="B310">
        <v>5</v>
      </c>
      <c r="C310" t="s">
        <v>275</v>
      </c>
      <c r="D310" s="4">
        <v>-100</v>
      </c>
      <c r="E310" s="4">
        <v>-45</v>
      </c>
      <c r="F310" s="12">
        <v>50</v>
      </c>
    </row>
    <row r="311" spans="1:6" x14ac:dyDescent="0.35">
      <c r="A311">
        <v>20</v>
      </c>
      <c r="B311">
        <v>6</v>
      </c>
      <c r="C311" t="s">
        <v>276</v>
      </c>
      <c r="D311" s="4">
        <v>0</v>
      </c>
      <c r="E311" s="4">
        <v>200</v>
      </c>
      <c r="F311" s="12">
        <v>1000</v>
      </c>
    </row>
    <row r="312" spans="1:6" x14ac:dyDescent="0.35">
      <c r="A312">
        <v>20</v>
      </c>
      <c r="B312">
        <v>7</v>
      </c>
      <c r="C312" t="s">
        <v>277</v>
      </c>
      <c r="D312" s="4">
        <v>0.6</v>
      </c>
      <c r="E312" s="4">
        <v>2.4</v>
      </c>
      <c r="F312" s="12">
        <v>5</v>
      </c>
    </row>
    <row r="313" spans="1:6" x14ac:dyDescent="0.35">
      <c r="A313">
        <v>20</v>
      </c>
      <c r="B313">
        <v>8</v>
      </c>
      <c r="C313" t="s">
        <v>278</v>
      </c>
      <c r="D313" s="4">
        <v>19</v>
      </c>
      <c r="E313" s="4">
        <v>21</v>
      </c>
      <c r="F313" s="12">
        <v>23</v>
      </c>
    </row>
    <row r="314" spans="1:6" x14ac:dyDescent="0.35">
      <c r="A314">
        <v>20</v>
      </c>
      <c r="B314">
        <v>9</v>
      </c>
      <c r="C314" t="s">
        <v>279</v>
      </c>
      <c r="D314" s="4">
        <v>100</v>
      </c>
      <c r="E314" s="4">
        <v>110</v>
      </c>
      <c r="F314" s="12">
        <v>120</v>
      </c>
    </row>
    <row r="315" spans="1:6" x14ac:dyDescent="0.35">
      <c r="A315">
        <v>20</v>
      </c>
      <c r="B315">
        <v>10</v>
      </c>
      <c r="C315" t="s">
        <v>280</v>
      </c>
      <c r="D315" s="4">
        <v>3</v>
      </c>
      <c r="E315" s="4">
        <v>7</v>
      </c>
      <c r="F315" s="12">
        <v>25</v>
      </c>
    </row>
    <row r="316" spans="1:6" x14ac:dyDescent="0.35">
      <c r="A316">
        <v>20</v>
      </c>
      <c r="B316">
        <v>11</v>
      </c>
      <c r="C316" t="s">
        <v>281</v>
      </c>
      <c r="D316" s="4">
        <v>-200</v>
      </c>
      <c r="E316" s="4">
        <v>-50</v>
      </c>
      <c r="F316" s="12">
        <v>100</v>
      </c>
    </row>
    <row r="317" spans="1:6" x14ac:dyDescent="0.35">
      <c r="A317">
        <v>20</v>
      </c>
      <c r="B317">
        <v>12</v>
      </c>
      <c r="C317" t="s">
        <v>282</v>
      </c>
      <c r="D317" s="4">
        <v>7</v>
      </c>
      <c r="E317" s="4">
        <v>20</v>
      </c>
      <c r="F317" s="12">
        <v>50</v>
      </c>
    </row>
    <row r="318" spans="1:6" x14ac:dyDescent="0.35">
      <c r="A318">
        <v>20</v>
      </c>
      <c r="B318">
        <v>13</v>
      </c>
      <c r="C318" t="s">
        <v>283</v>
      </c>
      <c r="D318" s="4">
        <v>300</v>
      </c>
      <c r="E318" s="4">
        <v>600</v>
      </c>
      <c r="F318" s="12">
        <v>1200</v>
      </c>
    </row>
    <row r="319" spans="1:6" x14ac:dyDescent="0.35">
      <c r="A319">
        <v>20</v>
      </c>
      <c r="B319">
        <v>14</v>
      </c>
      <c r="C319" t="s">
        <v>284</v>
      </c>
      <c r="D319" s="4">
        <v>400</v>
      </c>
      <c r="E319" s="4">
        <v>1500</v>
      </c>
      <c r="F319" s="12">
        <v>2000</v>
      </c>
    </row>
    <row r="320" spans="1:6" x14ac:dyDescent="0.35">
      <c r="A320">
        <v>20</v>
      </c>
      <c r="B320">
        <v>15</v>
      </c>
      <c r="C320" t="s">
        <v>285</v>
      </c>
      <c r="D320" s="4">
        <v>1</v>
      </c>
      <c r="E320" s="4">
        <v>1.9</v>
      </c>
      <c r="F320" s="12">
        <v>2.5</v>
      </c>
    </row>
    <row r="321" spans="1:6" x14ac:dyDescent="0.35">
      <c r="A321">
        <v>20</v>
      </c>
      <c r="B321">
        <v>16</v>
      </c>
      <c r="C321" t="s">
        <v>286</v>
      </c>
      <c r="D321" s="4">
        <v>3</v>
      </c>
      <c r="E321" s="4">
        <v>6</v>
      </c>
      <c r="F321" s="12">
        <v>16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69"/>
  <dimension ref="A1:H51"/>
  <sheetViews>
    <sheetView workbookViewId="0"/>
  </sheetViews>
  <sheetFormatPr defaultRowHeight="14.5" x14ac:dyDescent="0.35"/>
  <sheetData>
    <row r="1" spans="1:8" x14ac:dyDescent="0.35">
      <c r="A1" t="s">
        <v>258</v>
      </c>
      <c r="H1" t="s">
        <v>58</v>
      </c>
    </row>
    <row r="2" spans="1:8" x14ac:dyDescent="0.35">
      <c r="A2">
        <v>1</v>
      </c>
      <c r="B2">
        <v>1</v>
      </c>
      <c r="D2" s="4">
        <v>15</v>
      </c>
      <c r="E2" s="4">
        <v>20</v>
      </c>
      <c r="F2" s="4">
        <v>30</v>
      </c>
      <c r="H2" s="4">
        <v>4.5999999999999996</v>
      </c>
    </row>
    <row r="3" spans="1:8" x14ac:dyDescent="0.35">
      <c r="A3">
        <v>1</v>
      </c>
      <c r="B3">
        <v>2</v>
      </c>
      <c r="D3" s="4">
        <v>12</v>
      </c>
      <c r="E3" s="4">
        <v>33</v>
      </c>
      <c r="F3" s="4">
        <v>44</v>
      </c>
      <c r="H3" s="4">
        <v>5</v>
      </c>
    </row>
    <row r="4" spans="1:8" x14ac:dyDescent="0.35">
      <c r="A4">
        <v>1</v>
      </c>
      <c r="B4">
        <v>3</v>
      </c>
      <c r="D4" s="4">
        <v>15</v>
      </c>
      <c r="E4" s="4">
        <v>20</v>
      </c>
      <c r="F4" s="4">
        <v>30</v>
      </c>
      <c r="H4" s="4">
        <v>4</v>
      </c>
    </row>
    <row r="5" spans="1:8" x14ac:dyDescent="0.35">
      <c r="A5">
        <v>1</v>
      </c>
      <c r="B5">
        <v>4</v>
      </c>
      <c r="D5" s="4">
        <v>22</v>
      </c>
      <c r="E5" s="4">
        <v>35</v>
      </c>
      <c r="F5" s="4">
        <v>45</v>
      </c>
      <c r="H5" s="4">
        <v>42</v>
      </c>
    </row>
    <row r="6" spans="1:8" x14ac:dyDescent="0.35">
      <c r="A6">
        <v>1</v>
      </c>
      <c r="B6">
        <v>5</v>
      </c>
      <c r="D6" s="4">
        <v>12</v>
      </c>
      <c r="E6" s="4">
        <v>25</v>
      </c>
      <c r="F6" s="4">
        <v>35</v>
      </c>
      <c r="H6" s="4">
        <v>5.3</v>
      </c>
    </row>
    <row r="7" spans="1:8" x14ac:dyDescent="0.35">
      <c r="A7">
        <v>1</v>
      </c>
      <c r="B7">
        <v>6</v>
      </c>
      <c r="D7" s="4">
        <v>-15</v>
      </c>
      <c r="E7" s="4">
        <v>-10</v>
      </c>
      <c r="F7" s="4">
        <v>-8</v>
      </c>
      <c r="H7" s="4">
        <v>2.7</v>
      </c>
    </row>
    <row r="8" spans="1:8" x14ac:dyDescent="0.35">
      <c r="A8">
        <v>1</v>
      </c>
      <c r="B8">
        <v>7</v>
      </c>
      <c r="D8" s="4">
        <v>33</v>
      </c>
      <c r="E8" s="4">
        <v>40</v>
      </c>
      <c r="F8" s="4">
        <v>55</v>
      </c>
      <c r="H8" s="4">
        <v>60.1</v>
      </c>
    </row>
    <row r="9" spans="1:8" x14ac:dyDescent="0.35">
      <c r="A9">
        <v>1</v>
      </c>
      <c r="B9">
        <v>8</v>
      </c>
      <c r="D9" s="4">
        <v>5</v>
      </c>
      <c r="E9" s="4">
        <v>20</v>
      </c>
      <c r="F9" s="4">
        <v>25</v>
      </c>
      <c r="H9" s="4">
        <v>80.3</v>
      </c>
    </row>
    <row r="10" spans="1:8" x14ac:dyDescent="0.35">
      <c r="A10">
        <v>1</v>
      </c>
      <c r="B10">
        <v>9</v>
      </c>
      <c r="D10" s="4">
        <v>5</v>
      </c>
      <c r="E10" s="4">
        <v>20</v>
      </c>
      <c r="F10" s="4">
        <v>30</v>
      </c>
      <c r="H10" s="4">
        <v>33.6</v>
      </c>
    </row>
    <row r="11" spans="1:8" x14ac:dyDescent="0.35">
      <c r="A11">
        <v>1</v>
      </c>
      <c r="B11">
        <v>10</v>
      </c>
      <c r="D11" s="4">
        <v>0.33300000000000002</v>
      </c>
      <c r="E11" s="4">
        <v>3</v>
      </c>
      <c r="F11" s="4">
        <v>4</v>
      </c>
      <c r="H11" s="4">
        <v>2.06</v>
      </c>
    </row>
    <row r="12" spans="1:8" x14ac:dyDescent="0.35">
      <c r="A12">
        <v>2</v>
      </c>
      <c r="B12">
        <v>1</v>
      </c>
      <c r="D12" s="4">
        <v>4</v>
      </c>
      <c r="E12" s="4">
        <v>7</v>
      </c>
      <c r="F12" s="4">
        <v>12</v>
      </c>
    </row>
    <row r="13" spans="1:8" x14ac:dyDescent="0.35">
      <c r="A13">
        <v>2</v>
      </c>
      <c r="B13">
        <v>2</v>
      </c>
      <c r="D13" s="4">
        <v>4</v>
      </c>
      <c r="E13" s="4">
        <v>6</v>
      </c>
      <c r="F13" s="4">
        <v>12</v>
      </c>
    </row>
    <row r="14" spans="1:8" x14ac:dyDescent="0.35">
      <c r="A14">
        <v>2</v>
      </c>
      <c r="B14">
        <v>3</v>
      </c>
      <c r="D14" s="4">
        <v>4</v>
      </c>
      <c r="E14" s="4">
        <v>8</v>
      </c>
      <c r="F14" s="4">
        <v>13</v>
      </c>
    </row>
    <row r="15" spans="1:8" x14ac:dyDescent="0.35">
      <c r="A15">
        <v>2</v>
      </c>
      <c r="B15">
        <v>4</v>
      </c>
      <c r="D15" s="4">
        <v>8</v>
      </c>
      <c r="E15" s="4">
        <v>14</v>
      </c>
      <c r="F15" s="4">
        <v>30</v>
      </c>
    </row>
    <row r="16" spans="1:8" x14ac:dyDescent="0.35">
      <c r="A16">
        <v>2</v>
      </c>
      <c r="B16">
        <v>5</v>
      </c>
      <c r="D16" s="4">
        <v>5</v>
      </c>
      <c r="E16" s="4">
        <v>10</v>
      </c>
      <c r="F16" s="4">
        <v>25</v>
      </c>
    </row>
    <row r="17" spans="1:6" x14ac:dyDescent="0.35">
      <c r="A17">
        <v>2</v>
      </c>
      <c r="B17">
        <v>6</v>
      </c>
      <c r="D17" s="4">
        <v>3</v>
      </c>
      <c r="E17" s="4">
        <v>5</v>
      </c>
      <c r="F17" s="4">
        <v>15</v>
      </c>
    </row>
    <row r="18" spans="1:6" x14ac:dyDescent="0.35">
      <c r="A18">
        <v>2</v>
      </c>
      <c r="B18">
        <v>7</v>
      </c>
      <c r="D18" s="4">
        <v>15</v>
      </c>
      <c r="E18" s="4">
        <v>50</v>
      </c>
      <c r="F18" s="4">
        <v>85</v>
      </c>
    </row>
    <row r="19" spans="1:6" x14ac:dyDescent="0.35">
      <c r="A19">
        <v>2</v>
      </c>
      <c r="B19">
        <v>8</v>
      </c>
      <c r="D19" s="4">
        <v>35</v>
      </c>
      <c r="E19" s="4">
        <v>65</v>
      </c>
      <c r="F19" s="4">
        <v>90</v>
      </c>
    </row>
    <row r="20" spans="1:6" x14ac:dyDescent="0.35">
      <c r="A20">
        <v>2</v>
      </c>
      <c r="B20">
        <v>9</v>
      </c>
      <c r="D20" s="4">
        <v>20</v>
      </c>
      <c r="E20" s="4">
        <v>35</v>
      </c>
      <c r="F20" s="4">
        <v>70</v>
      </c>
    </row>
    <row r="21" spans="1:6" x14ac:dyDescent="0.35">
      <c r="A21">
        <v>2</v>
      </c>
      <c r="B21">
        <v>10</v>
      </c>
      <c r="D21" s="4">
        <v>0.5</v>
      </c>
      <c r="E21" s="4">
        <v>0.83299999999999996</v>
      </c>
      <c r="F21" s="4">
        <v>1</v>
      </c>
    </row>
    <row r="22" spans="1:6" x14ac:dyDescent="0.35">
      <c r="A22">
        <v>3</v>
      </c>
      <c r="B22">
        <v>1</v>
      </c>
      <c r="D22" s="4">
        <v>4</v>
      </c>
      <c r="E22" s="4">
        <v>6</v>
      </c>
      <c r="F22" s="4">
        <v>12</v>
      </c>
    </row>
    <row r="23" spans="1:6" x14ac:dyDescent="0.35">
      <c r="A23">
        <v>3</v>
      </c>
      <c r="B23">
        <v>2</v>
      </c>
      <c r="D23" s="4">
        <v>3</v>
      </c>
      <c r="E23" s="4">
        <v>4</v>
      </c>
      <c r="F23" s="4">
        <v>6</v>
      </c>
    </row>
    <row r="24" spans="1:6" x14ac:dyDescent="0.35">
      <c r="A24">
        <v>3</v>
      </c>
      <c r="B24">
        <v>3</v>
      </c>
      <c r="D24" s="4">
        <v>3</v>
      </c>
      <c r="E24" s="4">
        <v>4</v>
      </c>
      <c r="F24" s="4">
        <v>6</v>
      </c>
    </row>
    <row r="25" spans="1:6" x14ac:dyDescent="0.35">
      <c r="A25">
        <v>3</v>
      </c>
      <c r="B25">
        <v>4</v>
      </c>
      <c r="D25" s="4">
        <v>40</v>
      </c>
      <c r="E25" s="4">
        <v>55</v>
      </c>
      <c r="F25" s="4">
        <v>70</v>
      </c>
    </row>
    <row r="26" spans="1:6" x14ac:dyDescent="0.35">
      <c r="A26">
        <v>3</v>
      </c>
      <c r="B26">
        <v>5</v>
      </c>
      <c r="D26" s="4">
        <v>15</v>
      </c>
      <c r="E26" s="4">
        <v>20</v>
      </c>
      <c r="F26" s="4">
        <v>25</v>
      </c>
    </row>
    <row r="27" spans="1:6" x14ac:dyDescent="0.35">
      <c r="A27">
        <v>3</v>
      </c>
      <c r="B27">
        <v>6</v>
      </c>
      <c r="D27" s="4">
        <v>-10</v>
      </c>
      <c r="E27" s="4">
        <v>-5</v>
      </c>
      <c r="F27" s="4">
        <v>-2</v>
      </c>
    </row>
    <row r="28" spans="1:6" x14ac:dyDescent="0.35">
      <c r="A28">
        <v>3</v>
      </c>
      <c r="B28">
        <v>7</v>
      </c>
      <c r="D28" s="4">
        <v>10</v>
      </c>
      <c r="E28" s="4">
        <v>15</v>
      </c>
      <c r="F28" s="4">
        <v>25</v>
      </c>
    </row>
    <row r="29" spans="1:6" x14ac:dyDescent="0.35">
      <c r="A29">
        <v>3</v>
      </c>
      <c r="B29">
        <v>8</v>
      </c>
      <c r="D29" s="4">
        <v>2</v>
      </c>
      <c r="E29" s="4">
        <v>10</v>
      </c>
      <c r="F29" s="4">
        <v>12</v>
      </c>
    </row>
    <row r="30" spans="1:6" x14ac:dyDescent="0.35">
      <c r="A30">
        <v>3</v>
      </c>
      <c r="B30">
        <v>9</v>
      </c>
      <c r="D30" s="4">
        <v>10</v>
      </c>
      <c r="E30" s="4">
        <v>20</v>
      </c>
      <c r="F30" s="4">
        <v>33</v>
      </c>
    </row>
    <row r="31" spans="1:6" x14ac:dyDescent="0.35">
      <c r="A31">
        <v>3</v>
      </c>
      <c r="B31">
        <v>10</v>
      </c>
      <c r="D31" s="4">
        <v>1.1100000000000001</v>
      </c>
      <c r="E31" s="4">
        <v>1.43</v>
      </c>
      <c r="F31" s="4">
        <v>2.5</v>
      </c>
    </row>
    <row r="32" spans="1:6" x14ac:dyDescent="0.35">
      <c r="A32">
        <v>4</v>
      </c>
      <c r="B32">
        <v>1</v>
      </c>
      <c r="D32" s="4">
        <v>15</v>
      </c>
      <c r="E32" s="4">
        <v>20</v>
      </c>
      <c r="F32" s="4">
        <v>40</v>
      </c>
    </row>
    <row r="33" spans="1:6" x14ac:dyDescent="0.35">
      <c r="A33">
        <v>4</v>
      </c>
      <c r="B33">
        <v>2</v>
      </c>
      <c r="D33" s="4">
        <v>10</v>
      </c>
      <c r="E33" s="4">
        <v>15</v>
      </c>
      <c r="F33" s="4">
        <v>20</v>
      </c>
    </row>
    <row r="34" spans="1:6" x14ac:dyDescent="0.35">
      <c r="A34">
        <v>4</v>
      </c>
      <c r="B34">
        <v>3</v>
      </c>
      <c r="D34" s="4">
        <v>15</v>
      </c>
      <c r="E34" s="4">
        <v>20</v>
      </c>
      <c r="F34" s="4">
        <v>40</v>
      </c>
    </row>
    <row r="35" spans="1:6" x14ac:dyDescent="0.35">
      <c r="A35">
        <v>4</v>
      </c>
      <c r="B35">
        <v>4</v>
      </c>
      <c r="D35" s="4">
        <v>60</v>
      </c>
      <c r="E35" s="4">
        <v>75</v>
      </c>
      <c r="F35" s="4">
        <v>80</v>
      </c>
    </row>
    <row r="36" spans="1:6" x14ac:dyDescent="0.35">
      <c r="A36">
        <v>4</v>
      </c>
      <c r="B36">
        <v>5</v>
      </c>
      <c r="D36" s="4">
        <v>5</v>
      </c>
      <c r="E36" s="4">
        <v>10</v>
      </c>
      <c r="F36" s="4">
        <v>20</v>
      </c>
    </row>
    <row r="37" spans="1:6" x14ac:dyDescent="0.35">
      <c r="A37">
        <v>4</v>
      </c>
      <c r="B37">
        <v>6</v>
      </c>
      <c r="D37" s="4">
        <v>0</v>
      </c>
      <c r="E37" s="4">
        <v>5</v>
      </c>
      <c r="F37" s="4">
        <v>20</v>
      </c>
    </row>
    <row r="38" spans="1:6" x14ac:dyDescent="0.35">
      <c r="A38">
        <v>4</v>
      </c>
      <c r="B38">
        <v>7</v>
      </c>
      <c r="D38" s="4">
        <v>25</v>
      </c>
      <c r="E38" s="4">
        <v>35</v>
      </c>
      <c r="F38" s="4">
        <v>50</v>
      </c>
    </row>
    <row r="39" spans="1:6" x14ac:dyDescent="0.35">
      <c r="A39">
        <v>4</v>
      </c>
      <c r="B39">
        <v>8</v>
      </c>
      <c r="D39" s="4">
        <v>50</v>
      </c>
      <c r="E39" s="4">
        <v>80</v>
      </c>
      <c r="F39" s="4">
        <v>100</v>
      </c>
    </row>
    <row r="40" spans="1:6" x14ac:dyDescent="0.35">
      <c r="A40">
        <v>4</v>
      </c>
      <c r="B40">
        <v>9</v>
      </c>
      <c r="D40" s="4">
        <v>5</v>
      </c>
      <c r="E40" s="4">
        <v>35</v>
      </c>
      <c r="F40" s="4">
        <v>65</v>
      </c>
    </row>
    <row r="41" spans="1:6" x14ac:dyDescent="0.35">
      <c r="A41">
        <v>4</v>
      </c>
      <c r="B41">
        <v>10</v>
      </c>
      <c r="D41" s="4">
        <v>0.5</v>
      </c>
      <c r="E41" s="4">
        <v>1</v>
      </c>
      <c r="F41" s="4">
        <v>4</v>
      </c>
    </row>
    <row r="42" spans="1:6" x14ac:dyDescent="0.35">
      <c r="A42">
        <v>5</v>
      </c>
      <c r="B42">
        <v>1</v>
      </c>
      <c r="D42" s="4">
        <v>5</v>
      </c>
      <c r="E42" s="4">
        <v>10</v>
      </c>
      <c r="F42" s="4">
        <v>15</v>
      </c>
    </row>
    <row r="43" spans="1:6" x14ac:dyDescent="0.35">
      <c r="A43">
        <v>5</v>
      </c>
      <c r="B43">
        <v>2</v>
      </c>
      <c r="D43" s="4">
        <v>5</v>
      </c>
      <c r="E43" s="4">
        <v>8</v>
      </c>
      <c r="F43" s="4">
        <v>10</v>
      </c>
    </row>
    <row r="44" spans="1:6" x14ac:dyDescent="0.35">
      <c r="A44">
        <v>5</v>
      </c>
      <c r="B44">
        <v>3</v>
      </c>
      <c r="D44" s="4">
        <v>5</v>
      </c>
      <c r="E44" s="4">
        <v>9</v>
      </c>
      <c r="F44" s="4">
        <v>12</v>
      </c>
    </row>
    <row r="45" spans="1:6" x14ac:dyDescent="0.35">
      <c r="A45">
        <v>5</v>
      </c>
      <c r="B45">
        <v>4</v>
      </c>
      <c r="D45" s="4">
        <v>40</v>
      </c>
      <c r="E45" s="4">
        <v>50</v>
      </c>
      <c r="F45" s="4">
        <v>60</v>
      </c>
    </row>
    <row r="46" spans="1:6" x14ac:dyDescent="0.35">
      <c r="A46">
        <v>5</v>
      </c>
      <c r="B46">
        <v>5</v>
      </c>
      <c r="D46" s="4">
        <v>10</v>
      </c>
      <c r="E46" s="4">
        <v>20</v>
      </c>
      <c r="F46" s="4">
        <v>30</v>
      </c>
    </row>
    <row r="47" spans="1:6" x14ac:dyDescent="0.35">
      <c r="A47">
        <v>5</v>
      </c>
      <c r="B47">
        <v>6</v>
      </c>
      <c r="D47" s="4">
        <v>3</v>
      </c>
      <c r="E47" s="4">
        <v>5</v>
      </c>
      <c r="F47" s="4">
        <v>10</v>
      </c>
    </row>
    <row r="48" spans="1:6" x14ac:dyDescent="0.35">
      <c r="A48">
        <v>5</v>
      </c>
      <c r="B48">
        <v>7</v>
      </c>
      <c r="D48" s="4">
        <v>5</v>
      </c>
      <c r="E48" s="4">
        <v>20</v>
      </c>
      <c r="F48" s="4">
        <v>30</v>
      </c>
    </row>
    <row r="49" spans="1:6" x14ac:dyDescent="0.35">
      <c r="A49">
        <v>5</v>
      </c>
      <c r="B49">
        <v>8</v>
      </c>
      <c r="D49" s="4">
        <v>50</v>
      </c>
      <c r="E49" s="4">
        <v>68</v>
      </c>
      <c r="F49" s="4">
        <v>75</v>
      </c>
    </row>
    <row r="50" spans="1:6" x14ac:dyDescent="0.35">
      <c r="A50">
        <v>5</v>
      </c>
      <c r="B50">
        <v>9</v>
      </c>
      <c r="D50" s="4">
        <v>2</v>
      </c>
      <c r="E50" s="4">
        <v>10</v>
      </c>
      <c r="F50" s="4">
        <v>15</v>
      </c>
    </row>
    <row r="51" spans="1:6" x14ac:dyDescent="0.35">
      <c r="A51">
        <v>5</v>
      </c>
      <c r="B51">
        <v>10</v>
      </c>
      <c r="D51" s="4">
        <v>0.5</v>
      </c>
      <c r="E51" s="4">
        <v>0.8</v>
      </c>
      <c r="F51" s="4">
        <v>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74"/>
  <dimension ref="A1:H185"/>
  <sheetViews>
    <sheetView workbookViewId="0"/>
  </sheetViews>
  <sheetFormatPr defaultRowHeight="14.5" x14ac:dyDescent="0.35"/>
  <sheetData>
    <row r="1" spans="1:8" x14ac:dyDescent="0.35">
      <c r="A1" t="s">
        <v>317</v>
      </c>
    </row>
    <row r="2" spans="1:8" x14ac:dyDescent="0.35">
      <c r="A2">
        <v>1</v>
      </c>
      <c r="B2">
        <v>1</v>
      </c>
      <c r="D2" s="4">
        <v>25</v>
      </c>
      <c r="E2" s="4">
        <v>35</v>
      </c>
      <c r="F2" s="4">
        <v>65</v>
      </c>
      <c r="H2" s="4">
        <v>78.510000000000005</v>
      </c>
    </row>
    <row r="3" spans="1:8" x14ac:dyDescent="0.35">
      <c r="A3">
        <v>1</v>
      </c>
      <c r="B3">
        <v>2</v>
      </c>
      <c r="D3" s="4">
        <v>90</v>
      </c>
      <c r="E3" s="4">
        <v>95</v>
      </c>
      <c r="F3" s="4">
        <v>105</v>
      </c>
      <c r="H3" s="4">
        <v>94.29</v>
      </c>
    </row>
    <row r="4" spans="1:8" x14ac:dyDescent="0.35">
      <c r="A4">
        <v>1</v>
      </c>
      <c r="B4">
        <v>3</v>
      </c>
      <c r="D4" s="4">
        <v>11000</v>
      </c>
      <c r="E4" s="4">
        <v>15000</v>
      </c>
      <c r="F4" s="4">
        <v>25000</v>
      </c>
      <c r="H4" s="4">
        <v>11607.8</v>
      </c>
    </row>
    <row r="5" spans="1:8" x14ac:dyDescent="0.35">
      <c r="A5">
        <v>1</v>
      </c>
      <c r="B5">
        <v>4</v>
      </c>
      <c r="D5" s="4">
        <v>55000</v>
      </c>
      <c r="E5" s="4">
        <v>75000</v>
      </c>
      <c r="F5" s="4">
        <v>100000</v>
      </c>
      <c r="H5" s="4">
        <v>69644.2</v>
      </c>
    </row>
    <row r="6" spans="1:8" x14ac:dyDescent="0.35">
      <c r="A6">
        <v>1</v>
      </c>
      <c r="B6">
        <v>5</v>
      </c>
      <c r="D6" s="4">
        <v>13000</v>
      </c>
      <c r="E6" s="4">
        <v>16000</v>
      </c>
      <c r="F6" s="4">
        <v>25000</v>
      </c>
      <c r="H6" s="4">
        <v>11539.1</v>
      </c>
    </row>
    <row r="7" spans="1:8" x14ac:dyDescent="0.35">
      <c r="A7">
        <v>1</v>
      </c>
      <c r="B7">
        <v>6</v>
      </c>
      <c r="D7" s="4">
        <v>14000</v>
      </c>
      <c r="E7" s="4">
        <v>18000</v>
      </c>
      <c r="F7" s="4">
        <v>30000</v>
      </c>
      <c r="H7" s="4">
        <v>12361</v>
      </c>
    </row>
    <row r="8" spans="1:8" x14ac:dyDescent="0.35">
      <c r="A8">
        <v>1</v>
      </c>
      <c r="B8">
        <v>7</v>
      </c>
      <c r="D8" s="4">
        <v>0.95</v>
      </c>
      <c r="E8" s="4">
        <v>1.05</v>
      </c>
      <c r="F8" s="4">
        <v>1.1499999999999999</v>
      </c>
      <c r="H8" s="4">
        <v>1.35</v>
      </c>
    </row>
    <row r="9" spans="1:8" x14ac:dyDescent="0.35">
      <c r="A9">
        <v>1</v>
      </c>
      <c r="B9">
        <v>8</v>
      </c>
      <c r="D9" s="4">
        <v>0.95</v>
      </c>
      <c r="E9" s="4">
        <v>1.05</v>
      </c>
      <c r="F9" s="4">
        <v>1.1499999999999999</v>
      </c>
      <c r="H9" s="4">
        <v>1.05</v>
      </c>
    </row>
    <row r="10" spans="1:8" x14ac:dyDescent="0.35">
      <c r="A10">
        <v>1</v>
      </c>
      <c r="B10">
        <v>9</v>
      </c>
      <c r="D10" s="4">
        <v>50.5</v>
      </c>
      <c r="E10" s="4">
        <v>84.2</v>
      </c>
      <c r="F10" s="4">
        <v>98.2</v>
      </c>
      <c r="H10" s="4">
        <v>65.22</v>
      </c>
    </row>
    <row r="11" spans="1:8" x14ac:dyDescent="0.35">
      <c r="A11">
        <v>1</v>
      </c>
      <c r="B11">
        <v>10</v>
      </c>
      <c r="D11" s="4">
        <v>33000</v>
      </c>
      <c r="E11" s="4">
        <v>36000</v>
      </c>
      <c r="F11" s="4">
        <v>39000</v>
      </c>
      <c r="H11" s="4">
        <v>44532.800000000003</v>
      </c>
    </row>
    <row r="12" spans="1:8" x14ac:dyDescent="0.35">
      <c r="A12">
        <v>1</v>
      </c>
      <c r="B12">
        <v>11</v>
      </c>
      <c r="D12" s="4">
        <v>0.5</v>
      </c>
      <c r="E12" s="4">
        <v>0.8</v>
      </c>
      <c r="F12" s="4">
        <v>0.95</v>
      </c>
      <c r="H12" s="4">
        <v>0.85</v>
      </c>
    </row>
    <row r="13" spans="1:8" x14ac:dyDescent="0.35">
      <c r="A13">
        <v>2</v>
      </c>
      <c r="B13">
        <v>1</v>
      </c>
      <c r="D13" s="4">
        <v>25</v>
      </c>
      <c r="E13" s="4">
        <v>60</v>
      </c>
      <c r="F13" s="4">
        <v>80</v>
      </c>
    </row>
    <row r="14" spans="1:8" x14ac:dyDescent="0.35">
      <c r="A14">
        <v>2</v>
      </c>
      <c r="B14">
        <v>2</v>
      </c>
      <c r="D14" s="4">
        <v>91</v>
      </c>
      <c r="E14" s="4">
        <v>93</v>
      </c>
      <c r="F14" s="4">
        <v>105</v>
      </c>
    </row>
    <row r="15" spans="1:8" x14ac:dyDescent="0.35">
      <c r="A15">
        <v>2</v>
      </c>
      <c r="B15">
        <v>3</v>
      </c>
      <c r="D15" s="4">
        <v>10700</v>
      </c>
      <c r="E15" s="4">
        <v>12000</v>
      </c>
      <c r="F15" s="4">
        <v>15000</v>
      </c>
    </row>
    <row r="16" spans="1:8" x14ac:dyDescent="0.35">
      <c r="A16">
        <v>2</v>
      </c>
      <c r="B16">
        <v>4</v>
      </c>
      <c r="D16" s="4">
        <v>55000</v>
      </c>
      <c r="E16" s="4">
        <v>61000</v>
      </c>
      <c r="F16" s="4">
        <v>85000</v>
      </c>
    </row>
    <row r="17" spans="1:6" x14ac:dyDescent="0.35">
      <c r="A17">
        <v>2</v>
      </c>
      <c r="B17">
        <v>5</v>
      </c>
      <c r="D17" s="4">
        <v>11550</v>
      </c>
      <c r="E17" s="4">
        <v>11850</v>
      </c>
      <c r="F17" s="4">
        <v>12500</v>
      </c>
    </row>
    <row r="18" spans="1:6" x14ac:dyDescent="0.35">
      <c r="A18">
        <v>2</v>
      </c>
      <c r="B18">
        <v>6</v>
      </c>
      <c r="D18" s="4">
        <v>11550</v>
      </c>
      <c r="E18" s="4">
        <v>12000</v>
      </c>
      <c r="F18" s="4">
        <v>15000</v>
      </c>
    </row>
    <row r="19" spans="1:6" x14ac:dyDescent="0.35">
      <c r="A19">
        <v>2</v>
      </c>
      <c r="B19">
        <v>7</v>
      </c>
      <c r="D19" s="4">
        <v>1</v>
      </c>
      <c r="E19" s="4">
        <v>1.1000000000000001</v>
      </c>
      <c r="F19" s="4">
        <v>1.5</v>
      </c>
    </row>
    <row r="20" spans="1:6" x14ac:dyDescent="0.35">
      <c r="A20">
        <v>2</v>
      </c>
      <c r="B20">
        <v>8</v>
      </c>
      <c r="D20" s="4">
        <v>1</v>
      </c>
      <c r="E20" s="4">
        <v>1.04</v>
      </c>
      <c r="F20" s="4">
        <v>1.5</v>
      </c>
    </row>
    <row r="21" spans="1:6" x14ac:dyDescent="0.35">
      <c r="A21">
        <v>2</v>
      </c>
      <c r="B21">
        <v>9</v>
      </c>
      <c r="D21" s="4">
        <v>70</v>
      </c>
      <c r="E21" s="4">
        <v>99</v>
      </c>
      <c r="F21" s="4">
        <v>99.9</v>
      </c>
    </row>
    <row r="22" spans="1:6" x14ac:dyDescent="0.35">
      <c r="A22">
        <v>2</v>
      </c>
      <c r="B22">
        <v>10</v>
      </c>
      <c r="D22" s="4">
        <v>35000</v>
      </c>
      <c r="E22" s="4">
        <v>35100</v>
      </c>
      <c r="F22" s="4">
        <v>50000</v>
      </c>
    </row>
    <row r="23" spans="1:6" x14ac:dyDescent="0.35">
      <c r="A23">
        <v>2</v>
      </c>
      <c r="B23">
        <v>11</v>
      </c>
      <c r="D23" s="4">
        <v>0.4</v>
      </c>
      <c r="E23" s="4">
        <v>0.8</v>
      </c>
      <c r="F23" s="4">
        <v>1</v>
      </c>
    </row>
    <row r="24" spans="1:6" x14ac:dyDescent="0.35">
      <c r="A24">
        <v>3</v>
      </c>
      <c r="B24">
        <v>1</v>
      </c>
      <c r="D24" s="4">
        <v>26.1</v>
      </c>
      <c r="E24" s="4">
        <v>73</v>
      </c>
      <c r="F24" s="4">
        <v>90.4</v>
      </c>
    </row>
    <row r="25" spans="1:6" x14ac:dyDescent="0.35">
      <c r="A25">
        <v>3</v>
      </c>
      <c r="B25">
        <v>2</v>
      </c>
      <c r="D25" s="4">
        <v>85</v>
      </c>
      <c r="E25" s="4">
        <v>90.9</v>
      </c>
      <c r="F25" s="4">
        <v>95</v>
      </c>
    </row>
    <row r="26" spans="1:6" x14ac:dyDescent="0.35">
      <c r="A26">
        <v>3</v>
      </c>
      <c r="B26">
        <v>3</v>
      </c>
      <c r="D26" s="4">
        <v>10000</v>
      </c>
      <c r="E26" s="4">
        <v>18000</v>
      </c>
      <c r="F26" s="4">
        <v>40000</v>
      </c>
    </row>
    <row r="27" spans="1:6" x14ac:dyDescent="0.35">
      <c r="A27">
        <v>3</v>
      </c>
      <c r="B27">
        <v>4</v>
      </c>
      <c r="D27" s="4">
        <v>52000</v>
      </c>
      <c r="E27" s="4">
        <v>70000</v>
      </c>
      <c r="F27" s="4">
        <v>120000</v>
      </c>
    </row>
    <row r="28" spans="1:6" x14ac:dyDescent="0.35">
      <c r="A28">
        <v>3</v>
      </c>
      <c r="B28">
        <v>5</v>
      </c>
      <c r="D28" s="4">
        <v>11000</v>
      </c>
      <c r="E28" s="4">
        <v>13500</v>
      </c>
      <c r="F28" s="4">
        <v>25000</v>
      </c>
    </row>
    <row r="29" spans="1:6" x14ac:dyDescent="0.35">
      <c r="A29">
        <v>3</v>
      </c>
      <c r="B29">
        <v>6</v>
      </c>
      <c r="D29" s="4">
        <v>11500</v>
      </c>
      <c r="E29" s="4">
        <v>17000</v>
      </c>
      <c r="F29" s="4">
        <v>35000</v>
      </c>
    </row>
    <row r="30" spans="1:6" x14ac:dyDescent="0.35">
      <c r="A30">
        <v>3</v>
      </c>
      <c r="B30">
        <v>7</v>
      </c>
      <c r="D30" s="4">
        <v>0.85</v>
      </c>
      <c r="E30" s="4">
        <v>1.1000000000000001</v>
      </c>
      <c r="F30" s="4">
        <v>1.4</v>
      </c>
    </row>
    <row r="31" spans="1:6" x14ac:dyDescent="0.35">
      <c r="A31">
        <v>3</v>
      </c>
      <c r="B31">
        <v>8</v>
      </c>
      <c r="D31" s="4">
        <v>0.87</v>
      </c>
      <c r="E31" s="4">
        <v>1.1000000000000001</v>
      </c>
      <c r="F31" s="4">
        <v>1.4</v>
      </c>
    </row>
    <row r="32" spans="1:6" x14ac:dyDescent="0.35">
      <c r="A32">
        <v>3</v>
      </c>
      <c r="B32">
        <v>9</v>
      </c>
      <c r="D32" s="4">
        <v>20</v>
      </c>
      <c r="E32" s="4">
        <v>80</v>
      </c>
      <c r="F32" s="4">
        <v>100</v>
      </c>
    </row>
    <row r="33" spans="1:6" x14ac:dyDescent="0.35">
      <c r="A33">
        <v>3</v>
      </c>
      <c r="B33">
        <v>10</v>
      </c>
      <c r="D33" s="4">
        <v>25000</v>
      </c>
      <c r="E33" s="4">
        <v>36500</v>
      </c>
      <c r="F33" s="4">
        <v>45000</v>
      </c>
    </row>
    <row r="34" spans="1:6" x14ac:dyDescent="0.35">
      <c r="A34">
        <v>3</v>
      </c>
      <c r="B34">
        <v>11</v>
      </c>
      <c r="D34" s="4">
        <v>0.5</v>
      </c>
      <c r="E34" s="4">
        <v>1</v>
      </c>
      <c r="F34" s="4">
        <v>1.6</v>
      </c>
    </row>
    <row r="35" spans="1:6" x14ac:dyDescent="0.35">
      <c r="A35">
        <v>4</v>
      </c>
      <c r="B35">
        <v>1</v>
      </c>
      <c r="D35" s="4">
        <v>30</v>
      </c>
      <c r="E35" s="4">
        <v>60</v>
      </c>
      <c r="F35" s="4">
        <v>88</v>
      </c>
    </row>
    <row r="36" spans="1:6" x14ac:dyDescent="0.35">
      <c r="A36">
        <v>4</v>
      </c>
      <c r="B36">
        <v>2</v>
      </c>
      <c r="D36" s="4">
        <v>80</v>
      </c>
      <c r="E36" s="4">
        <v>93</v>
      </c>
      <c r="F36" s="4">
        <v>100</v>
      </c>
    </row>
    <row r="37" spans="1:6" x14ac:dyDescent="0.35">
      <c r="A37">
        <v>4</v>
      </c>
      <c r="B37">
        <v>3</v>
      </c>
      <c r="D37" s="4">
        <v>0</v>
      </c>
      <c r="E37" s="4">
        <v>10094</v>
      </c>
      <c r="F37" s="4">
        <v>40000</v>
      </c>
    </row>
    <row r="38" spans="1:6" x14ac:dyDescent="0.35">
      <c r="A38">
        <v>4</v>
      </c>
      <c r="B38">
        <v>4</v>
      </c>
      <c r="D38" s="4">
        <v>15000</v>
      </c>
      <c r="E38" s="4">
        <v>60000</v>
      </c>
      <c r="F38" s="4">
        <v>110000</v>
      </c>
    </row>
    <row r="39" spans="1:6" x14ac:dyDescent="0.35">
      <c r="A39">
        <v>4</v>
      </c>
      <c r="B39">
        <v>5</v>
      </c>
      <c r="D39" s="4">
        <v>2000</v>
      </c>
      <c r="E39" s="4">
        <v>11506</v>
      </c>
      <c r="F39" s="4">
        <v>35000</v>
      </c>
    </row>
    <row r="40" spans="1:6" x14ac:dyDescent="0.35">
      <c r="A40">
        <v>4</v>
      </c>
      <c r="B40">
        <v>6</v>
      </c>
      <c r="D40" s="4">
        <v>2000</v>
      </c>
      <c r="E40" s="4">
        <v>11000</v>
      </c>
      <c r="F40" s="4">
        <v>25000</v>
      </c>
    </row>
    <row r="41" spans="1:6" x14ac:dyDescent="0.35">
      <c r="A41">
        <v>4</v>
      </c>
      <c r="B41">
        <v>7</v>
      </c>
      <c r="D41" s="4">
        <v>0.75</v>
      </c>
      <c r="E41" s="4">
        <v>1.1000000000000001</v>
      </c>
      <c r="F41" s="4">
        <v>1.5</v>
      </c>
    </row>
    <row r="42" spans="1:6" x14ac:dyDescent="0.35">
      <c r="A42">
        <v>4</v>
      </c>
      <c r="B42">
        <v>8</v>
      </c>
      <c r="D42" s="4">
        <v>0.2</v>
      </c>
      <c r="E42" s="4">
        <v>1</v>
      </c>
      <c r="F42" s="4">
        <v>4</v>
      </c>
    </row>
    <row r="43" spans="1:6" x14ac:dyDescent="0.35">
      <c r="A43">
        <v>4</v>
      </c>
      <c r="B43">
        <v>9</v>
      </c>
      <c r="D43" s="4">
        <v>50</v>
      </c>
      <c r="E43" s="4">
        <v>80</v>
      </c>
      <c r="F43" s="4">
        <v>95</v>
      </c>
    </row>
    <row r="44" spans="1:6" x14ac:dyDescent="0.35">
      <c r="A44">
        <v>4</v>
      </c>
      <c r="B44">
        <v>10</v>
      </c>
      <c r="D44" s="4">
        <v>15000</v>
      </c>
      <c r="E44" s="4">
        <v>37500</v>
      </c>
      <c r="F44" s="4">
        <v>60000</v>
      </c>
    </row>
    <row r="45" spans="1:6" x14ac:dyDescent="0.35">
      <c r="A45">
        <v>4</v>
      </c>
      <c r="B45">
        <v>11</v>
      </c>
      <c r="D45" s="4">
        <v>0.2</v>
      </c>
      <c r="E45" s="4">
        <v>1.1000000000000001</v>
      </c>
      <c r="F45" s="4">
        <v>5</v>
      </c>
    </row>
    <row r="46" spans="1:6" x14ac:dyDescent="0.35">
      <c r="A46">
        <v>5</v>
      </c>
      <c r="B46">
        <v>1</v>
      </c>
      <c r="D46" s="4">
        <v>62</v>
      </c>
      <c r="E46" s="4">
        <v>72</v>
      </c>
      <c r="F46" s="4">
        <v>84</v>
      </c>
    </row>
    <row r="47" spans="1:6" x14ac:dyDescent="0.35">
      <c r="A47">
        <v>5</v>
      </c>
      <c r="B47">
        <v>2</v>
      </c>
      <c r="D47" s="4">
        <v>90</v>
      </c>
      <c r="E47" s="4">
        <v>92</v>
      </c>
      <c r="F47" s="4">
        <v>93.5</v>
      </c>
    </row>
    <row r="48" spans="1:6" x14ac:dyDescent="0.35">
      <c r="A48">
        <v>5</v>
      </c>
      <c r="B48">
        <v>3</v>
      </c>
      <c r="D48" s="4">
        <v>10800</v>
      </c>
      <c r="E48" s="4">
        <v>11300</v>
      </c>
      <c r="F48" s="4">
        <v>11800</v>
      </c>
    </row>
    <row r="49" spans="1:6" x14ac:dyDescent="0.35">
      <c r="A49">
        <v>5</v>
      </c>
      <c r="B49">
        <v>4</v>
      </c>
      <c r="D49" s="4">
        <v>56000</v>
      </c>
      <c r="E49" s="4">
        <v>58400</v>
      </c>
      <c r="F49" s="4">
        <v>60800</v>
      </c>
    </row>
    <row r="50" spans="1:6" x14ac:dyDescent="0.35">
      <c r="A50">
        <v>5</v>
      </c>
      <c r="B50">
        <v>5</v>
      </c>
      <c r="D50" s="4">
        <v>11400</v>
      </c>
      <c r="E50" s="4">
        <v>12000</v>
      </c>
      <c r="F50" s="4">
        <v>13600</v>
      </c>
    </row>
    <row r="51" spans="1:6" x14ac:dyDescent="0.35">
      <c r="A51">
        <v>5</v>
      </c>
      <c r="B51">
        <v>6</v>
      </c>
      <c r="D51" s="4">
        <v>11800</v>
      </c>
      <c r="E51" s="4">
        <v>13500</v>
      </c>
      <c r="F51" s="4">
        <v>15500</v>
      </c>
    </row>
    <row r="52" spans="1:6" x14ac:dyDescent="0.35">
      <c r="A52">
        <v>5</v>
      </c>
      <c r="B52">
        <v>7</v>
      </c>
      <c r="D52" s="4">
        <v>1</v>
      </c>
      <c r="E52" s="4">
        <v>1.2</v>
      </c>
      <c r="F52" s="4">
        <v>1.4</v>
      </c>
    </row>
    <row r="53" spans="1:6" x14ac:dyDescent="0.35">
      <c r="A53">
        <v>5</v>
      </c>
      <c r="B53">
        <v>8</v>
      </c>
      <c r="D53" s="4">
        <v>1</v>
      </c>
      <c r="E53" s="4">
        <v>1.35</v>
      </c>
      <c r="F53" s="4">
        <v>1.6</v>
      </c>
    </row>
    <row r="54" spans="1:6" x14ac:dyDescent="0.35">
      <c r="A54">
        <v>5</v>
      </c>
      <c r="B54">
        <v>9</v>
      </c>
      <c r="D54" s="4">
        <v>60</v>
      </c>
      <c r="E54" s="4">
        <v>85</v>
      </c>
      <c r="F54" s="4">
        <v>99</v>
      </c>
    </row>
    <row r="55" spans="1:6" x14ac:dyDescent="0.35">
      <c r="A55">
        <v>5</v>
      </c>
      <c r="B55">
        <v>10</v>
      </c>
      <c r="D55" s="4">
        <v>30000</v>
      </c>
      <c r="E55" s="4">
        <v>35100</v>
      </c>
      <c r="F55" s="4">
        <v>40000</v>
      </c>
    </row>
    <row r="56" spans="1:6" x14ac:dyDescent="0.35">
      <c r="A56">
        <v>5</v>
      </c>
      <c r="B56">
        <v>11</v>
      </c>
      <c r="D56" s="4">
        <v>0.85</v>
      </c>
      <c r="E56" s="4">
        <v>1</v>
      </c>
      <c r="F56" s="4">
        <v>1.1499999999999999</v>
      </c>
    </row>
    <row r="57" spans="1:6" x14ac:dyDescent="0.35">
      <c r="A57">
        <v>6</v>
      </c>
      <c r="B57">
        <v>1</v>
      </c>
      <c r="D57" s="4">
        <v>50</v>
      </c>
      <c r="E57" s="4">
        <v>65</v>
      </c>
      <c r="F57" s="4">
        <v>80</v>
      </c>
    </row>
    <row r="58" spans="1:6" x14ac:dyDescent="0.35">
      <c r="A58">
        <v>6</v>
      </c>
      <c r="B58">
        <v>2</v>
      </c>
      <c r="D58" s="4">
        <v>92</v>
      </c>
      <c r="E58" s="4">
        <v>97</v>
      </c>
      <c r="F58" s="4">
        <v>115</v>
      </c>
    </row>
    <row r="59" spans="1:6" x14ac:dyDescent="0.35">
      <c r="A59">
        <v>6</v>
      </c>
      <c r="B59">
        <v>3</v>
      </c>
      <c r="D59" s="4">
        <v>12000</v>
      </c>
      <c r="E59" s="4">
        <v>15000</v>
      </c>
      <c r="F59" s="4">
        <v>25000</v>
      </c>
    </row>
    <row r="60" spans="1:6" x14ac:dyDescent="0.35">
      <c r="A60">
        <v>6</v>
      </c>
      <c r="B60">
        <v>4</v>
      </c>
      <c r="D60" s="4">
        <v>55000</v>
      </c>
      <c r="E60" s="4">
        <v>70000</v>
      </c>
      <c r="F60" s="4">
        <v>90000</v>
      </c>
    </row>
    <row r="61" spans="1:6" x14ac:dyDescent="0.35">
      <c r="A61">
        <v>6</v>
      </c>
      <c r="B61">
        <v>5</v>
      </c>
      <c r="D61" s="4">
        <v>12000</v>
      </c>
      <c r="E61" s="4">
        <v>14000</v>
      </c>
      <c r="F61" s="4">
        <v>16000</v>
      </c>
    </row>
    <row r="62" spans="1:6" x14ac:dyDescent="0.35">
      <c r="A62">
        <v>6</v>
      </c>
      <c r="B62">
        <v>6</v>
      </c>
      <c r="D62" s="4">
        <v>13000</v>
      </c>
      <c r="E62" s="4">
        <v>16000</v>
      </c>
      <c r="F62" s="4">
        <v>20000</v>
      </c>
    </row>
    <row r="63" spans="1:6" x14ac:dyDescent="0.35">
      <c r="A63">
        <v>6</v>
      </c>
      <c r="B63">
        <v>7</v>
      </c>
      <c r="D63" s="4">
        <v>1.05</v>
      </c>
      <c r="E63" s="4">
        <v>1.1499999999999999</v>
      </c>
      <c r="F63" s="4">
        <v>1.25</v>
      </c>
    </row>
    <row r="64" spans="1:6" x14ac:dyDescent="0.35">
      <c r="A64">
        <v>6</v>
      </c>
      <c r="B64">
        <v>8</v>
      </c>
      <c r="D64" s="4">
        <v>0.96</v>
      </c>
      <c r="E64" s="4">
        <v>1.05</v>
      </c>
      <c r="F64" s="4">
        <v>1.2</v>
      </c>
    </row>
    <row r="65" spans="1:6" x14ac:dyDescent="0.35">
      <c r="A65">
        <v>6</v>
      </c>
      <c r="B65">
        <v>9</v>
      </c>
      <c r="D65" s="4">
        <v>90</v>
      </c>
      <c r="E65" s="4">
        <v>95</v>
      </c>
      <c r="F65" s="4">
        <v>99.9</v>
      </c>
    </row>
    <row r="66" spans="1:6" x14ac:dyDescent="0.35">
      <c r="A66">
        <v>6</v>
      </c>
      <c r="B66">
        <v>10</v>
      </c>
      <c r="D66" s="4">
        <v>35100</v>
      </c>
      <c r="E66" s="4">
        <v>36000</v>
      </c>
      <c r="F66" s="4">
        <v>37000</v>
      </c>
    </row>
    <row r="67" spans="1:6" x14ac:dyDescent="0.35">
      <c r="A67">
        <v>6</v>
      </c>
      <c r="B67">
        <v>11</v>
      </c>
      <c r="D67" s="4">
        <v>0.8</v>
      </c>
      <c r="E67" s="4">
        <v>0.9</v>
      </c>
      <c r="F67" s="4">
        <v>1</v>
      </c>
    </row>
    <row r="68" spans="1:6" x14ac:dyDescent="0.35">
      <c r="A68">
        <v>7</v>
      </c>
      <c r="B68">
        <v>1</v>
      </c>
      <c r="D68" s="4">
        <v>15</v>
      </c>
      <c r="E68" s="4">
        <v>30</v>
      </c>
      <c r="F68" s="4">
        <v>45</v>
      </c>
    </row>
    <row r="69" spans="1:6" x14ac:dyDescent="0.35">
      <c r="A69">
        <v>7</v>
      </c>
      <c r="B69">
        <v>2</v>
      </c>
      <c r="D69" s="4">
        <v>90</v>
      </c>
      <c r="E69" s="4">
        <v>92</v>
      </c>
      <c r="F69" s="4">
        <v>94</v>
      </c>
    </row>
    <row r="70" spans="1:6" x14ac:dyDescent="0.35">
      <c r="A70">
        <v>7</v>
      </c>
      <c r="B70">
        <v>3</v>
      </c>
      <c r="D70" s="4">
        <v>10100</v>
      </c>
      <c r="E70" s="4">
        <v>12000</v>
      </c>
      <c r="F70" s="4">
        <v>14000</v>
      </c>
    </row>
    <row r="71" spans="1:6" x14ac:dyDescent="0.35">
      <c r="A71">
        <v>7</v>
      </c>
      <c r="B71">
        <v>4</v>
      </c>
      <c r="D71" s="4">
        <v>53000</v>
      </c>
      <c r="E71" s="4">
        <v>57000</v>
      </c>
      <c r="F71" s="4">
        <v>61000</v>
      </c>
    </row>
    <row r="72" spans="1:6" x14ac:dyDescent="0.35">
      <c r="A72">
        <v>7</v>
      </c>
      <c r="B72">
        <v>5</v>
      </c>
      <c r="D72" s="4">
        <v>12000</v>
      </c>
      <c r="E72" s="4">
        <v>14000</v>
      </c>
      <c r="F72" s="4">
        <v>18000</v>
      </c>
    </row>
    <row r="73" spans="1:6" x14ac:dyDescent="0.35">
      <c r="A73">
        <v>7</v>
      </c>
      <c r="B73">
        <v>6</v>
      </c>
      <c r="D73" s="4">
        <v>13000</v>
      </c>
      <c r="E73" s="4">
        <v>15000</v>
      </c>
      <c r="F73" s="4">
        <v>20000</v>
      </c>
    </row>
    <row r="74" spans="1:6" x14ac:dyDescent="0.35">
      <c r="A74">
        <v>7</v>
      </c>
      <c r="B74">
        <v>7</v>
      </c>
      <c r="D74" s="4">
        <v>1</v>
      </c>
      <c r="E74" s="4">
        <v>1.05</v>
      </c>
      <c r="F74" s="4">
        <v>1.1000000000000001</v>
      </c>
    </row>
    <row r="75" spans="1:6" x14ac:dyDescent="0.35">
      <c r="A75">
        <v>7</v>
      </c>
      <c r="B75">
        <v>8</v>
      </c>
      <c r="D75" s="4">
        <v>0.95</v>
      </c>
      <c r="E75" s="4">
        <v>1.05</v>
      </c>
      <c r="F75" s="4">
        <v>1.1499999999999999</v>
      </c>
    </row>
    <row r="76" spans="1:6" x14ac:dyDescent="0.35">
      <c r="A76">
        <v>7</v>
      </c>
      <c r="B76">
        <v>9</v>
      </c>
      <c r="D76" s="4">
        <v>80</v>
      </c>
      <c r="E76" s="4">
        <v>90</v>
      </c>
      <c r="F76" s="4">
        <v>100</v>
      </c>
    </row>
    <row r="77" spans="1:6" x14ac:dyDescent="0.35">
      <c r="A77">
        <v>7</v>
      </c>
      <c r="B77">
        <v>10</v>
      </c>
      <c r="D77" s="4">
        <v>31100</v>
      </c>
      <c r="E77" s="4">
        <v>35100</v>
      </c>
      <c r="F77" s="4">
        <v>39100</v>
      </c>
    </row>
    <row r="78" spans="1:6" x14ac:dyDescent="0.35">
      <c r="A78">
        <v>7</v>
      </c>
      <c r="B78">
        <v>11</v>
      </c>
      <c r="D78" s="4">
        <v>1</v>
      </c>
      <c r="E78" s="4">
        <v>1.1000000000000001</v>
      </c>
      <c r="F78" s="4">
        <v>1.3</v>
      </c>
    </row>
    <row r="79" spans="1:6" x14ac:dyDescent="0.35">
      <c r="A79">
        <v>8</v>
      </c>
      <c r="B79">
        <v>1</v>
      </c>
      <c r="D79" s="4">
        <v>40</v>
      </c>
      <c r="E79" s="4">
        <v>50</v>
      </c>
      <c r="F79" s="4">
        <v>60</v>
      </c>
    </row>
    <row r="80" spans="1:6" x14ac:dyDescent="0.35">
      <c r="A80">
        <v>8</v>
      </c>
      <c r="B80">
        <v>2</v>
      </c>
      <c r="D80" s="4">
        <v>85</v>
      </c>
      <c r="E80" s="4">
        <v>92</v>
      </c>
      <c r="F80" s="4">
        <v>96</v>
      </c>
    </row>
    <row r="81" spans="1:6" x14ac:dyDescent="0.35">
      <c r="A81">
        <v>8</v>
      </c>
      <c r="B81">
        <v>3</v>
      </c>
      <c r="D81" s="4">
        <v>9000</v>
      </c>
      <c r="E81" s="4">
        <v>17000</v>
      </c>
      <c r="F81" s="4">
        <v>25000</v>
      </c>
    </row>
    <row r="82" spans="1:6" x14ac:dyDescent="0.35">
      <c r="A82">
        <v>8</v>
      </c>
      <c r="B82">
        <v>4</v>
      </c>
      <c r="D82" s="4">
        <v>60000</v>
      </c>
      <c r="E82" s="4">
        <v>67000</v>
      </c>
      <c r="F82" s="4">
        <v>85000</v>
      </c>
    </row>
    <row r="83" spans="1:6" x14ac:dyDescent="0.35">
      <c r="A83">
        <v>8</v>
      </c>
      <c r="B83">
        <v>5</v>
      </c>
      <c r="D83" s="4">
        <v>13000</v>
      </c>
      <c r="E83" s="4">
        <v>20000</v>
      </c>
      <c r="F83" s="4">
        <v>30000</v>
      </c>
    </row>
    <row r="84" spans="1:6" x14ac:dyDescent="0.35">
      <c r="A84">
        <v>8</v>
      </c>
      <c r="B84">
        <v>6</v>
      </c>
      <c r="D84" s="4">
        <v>15000</v>
      </c>
      <c r="E84" s="4">
        <v>23000</v>
      </c>
      <c r="F84" s="4">
        <v>35000</v>
      </c>
    </row>
    <row r="85" spans="1:6" x14ac:dyDescent="0.35">
      <c r="A85">
        <v>8</v>
      </c>
      <c r="B85">
        <v>7</v>
      </c>
      <c r="D85" s="4">
        <v>0.9</v>
      </c>
      <c r="E85" s="4">
        <v>1.1000000000000001</v>
      </c>
      <c r="F85" s="4">
        <v>1.1499999999999999</v>
      </c>
    </row>
    <row r="86" spans="1:6" x14ac:dyDescent="0.35">
      <c r="A86">
        <v>8</v>
      </c>
      <c r="B86">
        <v>8</v>
      </c>
      <c r="D86" s="4">
        <v>0.95</v>
      </c>
      <c r="E86" s="4">
        <v>1.1200000000000001</v>
      </c>
      <c r="F86" s="4">
        <v>1.17</v>
      </c>
    </row>
    <row r="87" spans="1:6" x14ac:dyDescent="0.35">
      <c r="A87">
        <v>8</v>
      </c>
      <c r="B87">
        <v>9</v>
      </c>
      <c r="D87" s="4">
        <v>70</v>
      </c>
      <c r="E87" s="4">
        <v>85</v>
      </c>
      <c r="F87" s="4">
        <v>90</v>
      </c>
    </row>
    <row r="88" spans="1:6" x14ac:dyDescent="0.35">
      <c r="A88">
        <v>8</v>
      </c>
      <c r="B88">
        <v>10</v>
      </c>
      <c r="D88" s="4">
        <v>68000</v>
      </c>
      <c r="E88" s="4">
        <v>75000</v>
      </c>
      <c r="F88" s="4">
        <v>85000</v>
      </c>
    </row>
    <row r="89" spans="1:6" x14ac:dyDescent="0.35">
      <c r="A89">
        <v>8</v>
      </c>
      <c r="B89">
        <v>11</v>
      </c>
      <c r="D89" s="4">
        <v>0.9</v>
      </c>
      <c r="E89" s="4">
        <v>1.8</v>
      </c>
      <c r="F89" s="4">
        <v>2.5</v>
      </c>
    </row>
    <row r="90" spans="1:6" x14ac:dyDescent="0.35">
      <c r="D90" s="4"/>
      <c r="E90" s="4"/>
    </row>
    <row r="91" spans="1:6" x14ac:dyDescent="0.35">
      <c r="D91" s="4"/>
      <c r="E91" s="4"/>
    </row>
    <row r="92" spans="1:6" x14ac:dyDescent="0.35">
      <c r="D92" s="4"/>
      <c r="E92" s="4"/>
    </row>
    <row r="93" spans="1:6" x14ac:dyDescent="0.35">
      <c r="D93" s="4"/>
      <c r="E93" s="4"/>
    </row>
    <row r="94" spans="1:6" x14ac:dyDescent="0.35">
      <c r="D94" s="4"/>
      <c r="E94" s="4"/>
    </row>
    <row r="95" spans="1:6" x14ac:dyDescent="0.35">
      <c r="D95" s="4"/>
      <c r="E95" s="4"/>
    </row>
    <row r="96" spans="1:6" x14ac:dyDescent="0.35">
      <c r="D96" s="4"/>
      <c r="E96" s="4"/>
    </row>
    <row r="97" spans="4:5" x14ac:dyDescent="0.35">
      <c r="D97" s="4"/>
      <c r="E97" s="4"/>
    </row>
    <row r="98" spans="4:5" x14ac:dyDescent="0.35">
      <c r="D98" s="4"/>
      <c r="E98" s="4"/>
    </row>
    <row r="99" spans="4:5" x14ac:dyDescent="0.35">
      <c r="D99" s="4"/>
      <c r="E99" s="4"/>
    </row>
    <row r="100" spans="4:5" x14ac:dyDescent="0.35">
      <c r="D100" s="4"/>
      <c r="E100" s="4"/>
    </row>
    <row r="101" spans="4:5" x14ac:dyDescent="0.35">
      <c r="D101" s="4"/>
      <c r="E101" s="4"/>
    </row>
    <row r="102" spans="4:5" x14ac:dyDescent="0.35">
      <c r="D102" s="4"/>
      <c r="E102" s="4"/>
    </row>
    <row r="103" spans="4:5" x14ac:dyDescent="0.35">
      <c r="D103" s="4"/>
      <c r="E103" s="4"/>
    </row>
    <row r="104" spans="4:5" x14ac:dyDescent="0.35">
      <c r="D104" s="4"/>
      <c r="E104" s="4"/>
    </row>
    <row r="105" spans="4:5" x14ac:dyDescent="0.35">
      <c r="D105" s="4"/>
      <c r="E105" s="4"/>
    </row>
    <row r="106" spans="4:5" x14ac:dyDescent="0.35">
      <c r="D106" s="4"/>
      <c r="E106" s="4"/>
    </row>
    <row r="107" spans="4:5" x14ac:dyDescent="0.35">
      <c r="D107" s="4"/>
      <c r="E107" s="4"/>
    </row>
    <row r="108" spans="4:5" x14ac:dyDescent="0.35">
      <c r="D108" s="4"/>
      <c r="E108" s="4"/>
    </row>
    <row r="109" spans="4:5" x14ac:dyDescent="0.35">
      <c r="D109" s="4"/>
      <c r="E109" s="4"/>
    </row>
    <row r="110" spans="4:5" x14ac:dyDescent="0.35">
      <c r="D110" s="4"/>
      <c r="E110" s="4"/>
    </row>
    <row r="111" spans="4:5" x14ac:dyDescent="0.35">
      <c r="D111" s="4"/>
      <c r="E111" s="4"/>
    </row>
    <row r="112" spans="4:5" x14ac:dyDescent="0.35">
      <c r="D112" s="4"/>
      <c r="E112" s="4"/>
    </row>
    <row r="113" spans="4:5" x14ac:dyDescent="0.35">
      <c r="D113" s="4"/>
      <c r="E113" s="4"/>
    </row>
    <row r="114" spans="4:5" x14ac:dyDescent="0.35">
      <c r="D114" s="4"/>
      <c r="E114" s="4"/>
    </row>
    <row r="115" spans="4:5" x14ac:dyDescent="0.35">
      <c r="D115" s="4"/>
      <c r="E115" s="4"/>
    </row>
    <row r="116" spans="4:5" x14ac:dyDescent="0.35">
      <c r="D116" s="4"/>
      <c r="E116" s="4"/>
    </row>
    <row r="117" spans="4:5" x14ac:dyDescent="0.35">
      <c r="D117" s="4"/>
      <c r="E117" s="4"/>
    </row>
    <row r="118" spans="4:5" x14ac:dyDescent="0.35">
      <c r="D118" s="4"/>
      <c r="E118" s="4"/>
    </row>
    <row r="119" spans="4:5" x14ac:dyDescent="0.35">
      <c r="D119" s="4"/>
      <c r="E119" s="4"/>
    </row>
    <row r="120" spans="4:5" x14ac:dyDescent="0.35">
      <c r="D120" s="4"/>
      <c r="E120" s="4"/>
    </row>
    <row r="121" spans="4:5" x14ac:dyDescent="0.35">
      <c r="D121" s="4"/>
      <c r="E121" s="4"/>
    </row>
    <row r="122" spans="4:5" x14ac:dyDescent="0.35">
      <c r="D122" s="4"/>
      <c r="E122" s="4"/>
    </row>
    <row r="123" spans="4:5" x14ac:dyDescent="0.35">
      <c r="D123" s="4"/>
      <c r="E123" s="4"/>
    </row>
    <row r="124" spans="4:5" x14ac:dyDescent="0.35">
      <c r="D124" s="4"/>
      <c r="E124" s="4"/>
    </row>
    <row r="125" spans="4:5" x14ac:dyDescent="0.35">
      <c r="D125" s="4"/>
      <c r="E125" s="4"/>
    </row>
    <row r="126" spans="4:5" x14ac:dyDescent="0.35">
      <c r="D126" s="4"/>
      <c r="E126" s="4"/>
    </row>
    <row r="127" spans="4:5" x14ac:dyDescent="0.35">
      <c r="D127" s="4"/>
      <c r="E127" s="4"/>
    </row>
    <row r="128" spans="4:5" x14ac:dyDescent="0.35">
      <c r="D128" s="4"/>
      <c r="E128" s="4"/>
    </row>
    <row r="129" spans="4:5" x14ac:dyDescent="0.35">
      <c r="D129" s="4"/>
      <c r="E129" s="4"/>
    </row>
    <row r="130" spans="4:5" x14ac:dyDescent="0.35">
      <c r="D130" s="4"/>
      <c r="E130" s="4"/>
    </row>
    <row r="131" spans="4:5" x14ac:dyDescent="0.35">
      <c r="D131" s="4"/>
      <c r="E131" s="4"/>
    </row>
    <row r="132" spans="4:5" x14ac:dyDescent="0.35">
      <c r="D132" s="4"/>
      <c r="E132" s="4"/>
    </row>
    <row r="133" spans="4:5" x14ac:dyDescent="0.35">
      <c r="D133" s="4"/>
      <c r="E133" s="4"/>
    </row>
    <row r="134" spans="4:5" x14ac:dyDescent="0.35">
      <c r="D134" s="4"/>
      <c r="E134" s="4"/>
    </row>
    <row r="135" spans="4:5" x14ac:dyDescent="0.35">
      <c r="D135" s="4"/>
      <c r="E135" s="4"/>
    </row>
    <row r="136" spans="4:5" x14ac:dyDescent="0.35">
      <c r="D136" s="4"/>
      <c r="E136" s="4"/>
    </row>
    <row r="137" spans="4:5" x14ac:dyDescent="0.35">
      <c r="D137" s="4"/>
      <c r="E137" s="4"/>
    </row>
    <row r="138" spans="4:5" x14ac:dyDescent="0.35">
      <c r="D138" s="4"/>
      <c r="E138" s="4"/>
    </row>
    <row r="139" spans="4:5" x14ac:dyDescent="0.35">
      <c r="D139" s="4"/>
      <c r="E139" s="4"/>
    </row>
    <row r="140" spans="4:5" x14ac:dyDescent="0.35">
      <c r="D140" s="4"/>
      <c r="E140" s="4"/>
    </row>
    <row r="141" spans="4:5" x14ac:dyDescent="0.35">
      <c r="D141" s="4"/>
      <c r="E141" s="4"/>
    </row>
    <row r="142" spans="4:5" x14ac:dyDescent="0.35">
      <c r="D142" s="4"/>
      <c r="E142" s="4"/>
    </row>
    <row r="143" spans="4:5" x14ac:dyDescent="0.35">
      <c r="D143" s="4"/>
      <c r="E143" s="4"/>
    </row>
    <row r="144" spans="4:5" x14ac:dyDescent="0.35">
      <c r="D144" s="4"/>
      <c r="E144" s="4"/>
    </row>
    <row r="145" spans="4:5" x14ac:dyDescent="0.35">
      <c r="D145" s="4"/>
      <c r="E145" s="4"/>
    </row>
    <row r="146" spans="4:5" x14ac:dyDescent="0.35">
      <c r="D146" s="4"/>
      <c r="E146" s="4"/>
    </row>
    <row r="147" spans="4:5" x14ac:dyDescent="0.35">
      <c r="D147" s="4"/>
      <c r="E147" s="4"/>
    </row>
    <row r="148" spans="4:5" x14ac:dyDescent="0.35">
      <c r="D148" s="4"/>
      <c r="E148" s="4"/>
    </row>
    <row r="149" spans="4:5" x14ac:dyDescent="0.35">
      <c r="D149" s="4"/>
      <c r="E149" s="4"/>
    </row>
    <row r="150" spans="4:5" x14ac:dyDescent="0.35">
      <c r="D150" s="4"/>
      <c r="E150" s="4"/>
    </row>
    <row r="151" spans="4:5" x14ac:dyDescent="0.35">
      <c r="D151" s="4"/>
      <c r="E151" s="4"/>
    </row>
    <row r="152" spans="4:5" x14ac:dyDescent="0.35">
      <c r="D152" s="4"/>
      <c r="E152" s="4"/>
    </row>
    <row r="153" spans="4:5" x14ac:dyDescent="0.35">
      <c r="D153" s="4"/>
      <c r="E153" s="4"/>
    </row>
    <row r="154" spans="4:5" x14ac:dyDescent="0.35">
      <c r="D154" s="4"/>
      <c r="E154" s="4"/>
    </row>
    <row r="155" spans="4:5" x14ac:dyDescent="0.35">
      <c r="D155" s="4"/>
      <c r="E155" s="4"/>
    </row>
    <row r="156" spans="4:5" x14ac:dyDescent="0.35">
      <c r="D156" s="4"/>
      <c r="E156" s="4"/>
    </row>
    <row r="157" spans="4:5" x14ac:dyDescent="0.35">
      <c r="D157" s="4"/>
      <c r="E157" s="4"/>
    </row>
    <row r="158" spans="4:5" x14ac:dyDescent="0.35">
      <c r="D158" s="4"/>
      <c r="E158" s="4"/>
    </row>
    <row r="159" spans="4:5" x14ac:dyDescent="0.35">
      <c r="D159" s="4"/>
      <c r="E159" s="4"/>
    </row>
    <row r="160" spans="4:5" x14ac:dyDescent="0.35">
      <c r="D160" s="4"/>
      <c r="E160" s="4"/>
    </row>
    <row r="161" spans="4:5" x14ac:dyDescent="0.35">
      <c r="D161" s="4"/>
      <c r="E161" s="4"/>
    </row>
    <row r="162" spans="4:5" x14ac:dyDescent="0.35">
      <c r="D162" s="4"/>
      <c r="E162" s="4"/>
    </row>
    <row r="163" spans="4:5" x14ac:dyDescent="0.35">
      <c r="D163" s="4"/>
      <c r="E163" s="4"/>
    </row>
    <row r="164" spans="4:5" x14ac:dyDescent="0.35">
      <c r="D164" s="4"/>
      <c r="E164" s="4"/>
    </row>
    <row r="165" spans="4:5" x14ac:dyDescent="0.35">
      <c r="D165" s="4"/>
      <c r="E165" s="4"/>
    </row>
    <row r="166" spans="4:5" x14ac:dyDescent="0.35">
      <c r="D166" s="4"/>
      <c r="E166" s="4"/>
    </row>
    <row r="167" spans="4:5" x14ac:dyDescent="0.35">
      <c r="D167" s="4"/>
      <c r="E167" s="4"/>
    </row>
    <row r="168" spans="4:5" x14ac:dyDescent="0.35">
      <c r="D168" s="4"/>
      <c r="E168" s="4"/>
    </row>
    <row r="169" spans="4:5" x14ac:dyDescent="0.35">
      <c r="D169" s="4"/>
      <c r="E169" s="4"/>
    </row>
    <row r="170" spans="4:5" x14ac:dyDescent="0.35">
      <c r="D170" s="4"/>
      <c r="E170" s="4"/>
    </row>
    <row r="171" spans="4:5" x14ac:dyDescent="0.35">
      <c r="D171" s="4"/>
      <c r="E171" s="4"/>
    </row>
    <row r="172" spans="4:5" x14ac:dyDescent="0.35">
      <c r="D172" s="4"/>
      <c r="E172" s="4"/>
    </row>
    <row r="173" spans="4:5" x14ac:dyDescent="0.35">
      <c r="D173" s="4"/>
      <c r="E173" s="4"/>
    </row>
    <row r="174" spans="4:5" x14ac:dyDescent="0.35">
      <c r="D174" s="4"/>
      <c r="E174" s="4"/>
    </row>
    <row r="175" spans="4:5" x14ac:dyDescent="0.35">
      <c r="D175" s="4"/>
      <c r="E175" s="4"/>
    </row>
    <row r="176" spans="4:5" x14ac:dyDescent="0.35">
      <c r="D176" s="4"/>
      <c r="E176" s="4"/>
    </row>
    <row r="177" spans="4:5" x14ac:dyDescent="0.35">
      <c r="D177" s="4"/>
      <c r="E177" s="4"/>
    </row>
    <row r="178" spans="4:5" x14ac:dyDescent="0.35">
      <c r="D178" s="4"/>
      <c r="E178" s="4"/>
    </row>
    <row r="179" spans="4:5" x14ac:dyDescent="0.35">
      <c r="D179" s="4"/>
      <c r="E179" s="4"/>
    </row>
    <row r="180" spans="4:5" x14ac:dyDescent="0.35">
      <c r="D180" s="4"/>
      <c r="E180" s="4"/>
    </row>
    <row r="181" spans="4:5" x14ac:dyDescent="0.35">
      <c r="D181" s="4"/>
      <c r="E181" s="4"/>
    </row>
    <row r="182" spans="4:5" x14ac:dyDescent="0.35">
      <c r="D182" s="4"/>
      <c r="E182" s="4"/>
    </row>
    <row r="183" spans="4:5" x14ac:dyDescent="0.35">
      <c r="D183" s="4"/>
      <c r="E183" s="4"/>
    </row>
    <row r="184" spans="4:5" x14ac:dyDescent="0.35">
      <c r="D184" s="4"/>
      <c r="E184" s="4"/>
    </row>
    <row r="185" spans="4:5" x14ac:dyDescent="0.35">
      <c r="D185" s="4"/>
      <c r="E185" s="4"/>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62"/>
  <dimension ref="A1:H33"/>
  <sheetViews>
    <sheetView workbookViewId="0"/>
  </sheetViews>
  <sheetFormatPr defaultRowHeight="14.5" x14ac:dyDescent="0.35"/>
  <sheetData>
    <row r="1" spans="1:8" x14ac:dyDescent="0.35">
      <c r="A1" t="s">
        <v>303</v>
      </c>
      <c r="H1" t="s">
        <v>58</v>
      </c>
    </row>
    <row r="2" spans="1:8" x14ac:dyDescent="0.35">
      <c r="A2">
        <v>1</v>
      </c>
      <c r="B2">
        <v>1</v>
      </c>
      <c r="D2" s="4">
        <v>5</v>
      </c>
      <c r="E2" s="4">
        <v>20</v>
      </c>
      <c r="F2" s="4">
        <v>40</v>
      </c>
      <c r="H2" s="4">
        <v>3.91</v>
      </c>
    </row>
    <row r="3" spans="1:8" x14ac:dyDescent="0.35">
      <c r="A3">
        <v>1</v>
      </c>
      <c r="B3">
        <v>2</v>
      </c>
      <c r="D3" s="4">
        <v>5</v>
      </c>
      <c r="E3" s="4">
        <v>15</v>
      </c>
      <c r="F3" s="4">
        <v>30</v>
      </c>
      <c r="H3" s="4">
        <v>10.24</v>
      </c>
    </row>
    <row r="4" spans="1:8" x14ac:dyDescent="0.35">
      <c r="A4">
        <v>1</v>
      </c>
      <c r="B4">
        <v>3</v>
      </c>
      <c r="D4" s="4">
        <v>3</v>
      </c>
      <c r="E4" s="4">
        <v>10</v>
      </c>
      <c r="F4" s="4">
        <v>30</v>
      </c>
      <c r="H4" s="4">
        <v>9.94</v>
      </c>
    </row>
    <row r="5" spans="1:8" x14ac:dyDescent="0.35">
      <c r="A5">
        <v>1</v>
      </c>
      <c r="B5">
        <v>4</v>
      </c>
      <c r="D5" s="4">
        <v>-10</v>
      </c>
      <c r="E5" s="4">
        <v>-5</v>
      </c>
      <c r="F5" s="4">
        <v>5</v>
      </c>
      <c r="H5" s="4">
        <v>-4.12</v>
      </c>
    </row>
    <row r="6" spans="1:8" x14ac:dyDescent="0.35">
      <c r="A6">
        <v>1</v>
      </c>
      <c r="B6">
        <v>5</v>
      </c>
      <c r="D6" s="4">
        <v>-10</v>
      </c>
      <c r="E6" s="4">
        <v>3</v>
      </c>
      <c r="F6" s="4">
        <v>7</v>
      </c>
      <c r="H6" s="4">
        <v>5.44</v>
      </c>
    </row>
    <row r="7" spans="1:8" x14ac:dyDescent="0.35">
      <c r="A7">
        <v>1</v>
      </c>
      <c r="B7">
        <v>6</v>
      </c>
      <c r="D7" s="4">
        <v>-7</v>
      </c>
      <c r="E7" s="4">
        <v>5</v>
      </c>
      <c r="F7" s="4">
        <v>10</v>
      </c>
      <c r="H7" s="4">
        <v>-2.91</v>
      </c>
    </row>
    <row r="8" spans="1:8" x14ac:dyDescent="0.35">
      <c r="A8">
        <v>1</v>
      </c>
      <c r="B8">
        <v>7</v>
      </c>
      <c r="D8" s="4">
        <v>5</v>
      </c>
      <c r="E8" s="4">
        <v>15</v>
      </c>
      <c r="F8" s="4">
        <v>25</v>
      </c>
      <c r="H8" s="4">
        <v>-1.47</v>
      </c>
    </row>
    <row r="9" spans="1:8" x14ac:dyDescent="0.35">
      <c r="A9">
        <v>1</v>
      </c>
      <c r="B9">
        <v>8</v>
      </c>
      <c r="D9" s="4">
        <v>5</v>
      </c>
      <c r="E9" s="4">
        <v>15</v>
      </c>
      <c r="F9" s="4">
        <v>25</v>
      </c>
      <c r="H9" s="4">
        <v>2.44</v>
      </c>
    </row>
    <row r="10" spans="1:8" x14ac:dyDescent="0.35">
      <c r="A10">
        <v>2</v>
      </c>
      <c r="B10">
        <v>1</v>
      </c>
      <c r="D10" s="4">
        <v>-10</v>
      </c>
      <c r="E10" s="4">
        <v>8</v>
      </c>
      <c r="F10" s="4">
        <v>20</v>
      </c>
    </row>
    <row r="11" spans="1:8" x14ac:dyDescent="0.35">
      <c r="A11">
        <v>2</v>
      </c>
      <c r="B11">
        <v>2</v>
      </c>
      <c r="D11" s="4">
        <v>-10</v>
      </c>
      <c r="E11" s="4">
        <v>15</v>
      </c>
      <c r="F11" s="4">
        <v>20</v>
      </c>
    </row>
    <row r="12" spans="1:8" x14ac:dyDescent="0.35">
      <c r="A12">
        <v>2</v>
      </c>
      <c r="B12">
        <v>3</v>
      </c>
      <c r="D12" s="4">
        <v>-10</v>
      </c>
      <c r="E12" s="4">
        <v>10</v>
      </c>
      <c r="F12" s="4">
        <v>30</v>
      </c>
    </row>
    <row r="13" spans="1:8" x14ac:dyDescent="0.35">
      <c r="A13">
        <v>2</v>
      </c>
      <c r="B13">
        <v>4</v>
      </c>
      <c r="D13" s="4">
        <v>-10</v>
      </c>
      <c r="E13" s="4">
        <v>0</v>
      </c>
      <c r="F13" s="4">
        <v>10</v>
      </c>
    </row>
    <row r="14" spans="1:8" x14ac:dyDescent="0.35">
      <c r="A14">
        <v>2</v>
      </c>
      <c r="B14">
        <v>5</v>
      </c>
      <c r="D14" s="4">
        <v>-10</v>
      </c>
      <c r="E14" s="4">
        <v>8</v>
      </c>
      <c r="F14" s="4">
        <v>20</v>
      </c>
    </row>
    <row r="15" spans="1:8" x14ac:dyDescent="0.35">
      <c r="A15">
        <v>2</v>
      </c>
      <c r="B15">
        <v>6</v>
      </c>
      <c r="D15" s="4">
        <v>-5</v>
      </c>
      <c r="E15" s="4">
        <v>5</v>
      </c>
      <c r="F15" s="4">
        <v>30</v>
      </c>
    </row>
    <row r="16" spans="1:8" x14ac:dyDescent="0.35">
      <c r="A16">
        <v>2</v>
      </c>
      <c r="B16">
        <v>7</v>
      </c>
      <c r="D16" s="4">
        <v>12</v>
      </c>
      <c r="E16" s="4">
        <v>20</v>
      </c>
      <c r="F16" s="4">
        <v>30</v>
      </c>
    </row>
    <row r="17" spans="1:6" x14ac:dyDescent="0.35">
      <c r="A17">
        <v>2</v>
      </c>
      <c r="B17">
        <v>8</v>
      </c>
      <c r="D17" s="4">
        <v>17</v>
      </c>
      <c r="E17" s="4">
        <v>25</v>
      </c>
      <c r="F17" s="4">
        <v>30</v>
      </c>
    </row>
    <row r="18" spans="1:6" x14ac:dyDescent="0.35">
      <c r="A18">
        <v>3</v>
      </c>
      <c r="B18">
        <v>1</v>
      </c>
      <c r="D18" s="4">
        <v>-5</v>
      </c>
      <c r="E18" s="4">
        <v>5</v>
      </c>
      <c r="F18" s="4">
        <v>10</v>
      </c>
    </row>
    <row r="19" spans="1:6" x14ac:dyDescent="0.35">
      <c r="A19">
        <v>3</v>
      </c>
      <c r="B19">
        <v>2</v>
      </c>
      <c r="D19" s="4">
        <v>-5</v>
      </c>
      <c r="E19" s="4">
        <v>7</v>
      </c>
      <c r="F19" s="4">
        <v>20</v>
      </c>
    </row>
    <row r="20" spans="1:6" x14ac:dyDescent="0.35">
      <c r="A20">
        <v>3</v>
      </c>
      <c r="B20">
        <v>3</v>
      </c>
      <c r="D20" s="4">
        <v>-3</v>
      </c>
      <c r="E20" s="4">
        <v>5</v>
      </c>
      <c r="F20" s="4">
        <v>15</v>
      </c>
    </row>
    <row r="21" spans="1:6" x14ac:dyDescent="0.35">
      <c r="A21">
        <v>3</v>
      </c>
      <c r="B21">
        <v>4</v>
      </c>
      <c r="D21" s="4">
        <v>-10</v>
      </c>
      <c r="E21" s="4">
        <v>-3</v>
      </c>
      <c r="F21" s="4">
        <v>10</v>
      </c>
    </row>
    <row r="22" spans="1:6" x14ac:dyDescent="0.35">
      <c r="A22">
        <v>3</v>
      </c>
      <c r="B22">
        <v>5</v>
      </c>
      <c r="D22" s="4">
        <v>-7</v>
      </c>
      <c r="E22" s="4">
        <v>5</v>
      </c>
      <c r="F22" s="4">
        <v>20</v>
      </c>
    </row>
    <row r="23" spans="1:6" x14ac:dyDescent="0.35">
      <c r="A23">
        <v>3</v>
      </c>
      <c r="B23">
        <v>6</v>
      </c>
      <c r="D23" s="4">
        <v>-10</v>
      </c>
      <c r="E23" s="4">
        <v>0</v>
      </c>
      <c r="F23" s="4">
        <v>15</v>
      </c>
    </row>
    <row r="24" spans="1:6" x14ac:dyDescent="0.35">
      <c r="A24">
        <v>3</v>
      </c>
      <c r="B24">
        <v>7</v>
      </c>
      <c r="D24" s="4">
        <v>-7</v>
      </c>
      <c r="E24" s="4">
        <v>2</v>
      </c>
      <c r="F24" s="4">
        <v>10</v>
      </c>
    </row>
    <row r="25" spans="1:6" x14ac:dyDescent="0.35">
      <c r="A25">
        <v>3</v>
      </c>
      <c r="B25">
        <v>8</v>
      </c>
      <c r="D25" s="4">
        <v>-10</v>
      </c>
      <c r="E25" s="4">
        <v>-2</v>
      </c>
      <c r="F25" s="4">
        <v>10</v>
      </c>
    </row>
    <row r="26" spans="1:6" x14ac:dyDescent="0.35">
      <c r="A26">
        <v>4</v>
      </c>
      <c r="B26">
        <v>1</v>
      </c>
      <c r="D26" s="4">
        <v>10</v>
      </c>
      <c r="E26" s="4">
        <v>16</v>
      </c>
      <c r="F26" s="4">
        <v>20</v>
      </c>
    </row>
    <row r="27" spans="1:6" x14ac:dyDescent="0.35">
      <c r="A27">
        <v>4</v>
      </c>
      <c r="B27">
        <v>2</v>
      </c>
      <c r="D27" s="4">
        <v>5</v>
      </c>
      <c r="E27" s="4">
        <v>10</v>
      </c>
      <c r="F27" s="4">
        <v>15</v>
      </c>
    </row>
    <row r="28" spans="1:6" x14ac:dyDescent="0.35">
      <c r="A28">
        <v>4</v>
      </c>
      <c r="B28">
        <v>3</v>
      </c>
      <c r="D28" s="4">
        <v>10</v>
      </c>
      <c r="E28" s="4">
        <v>15</v>
      </c>
      <c r="F28" s="4">
        <v>20</v>
      </c>
    </row>
    <row r="29" spans="1:6" x14ac:dyDescent="0.35">
      <c r="A29">
        <v>4</v>
      </c>
      <c r="B29">
        <v>4</v>
      </c>
      <c r="D29" s="4">
        <v>2</v>
      </c>
      <c r="E29" s="4">
        <v>8</v>
      </c>
      <c r="F29" s="4">
        <v>15</v>
      </c>
    </row>
    <row r="30" spans="1:6" x14ac:dyDescent="0.35">
      <c r="A30">
        <v>4</v>
      </c>
      <c r="B30">
        <v>5</v>
      </c>
      <c r="D30" s="4">
        <v>0</v>
      </c>
      <c r="E30" s="4">
        <v>2</v>
      </c>
      <c r="F30" s="4">
        <v>5</v>
      </c>
    </row>
    <row r="31" spans="1:6" x14ac:dyDescent="0.35">
      <c r="A31">
        <v>4</v>
      </c>
      <c r="B31">
        <v>6</v>
      </c>
      <c r="D31" s="4">
        <v>0</v>
      </c>
      <c r="E31" s="4">
        <v>10</v>
      </c>
      <c r="F31" s="4">
        <v>15</v>
      </c>
    </row>
    <row r="32" spans="1:6" x14ac:dyDescent="0.35">
      <c r="A32">
        <v>4</v>
      </c>
      <c r="B32">
        <v>7</v>
      </c>
      <c r="D32" s="4">
        <v>0</v>
      </c>
      <c r="E32" s="4">
        <v>10</v>
      </c>
      <c r="F32" s="4">
        <v>15</v>
      </c>
    </row>
    <row r="33" spans="1:6" x14ac:dyDescent="0.35">
      <c r="A33">
        <v>4</v>
      </c>
      <c r="B33">
        <v>8</v>
      </c>
      <c r="D33" s="4">
        <v>5</v>
      </c>
      <c r="E33" s="4">
        <v>12</v>
      </c>
      <c r="F33" s="4">
        <v>20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23"/>
  <dimension ref="A1:L287"/>
  <sheetViews>
    <sheetView workbookViewId="0">
      <selection sqref="A1:XFD1048576"/>
    </sheetView>
  </sheetViews>
  <sheetFormatPr defaultRowHeight="14.5" x14ac:dyDescent="0.35"/>
  <sheetData>
    <row r="1" spans="1:12" x14ac:dyDescent="0.35">
      <c r="A1" t="s">
        <v>344</v>
      </c>
    </row>
    <row r="2" spans="1:12" x14ac:dyDescent="0.35">
      <c r="A2">
        <v>1</v>
      </c>
      <c r="B2">
        <v>1</v>
      </c>
      <c r="D2" s="4">
        <v>300</v>
      </c>
      <c r="E2" s="4">
        <v>600</v>
      </c>
      <c r="F2" s="4">
        <v>7200</v>
      </c>
      <c r="G2" s="4"/>
      <c r="H2" s="4">
        <v>6901</v>
      </c>
      <c r="I2" t="s">
        <v>419</v>
      </c>
      <c r="L2" s="4"/>
    </row>
    <row r="3" spans="1:12" x14ac:dyDescent="0.35">
      <c r="A3">
        <v>1</v>
      </c>
      <c r="B3">
        <v>2</v>
      </c>
      <c r="D3" s="4">
        <v>300</v>
      </c>
      <c r="E3" s="4">
        <v>420</v>
      </c>
      <c r="F3" s="4">
        <v>2880</v>
      </c>
      <c r="G3" s="4"/>
      <c r="H3" s="4">
        <v>115</v>
      </c>
      <c r="I3" t="s">
        <v>419</v>
      </c>
      <c r="L3" s="4"/>
    </row>
    <row r="4" spans="1:12" x14ac:dyDescent="0.35">
      <c r="A4">
        <v>1</v>
      </c>
      <c r="B4">
        <v>3</v>
      </c>
      <c r="D4" s="4">
        <v>60</v>
      </c>
      <c r="E4" s="4">
        <v>120</v>
      </c>
      <c r="F4" s="4">
        <v>1200</v>
      </c>
      <c r="G4" s="4"/>
      <c r="H4" s="4">
        <v>90</v>
      </c>
      <c r="I4" t="s">
        <v>419</v>
      </c>
      <c r="L4" s="4"/>
    </row>
    <row r="5" spans="1:12" x14ac:dyDescent="0.35">
      <c r="A5">
        <v>1</v>
      </c>
      <c r="B5">
        <v>4</v>
      </c>
      <c r="D5" s="4">
        <v>1</v>
      </c>
      <c r="E5" s="4">
        <v>2</v>
      </c>
      <c r="F5" s="4">
        <v>4</v>
      </c>
      <c r="G5" s="4"/>
      <c r="H5" s="4">
        <v>8</v>
      </c>
      <c r="I5" t="s">
        <v>419</v>
      </c>
      <c r="L5" s="4"/>
    </row>
    <row r="6" spans="1:12" x14ac:dyDescent="0.35">
      <c r="A6">
        <v>1</v>
      </c>
      <c r="B6">
        <v>5</v>
      </c>
      <c r="D6" s="4">
        <v>720</v>
      </c>
      <c r="E6" s="4">
        <v>7200</v>
      </c>
      <c r="F6" s="4">
        <v>14400</v>
      </c>
      <c r="G6" s="4"/>
      <c r="H6" s="4">
        <v>9562</v>
      </c>
      <c r="I6" t="s">
        <v>419</v>
      </c>
      <c r="L6" s="4"/>
    </row>
    <row r="7" spans="1:12" x14ac:dyDescent="0.35">
      <c r="A7">
        <v>1</v>
      </c>
      <c r="B7">
        <v>6</v>
      </c>
      <c r="D7" s="4">
        <v>180</v>
      </c>
      <c r="E7" s="4">
        <v>240</v>
      </c>
      <c r="F7" s="4">
        <v>720</v>
      </c>
      <c r="G7" s="4"/>
      <c r="H7" s="4">
        <v>5616</v>
      </c>
      <c r="I7" t="s">
        <v>419</v>
      </c>
      <c r="L7" s="4"/>
    </row>
    <row r="8" spans="1:12" x14ac:dyDescent="0.35">
      <c r="A8">
        <v>1</v>
      </c>
      <c r="B8">
        <v>7</v>
      </c>
      <c r="D8" s="4">
        <v>60</v>
      </c>
      <c r="E8" s="4">
        <v>240</v>
      </c>
      <c r="F8" s="4">
        <v>600</v>
      </c>
      <c r="G8" s="4"/>
      <c r="H8" s="4">
        <v>1205</v>
      </c>
      <c r="I8" t="s">
        <v>419</v>
      </c>
      <c r="L8" s="4"/>
    </row>
    <row r="9" spans="1:12" x14ac:dyDescent="0.35">
      <c r="A9">
        <v>1</v>
      </c>
      <c r="B9">
        <v>8</v>
      </c>
      <c r="D9" s="4">
        <v>1</v>
      </c>
      <c r="E9" s="4">
        <v>4</v>
      </c>
      <c r="F9" s="4">
        <v>10</v>
      </c>
      <c r="G9" s="4"/>
      <c r="H9" s="4">
        <v>10</v>
      </c>
      <c r="I9" t="s">
        <v>419</v>
      </c>
      <c r="L9" s="4"/>
    </row>
    <row r="10" spans="1:12" x14ac:dyDescent="0.35">
      <c r="A10">
        <v>1</v>
      </c>
      <c r="B10">
        <v>9</v>
      </c>
      <c r="D10" s="4">
        <v>720</v>
      </c>
      <c r="E10" s="4">
        <v>2880</v>
      </c>
      <c r="F10" s="4">
        <v>7200</v>
      </c>
      <c r="G10" s="4"/>
      <c r="H10" s="4">
        <v>6470</v>
      </c>
      <c r="I10" t="s">
        <v>419</v>
      </c>
      <c r="L10" s="4"/>
    </row>
    <row r="11" spans="1:12" x14ac:dyDescent="0.35">
      <c r="A11">
        <v>1</v>
      </c>
      <c r="B11">
        <v>10</v>
      </c>
      <c r="D11" s="4">
        <v>180</v>
      </c>
      <c r="E11" s="4">
        <v>1440</v>
      </c>
      <c r="F11" s="4">
        <v>2160</v>
      </c>
      <c r="G11" s="4"/>
      <c r="H11" s="4">
        <v>712</v>
      </c>
      <c r="I11" t="s">
        <v>419</v>
      </c>
      <c r="L11" s="4"/>
    </row>
    <row r="12" spans="1:12" x14ac:dyDescent="0.35">
      <c r="A12">
        <v>1</v>
      </c>
      <c r="B12">
        <v>11</v>
      </c>
      <c r="D12" s="4">
        <v>4</v>
      </c>
      <c r="E12" s="4">
        <v>8</v>
      </c>
      <c r="F12" s="4">
        <v>10</v>
      </c>
      <c r="G12" s="4"/>
      <c r="H12" s="4">
        <v>18</v>
      </c>
      <c r="I12" t="s">
        <v>419</v>
      </c>
      <c r="L12" s="4"/>
    </row>
    <row r="13" spans="1:12" x14ac:dyDescent="0.35">
      <c r="A13">
        <v>1</v>
      </c>
      <c r="B13">
        <v>12</v>
      </c>
      <c r="D13" s="4">
        <v>60</v>
      </c>
      <c r="E13" s="4">
        <v>720</v>
      </c>
      <c r="F13" s="4">
        <v>2880</v>
      </c>
      <c r="G13" s="4"/>
      <c r="H13" s="4">
        <v>1020</v>
      </c>
      <c r="I13" t="s">
        <v>419</v>
      </c>
      <c r="L13" s="4"/>
    </row>
    <row r="14" spans="1:12" x14ac:dyDescent="0.35">
      <c r="A14">
        <v>1</v>
      </c>
      <c r="B14">
        <v>13</v>
      </c>
      <c r="D14" s="4">
        <v>10</v>
      </c>
      <c r="E14" s="4">
        <v>60</v>
      </c>
      <c r="F14" s="4">
        <v>240</v>
      </c>
      <c r="G14" s="4"/>
      <c r="H14" s="4">
        <v>272</v>
      </c>
      <c r="I14" t="s">
        <v>419</v>
      </c>
      <c r="L14" s="4"/>
    </row>
    <row r="15" spans="1:12" x14ac:dyDescent="0.35">
      <c r="A15">
        <v>1</v>
      </c>
      <c r="B15">
        <v>14</v>
      </c>
      <c r="D15" s="4">
        <v>2</v>
      </c>
      <c r="E15" s="4">
        <v>4</v>
      </c>
      <c r="F15" s="4">
        <v>8</v>
      </c>
      <c r="G15" s="4"/>
      <c r="H15" s="4">
        <v>13</v>
      </c>
      <c r="I15" t="s">
        <v>419</v>
      </c>
      <c r="L15" s="4"/>
    </row>
    <row r="16" spans="1:12" x14ac:dyDescent="0.35">
      <c r="A16">
        <v>1</v>
      </c>
      <c r="B16">
        <v>15</v>
      </c>
      <c r="D16" s="4">
        <v>5</v>
      </c>
      <c r="E16" s="4">
        <v>20</v>
      </c>
      <c r="F16" s="4">
        <v>40</v>
      </c>
      <c r="G16" s="4"/>
      <c r="H16" s="4"/>
      <c r="L16" s="4"/>
    </row>
    <row r="17" spans="1:12" x14ac:dyDescent="0.35">
      <c r="A17">
        <v>1</v>
      </c>
      <c r="B17">
        <v>16</v>
      </c>
      <c r="D17" s="4">
        <v>60</v>
      </c>
      <c r="E17" s="4">
        <v>2880</v>
      </c>
      <c r="F17" s="4">
        <v>14400</v>
      </c>
      <c r="G17" s="4"/>
      <c r="H17" s="4"/>
      <c r="L17" s="4"/>
    </row>
    <row r="18" spans="1:12" x14ac:dyDescent="0.35">
      <c r="A18">
        <v>1</v>
      </c>
      <c r="B18">
        <v>17</v>
      </c>
      <c r="D18" s="4">
        <v>5</v>
      </c>
      <c r="E18" s="4">
        <v>30</v>
      </c>
      <c r="F18" s="4">
        <v>50</v>
      </c>
      <c r="G18" s="4"/>
      <c r="H18" s="4"/>
      <c r="L18" s="4"/>
    </row>
    <row r="19" spans="1:12" x14ac:dyDescent="0.35">
      <c r="A19">
        <v>1</v>
      </c>
      <c r="B19">
        <v>18</v>
      </c>
      <c r="D19" s="4">
        <v>60</v>
      </c>
      <c r="E19" s="4">
        <v>2880</v>
      </c>
      <c r="F19" s="4">
        <v>28800</v>
      </c>
      <c r="G19" s="4"/>
      <c r="H19" s="4"/>
      <c r="L19" s="4"/>
    </row>
    <row r="20" spans="1:12" x14ac:dyDescent="0.35">
      <c r="A20">
        <v>1</v>
      </c>
      <c r="B20">
        <v>19</v>
      </c>
      <c r="D20" s="4">
        <v>10</v>
      </c>
      <c r="E20" s="4">
        <v>100</v>
      </c>
      <c r="F20" s="4">
        <v>200</v>
      </c>
      <c r="G20" s="4"/>
      <c r="H20" s="4"/>
      <c r="L20" s="4"/>
    </row>
    <row r="21" spans="1:12" x14ac:dyDescent="0.35">
      <c r="A21">
        <v>1</v>
      </c>
      <c r="B21">
        <v>20</v>
      </c>
      <c r="D21" s="4">
        <v>60</v>
      </c>
      <c r="E21" s="4">
        <v>720</v>
      </c>
      <c r="F21" s="4">
        <v>14400</v>
      </c>
      <c r="G21" s="4"/>
      <c r="H21" s="4"/>
      <c r="L21" s="4"/>
    </row>
    <row r="22" spans="1:12" x14ac:dyDescent="0.35">
      <c r="A22">
        <v>1</v>
      </c>
      <c r="B22">
        <v>21</v>
      </c>
      <c r="D22" s="4">
        <v>2</v>
      </c>
      <c r="E22" s="4">
        <v>10</v>
      </c>
      <c r="F22" s="4">
        <v>30</v>
      </c>
      <c r="G22" s="4"/>
      <c r="H22" s="4"/>
      <c r="L22" s="4"/>
    </row>
    <row r="23" spans="1:12" x14ac:dyDescent="0.35">
      <c r="A23">
        <v>1</v>
      </c>
      <c r="B23">
        <v>22</v>
      </c>
      <c r="D23" s="4">
        <v>60</v>
      </c>
      <c r="E23" s="4">
        <v>120</v>
      </c>
      <c r="F23" s="4">
        <v>14400</v>
      </c>
      <c r="G23" s="4"/>
      <c r="H23" s="4"/>
      <c r="L23" s="4"/>
    </row>
    <row r="24" spans="1:12" x14ac:dyDescent="0.35">
      <c r="A24">
        <v>1</v>
      </c>
      <c r="B24">
        <v>23</v>
      </c>
      <c r="D24" s="4">
        <v>2</v>
      </c>
      <c r="E24" s="4">
        <v>10</v>
      </c>
      <c r="F24" s="4">
        <v>30</v>
      </c>
      <c r="G24" s="4"/>
      <c r="H24" s="4"/>
      <c r="L24" s="4"/>
    </row>
    <row r="25" spans="1:12" x14ac:dyDescent="0.35">
      <c r="A25">
        <v>1</v>
      </c>
      <c r="B25">
        <v>24</v>
      </c>
      <c r="D25" s="4">
        <v>60</v>
      </c>
      <c r="E25" s="4">
        <v>120</v>
      </c>
      <c r="F25" s="4">
        <v>14400</v>
      </c>
      <c r="G25" s="4"/>
      <c r="H25" s="4"/>
      <c r="L25" s="4"/>
    </row>
    <row r="26" spans="1:12" x14ac:dyDescent="0.35">
      <c r="A26">
        <v>1</v>
      </c>
      <c r="B26">
        <v>25</v>
      </c>
      <c r="D26" s="4">
        <v>2</v>
      </c>
      <c r="E26" s="4">
        <v>5</v>
      </c>
      <c r="F26" s="4">
        <v>100</v>
      </c>
      <c r="G26" s="4"/>
      <c r="H26" s="4"/>
      <c r="L26" s="4"/>
    </row>
    <row r="27" spans="1:12" x14ac:dyDescent="0.35">
      <c r="A27">
        <v>1</v>
      </c>
      <c r="B27">
        <v>26</v>
      </c>
      <c r="D27" s="4">
        <v>60</v>
      </c>
      <c r="E27" s="4">
        <v>720</v>
      </c>
      <c r="F27" s="4">
        <v>14400</v>
      </c>
      <c r="G27" s="4"/>
      <c r="H27" s="4"/>
      <c r="L27" s="4"/>
    </row>
    <row r="28" spans="1:12" x14ac:dyDescent="0.35">
      <c r="A28">
        <v>2</v>
      </c>
      <c r="B28">
        <v>1</v>
      </c>
      <c r="D28" s="4">
        <v>30</v>
      </c>
      <c r="E28" s="4">
        <v>1440</v>
      </c>
      <c r="F28" s="4">
        <v>2880</v>
      </c>
      <c r="G28" s="4"/>
      <c r="H28" s="4"/>
    </row>
    <row r="29" spans="1:12" x14ac:dyDescent="0.35">
      <c r="A29">
        <v>2</v>
      </c>
      <c r="B29">
        <v>2</v>
      </c>
      <c r="D29" s="4">
        <v>30</v>
      </c>
      <c r="E29" s="4">
        <v>1080</v>
      </c>
      <c r="F29" s="4">
        <v>2160</v>
      </c>
      <c r="G29" s="4"/>
      <c r="H29" s="4"/>
    </row>
    <row r="30" spans="1:12" x14ac:dyDescent="0.35">
      <c r="A30">
        <v>2</v>
      </c>
      <c r="B30">
        <v>3</v>
      </c>
      <c r="D30" s="4">
        <v>30</v>
      </c>
      <c r="E30" s="4">
        <v>360</v>
      </c>
      <c r="F30" s="4">
        <v>2880</v>
      </c>
      <c r="G30" s="4"/>
      <c r="H30" s="4"/>
    </row>
    <row r="31" spans="1:12" x14ac:dyDescent="0.35">
      <c r="A31">
        <v>2</v>
      </c>
      <c r="B31">
        <v>4</v>
      </c>
      <c r="D31" s="4">
        <v>2</v>
      </c>
      <c r="E31" s="4">
        <v>10</v>
      </c>
      <c r="F31" s="4">
        <v>20</v>
      </c>
      <c r="G31" s="4"/>
      <c r="H31" s="4"/>
    </row>
    <row r="32" spans="1:12" x14ac:dyDescent="0.35">
      <c r="A32">
        <v>2</v>
      </c>
      <c r="B32">
        <v>5</v>
      </c>
      <c r="D32" s="4">
        <v>30</v>
      </c>
      <c r="E32" s="4">
        <v>1440</v>
      </c>
      <c r="F32" s="4">
        <v>2880</v>
      </c>
      <c r="G32" s="4"/>
      <c r="H32" s="4"/>
    </row>
    <row r="33" spans="1:8" x14ac:dyDescent="0.35">
      <c r="A33">
        <v>2</v>
      </c>
      <c r="B33">
        <v>6</v>
      </c>
      <c r="D33" s="4">
        <v>10</v>
      </c>
      <c r="E33" s="4">
        <v>60</v>
      </c>
      <c r="F33" s="4">
        <v>1440</v>
      </c>
      <c r="G33" s="4"/>
      <c r="H33" s="4"/>
    </row>
    <row r="34" spans="1:8" x14ac:dyDescent="0.35">
      <c r="A34">
        <v>2</v>
      </c>
      <c r="B34">
        <v>7</v>
      </c>
      <c r="D34" s="4">
        <v>30</v>
      </c>
      <c r="E34" s="4">
        <v>1440</v>
      </c>
      <c r="F34" s="4">
        <v>2880</v>
      </c>
      <c r="G34" s="4"/>
      <c r="H34" s="4"/>
    </row>
    <row r="35" spans="1:8" x14ac:dyDescent="0.35">
      <c r="A35">
        <v>2</v>
      </c>
      <c r="B35">
        <v>8</v>
      </c>
      <c r="D35" s="4">
        <v>4</v>
      </c>
      <c r="E35" s="4">
        <v>12</v>
      </c>
      <c r="F35" s="4">
        <v>21</v>
      </c>
      <c r="G35" s="4"/>
      <c r="H35" s="4"/>
    </row>
    <row r="36" spans="1:8" x14ac:dyDescent="0.35">
      <c r="A36">
        <v>2</v>
      </c>
      <c r="B36">
        <v>9</v>
      </c>
      <c r="D36" s="4">
        <v>15</v>
      </c>
      <c r="E36" s="4">
        <v>720</v>
      </c>
      <c r="F36" s="4">
        <v>1440</v>
      </c>
      <c r="G36" s="4"/>
      <c r="H36" s="4"/>
    </row>
    <row r="37" spans="1:8" x14ac:dyDescent="0.35">
      <c r="A37">
        <v>2</v>
      </c>
      <c r="B37">
        <v>10</v>
      </c>
      <c r="D37" s="4">
        <v>10</v>
      </c>
      <c r="E37" s="4">
        <v>540</v>
      </c>
      <c r="F37" s="4">
        <v>1200</v>
      </c>
      <c r="G37" s="4"/>
      <c r="H37" s="4"/>
    </row>
    <row r="38" spans="1:8" x14ac:dyDescent="0.35">
      <c r="A38">
        <v>2</v>
      </c>
      <c r="B38">
        <v>11</v>
      </c>
      <c r="D38" s="4">
        <v>5</v>
      </c>
      <c r="E38" s="4">
        <v>15</v>
      </c>
      <c r="F38" s="4">
        <v>40</v>
      </c>
      <c r="G38" s="4"/>
      <c r="H38" s="4"/>
    </row>
    <row r="39" spans="1:8" x14ac:dyDescent="0.35">
      <c r="A39">
        <v>2</v>
      </c>
      <c r="B39">
        <v>12</v>
      </c>
      <c r="D39" s="4">
        <v>30</v>
      </c>
      <c r="E39" s="4">
        <v>540</v>
      </c>
      <c r="F39" s="4">
        <v>1440</v>
      </c>
      <c r="G39" s="4"/>
      <c r="H39" s="4"/>
    </row>
    <row r="40" spans="1:8" x14ac:dyDescent="0.35">
      <c r="A40">
        <v>2</v>
      </c>
      <c r="B40">
        <v>13</v>
      </c>
      <c r="D40" s="4">
        <v>20</v>
      </c>
      <c r="E40" s="4">
        <v>300</v>
      </c>
      <c r="F40" s="4">
        <v>900</v>
      </c>
      <c r="G40" s="4"/>
      <c r="H40" s="4"/>
    </row>
    <row r="41" spans="1:8" x14ac:dyDescent="0.35">
      <c r="A41">
        <v>2</v>
      </c>
      <c r="B41">
        <v>14</v>
      </c>
      <c r="D41" s="4">
        <v>5</v>
      </c>
      <c r="E41" s="4">
        <v>20</v>
      </c>
      <c r="F41" s="4">
        <v>45</v>
      </c>
      <c r="G41" s="4"/>
      <c r="H41" s="4"/>
    </row>
    <row r="42" spans="1:8" x14ac:dyDescent="0.35">
      <c r="A42">
        <v>2</v>
      </c>
      <c r="B42">
        <v>15</v>
      </c>
      <c r="D42" s="4">
        <v>5</v>
      </c>
      <c r="E42" s="4">
        <v>100</v>
      </c>
      <c r="F42" s="4">
        <v>300</v>
      </c>
      <c r="G42" s="4"/>
      <c r="H42" s="4"/>
    </row>
    <row r="43" spans="1:8" x14ac:dyDescent="0.35">
      <c r="A43">
        <v>2</v>
      </c>
      <c r="B43">
        <v>16</v>
      </c>
      <c r="D43" s="4">
        <v>10</v>
      </c>
      <c r="E43" s="4">
        <v>1440</v>
      </c>
      <c r="F43" s="4">
        <v>2880</v>
      </c>
      <c r="G43" s="4"/>
      <c r="H43" s="4"/>
    </row>
    <row r="44" spans="1:8" x14ac:dyDescent="0.35">
      <c r="A44">
        <v>2</v>
      </c>
      <c r="B44">
        <v>17</v>
      </c>
      <c r="D44" s="4">
        <v>5</v>
      </c>
      <c r="E44" s="4">
        <v>200</v>
      </c>
      <c r="F44" s="4">
        <v>500</v>
      </c>
      <c r="G44" s="4"/>
      <c r="H44" s="4"/>
    </row>
    <row r="45" spans="1:8" x14ac:dyDescent="0.35">
      <c r="A45">
        <v>2</v>
      </c>
      <c r="B45">
        <v>18</v>
      </c>
      <c r="D45" s="4">
        <v>30</v>
      </c>
      <c r="E45" s="4">
        <v>2880</v>
      </c>
      <c r="F45" s="4">
        <v>5760</v>
      </c>
      <c r="G45" s="4"/>
      <c r="H45" s="4"/>
    </row>
    <row r="46" spans="1:8" x14ac:dyDescent="0.35">
      <c r="A46">
        <v>2</v>
      </c>
      <c r="B46">
        <v>19</v>
      </c>
      <c r="D46" s="4">
        <v>2</v>
      </c>
      <c r="E46" s="4">
        <v>50</v>
      </c>
      <c r="F46" s="4">
        <v>150</v>
      </c>
      <c r="G46" s="4"/>
      <c r="H46" s="4"/>
    </row>
    <row r="47" spans="1:8" x14ac:dyDescent="0.35">
      <c r="A47">
        <v>2</v>
      </c>
      <c r="B47">
        <v>20</v>
      </c>
      <c r="D47" s="4">
        <v>10</v>
      </c>
      <c r="E47" s="4">
        <v>1440</v>
      </c>
      <c r="F47" s="4">
        <v>4320</v>
      </c>
      <c r="G47" s="4"/>
      <c r="H47" s="4"/>
    </row>
    <row r="48" spans="1:8" x14ac:dyDescent="0.35">
      <c r="A48">
        <v>2</v>
      </c>
      <c r="B48">
        <v>21</v>
      </c>
      <c r="D48" s="4">
        <v>2</v>
      </c>
      <c r="E48" s="4">
        <v>50</v>
      </c>
      <c r="F48" s="4">
        <v>150</v>
      </c>
      <c r="G48" s="4"/>
      <c r="H48" s="4"/>
    </row>
    <row r="49" spans="1:8" x14ac:dyDescent="0.35">
      <c r="A49">
        <v>2</v>
      </c>
      <c r="B49">
        <v>22</v>
      </c>
      <c r="D49" s="4">
        <v>10</v>
      </c>
      <c r="E49" s="4">
        <v>1440</v>
      </c>
      <c r="F49" s="4">
        <v>4320</v>
      </c>
      <c r="G49" s="4"/>
      <c r="H49" s="4"/>
    </row>
    <row r="50" spans="1:8" x14ac:dyDescent="0.35">
      <c r="A50">
        <v>2</v>
      </c>
      <c r="B50">
        <v>23</v>
      </c>
      <c r="D50" s="4">
        <v>2</v>
      </c>
      <c r="E50" s="4">
        <v>50</v>
      </c>
      <c r="F50" s="4">
        <v>150</v>
      </c>
      <c r="G50" s="4"/>
      <c r="H50" s="4"/>
    </row>
    <row r="51" spans="1:8" x14ac:dyDescent="0.35">
      <c r="A51">
        <v>2</v>
      </c>
      <c r="B51">
        <v>24</v>
      </c>
      <c r="D51" s="4">
        <v>10</v>
      </c>
      <c r="E51" s="4">
        <v>1440</v>
      </c>
      <c r="F51" s="4">
        <v>4320</v>
      </c>
      <c r="G51" s="4"/>
      <c r="H51" s="4"/>
    </row>
    <row r="52" spans="1:8" x14ac:dyDescent="0.35">
      <c r="A52">
        <v>2</v>
      </c>
      <c r="B52">
        <v>25</v>
      </c>
      <c r="D52" s="4">
        <v>2</v>
      </c>
      <c r="E52" s="4">
        <v>100</v>
      </c>
      <c r="F52" s="4">
        <v>300</v>
      </c>
      <c r="G52" s="4"/>
      <c r="H52" s="4"/>
    </row>
    <row r="53" spans="1:8" x14ac:dyDescent="0.35">
      <c r="A53">
        <v>2</v>
      </c>
      <c r="B53">
        <v>26</v>
      </c>
      <c r="D53" s="4">
        <v>10</v>
      </c>
      <c r="E53" s="4">
        <v>1440</v>
      </c>
      <c r="F53" s="4">
        <v>2880</v>
      </c>
      <c r="G53" s="4"/>
      <c r="H53" s="4"/>
    </row>
    <row r="54" spans="1:8" x14ac:dyDescent="0.35">
      <c r="A54">
        <v>3</v>
      </c>
      <c r="B54">
        <v>1</v>
      </c>
      <c r="D54" s="4">
        <v>480</v>
      </c>
      <c r="E54" s="4">
        <v>900</v>
      </c>
      <c r="F54" s="4">
        <v>1440</v>
      </c>
      <c r="G54" s="4"/>
      <c r="H54" s="4"/>
    </row>
    <row r="55" spans="1:8" x14ac:dyDescent="0.35">
      <c r="A55">
        <v>3</v>
      </c>
      <c r="B55">
        <v>2</v>
      </c>
      <c r="D55" s="4">
        <v>240</v>
      </c>
      <c r="E55" s="4">
        <v>600</v>
      </c>
      <c r="F55" s="4">
        <v>840</v>
      </c>
      <c r="G55" s="4"/>
      <c r="H55" s="4"/>
    </row>
    <row r="56" spans="1:8" x14ac:dyDescent="0.35">
      <c r="A56">
        <v>3</v>
      </c>
      <c r="B56">
        <v>3</v>
      </c>
      <c r="D56" s="4">
        <v>60</v>
      </c>
      <c r="E56" s="4">
        <v>300</v>
      </c>
      <c r="F56" s="4">
        <v>420</v>
      </c>
      <c r="G56" s="4"/>
      <c r="H56" s="4"/>
    </row>
    <row r="57" spans="1:8" x14ac:dyDescent="0.35">
      <c r="A57">
        <v>3</v>
      </c>
      <c r="B57">
        <v>4</v>
      </c>
      <c r="D57" s="4">
        <v>1</v>
      </c>
      <c r="E57" s="4">
        <v>3</v>
      </c>
      <c r="F57" s="4">
        <v>6</v>
      </c>
      <c r="G57" s="4"/>
      <c r="H57" s="4"/>
    </row>
    <row r="58" spans="1:8" x14ac:dyDescent="0.35">
      <c r="A58">
        <v>3</v>
      </c>
      <c r="B58">
        <v>5</v>
      </c>
      <c r="D58" s="4">
        <v>240</v>
      </c>
      <c r="E58" s="4">
        <v>1440</v>
      </c>
      <c r="F58" s="4">
        <v>2880</v>
      </c>
      <c r="G58" s="4"/>
      <c r="H58" s="4"/>
    </row>
    <row r="59" spans="1:8" x14ac:dyDescent="0.35">
      <c r="A59">
        <v>3</v>
      </c>
      <c r="B59">
        <v>6</v>
      </c>
      <c r="D59" s="4">
        <v>30</v>
      </c>
      <c r="E59" s="4">
        <v>60</v>
      </c>
      <c r="F59" s="4">
        <v>90</v>
      </c>
      <c r="G59" s="4"/>
      <c r="H59" s="4"/>
    </row>
    <row r="60" spans="1:8" x14ac:dyDescent="0.35">
      <c r="A60">
        <v>3</v>
      </c>
      <c r="B60">
        <v>7</v>
      </c>
      <c r="D60" s="4">
        <v>240</v>
      </c>
      <c r="E60" s="4">
        <v>1440</v>
      </c>
      <c r="F60" s="4">
        <v>2880</v>
      </c>
      <c r="G60" s="4"/>
      <c r="H60" s="4"/>
    </row>
    <row r="61" spans="1:8" x14ac:dyDescent="0.35">
      <c r="A61">
        <v>3</v>
      </c>
      <c r="B61">
        <v>8</v>
      </c>
      <c r="D61" s="4">
        <v>1</v>
      </c>
      <c r="E61" s="4">
        <v>3</v>
      </c>
      <c r="F61" s="4">
        <v>5</v>
      </c>
      <c r="G61" s="4"/>
      <c r="H61" s="4"/>
    </row>
    <row r="62" spans="1:8" x14ac:dyDescent="0.35">
      <c r="A62">
        <v>3</v>
      </c>
      <c r="B62">
        <v>9</v>
      </c>
      <c r="D62" s="4">
        <v>1200</v>
      </c>
      <c r="E62" s="4">
        <v>1800</v>
      </c>
      <c r="F62" s="4">
        <v>3000</v>
      </c>
      <c r="G62" s="4"/>
      <c r="H62" s="4"/>
    </row>
    <row r="63" spans="1:8" x14ac:dyDescent="0.35">
      <c r="A63">
        <v>3</v>
      </c>
      <c r="B63">
        <v>10</v>
      </c>
      <c r="D63" s="4">
        <v>30</v>
      </c>
      <c r="E63" s="4">
        <v>60</v>
      </c>
      <c r="F63" s="4">
        <v>180</v>
      </c>
      <c r="G63" s="4"/>
      <c r="H63" s="4"/>
    </row>
    <row r="64" spans="1:8" x14ac:dyDescent="0.35">
      <c r="A64">
        <v>3</v>
      </c>
      <c r="B64">
        <v>11</v>
      </c>
      <c r="D64" s="4">
        <v>2</v>
      </c>
      <c r="E64" s="4">
        <v>5</v>
      </c>
      <c r="F64" s="4">
        <v>9</v>
      </c>
      <c r="G64" s="4"/>
      <c r="H64" s="4"/>
    </row>
    <row r="65" spans="1:8" x14ac:dyDescent="0.35">
      <c r="A65">
        <v>3</v>
      </c>
      <c r="B65">
        <v>12</v>
      </c>
      <c r="D65" s="4">
        <v>120</v>
      </c>
      <c r="E65" s="4">
        <v>720</v>
      </c>
      <c r="F65" s="4">
        <v>1440</v>
      </c>
      <c r="G65" s="4"/>
      <c r="H65" s="4"/>
    </row>
    <row r="66" spans="1:8" x14ac:dyDescent="0.35">
      <c r="A66">
        <v>3</v>
      </c>
      <c r="B66">
        <v>13</v>
      </c>
      <c r="D66" s="4">
        <v>30</v>
      </c>
      <c r="E66" s="4">
        <v>60</v>
      </c>
      <c r="F66" s="4">
        <v>120</v>
      </c>
      <c r="G66" s="4"/>
      <c r="H66" s="4"/>
    </row>
    <row r="67" spans="1:8" x14ac:dyDescent="0.35">
      <c r="A67">
        <v>3</v>
      </c>
      <c r="B67">
        <v>14</v>
      </c>
      <c r="D67" s="4">
        <v>2</v>
      </c>
      <c r="E67" s="4">
        <v>5</v>
      </c>
      <c r="F67" s="4">
        <v>10</v>
      </c>
      <c r="G67" s="4"/>
      <c r="H67" s="4"/>
    </row>
    <row r="68" spans="1:8" x14ac:dyDescent="0.35">
      <c r="A68">
        <v>3</v>
      </c>
      <c r="B68">
        <v>15</v>
      </c>
      <c r="D68" s="4">
        <v>4</v>
      </c>
      <c r="E68" s="4">
        <v>10</v>
      </c>
      <c r="F68" s="4">
        <v>50</v>
      </c>
      <c r="G68" s="4"/>
      <c r="H68" s="4"/>
    </row>
    <row r="69" spans="1:8" x14ac:dyDescent="0.35">
      <c r="A69">
        <v>3</v>
      </c>
      <c r="B69">
        <v>16</v>
      </c>
      <c r="D69" s="4">
        <v>30</v>
      </c>
      <c r="E69" s="4">
        <v>1440</v>
      </c>
      <c r="F69" s="4">
        <v>2880</v>
      </c>
      <c r="G69" s="4"/>
      <c r="H69" s="4"/>
    </row>
    <row r="70" spans="1:8" x14ac:dyDescent="0.35">
      <c r="A70">
        <v>3</v>
      </c>
      <c r="B70">
        <v>17</v>
      </c>
      <c r="D70" s="4">
        <v>4</v>
      </c>
      <c r="E70" s="4">
        <v>10</v>
      </c>
      <c r="F70" s="4">
        <v>50</v>
      </c>
      <c r="G70" s="4"/>
      <c r="H70" s="4"/>
    </row>
    <row r="71" spans="1:8" x14ac:dyDescent="0.35">
      <c r="A71">
        <v>3</v>
      </c>
      <c r="B71">
        <v>18</v>
      </c>
      <c r="D71" s="4">
        <v>30</v>
      </c>
      <c r="E71" s="4">
        <v>1440</v>
      </c>
      <c r="F71" s="4">
        <v>2880</v>
      </c>
      <c r="G71" s="4"/>
      <c r="H71" s="4"/>
    </row>
    <row r="72" spans="1:8" x14ac:dyDescent="0.35">
      <c r="A72">
        <v>3</v>
      </c>
      <c r="B72">
        <v>19</v>
      </c>
      <c r="D72" s="4">
        <v>3</v>
      </c>
      <c r="E72" s="4">
        <v>10</v>
      </c>
      <c r="F72" s="4">
        <v>20</v>
      </c>
      <c r="G72" s="4"/>
      <c r="H72" s="4"/>
    </row>
    <row r="73" spans="1:8" x14ac:dyDescent="0.35">
      <c r="A73">
        <v>3</v>
      </c>
      <c r="B73">
        <v>20</v>
      </c>
      <c r="D73" s="4">
        <v>60</v>
      </c>
      <c r="E73" s="4">
        <v>480</v>
      </c>
      <c r="F73" s="4">
        <v>1200</v>
      </c>
      <c r="G73" s="4"/>
      <c r="H73" s="4"/>
    </row>
    <row r="74" spans="1:8" x14ac:dyDescent="0.35">
      <c r="A74">
        <v>3</v>
      </c>
      <c r="B74">
        <v>21</v>
      </c>
      <c r="D74" s="4">
        <v>3</v>
      </c>
      <c r="E74" s="4">
        <v>10</v>
      </c>
      <c r="F74" s="4">
        <v>20</v>
      </c>
      <c r="G74" s="4"/>
      <c r="H74" s="4"/>
    </row>
    <row r="75" spans="1:8" x14ac:dyDescent="0.35">
      <c r="A75">
        <v>3</v>
      </c>
      <c r="B75">
        <v>22</v>
      </c>
      <c r="D75" s="4">
        <v>60</v>
      </c>
      <c r="E75" s="4">
        <v>480</v>
      </c>
      <c r="F75" s="4">
        <v>1200</v>
      </c>
      <c r="G75" s="4"/>
      <c r="H75" s="4"/>
    </row>
    <row r="76" spans="1:8" x14ac:dyDescent="0.35">
      <c r="A76">
        <v>3</v>
      </c>
      <c r="B76">
        <v>23</v>
      </c>
      <c r="D76" s="4">
        <v>8</v>
      </c>
      <c r="E76" s="4">
        <v>15</v>
      </c>
      <c r="F76" s="4">
        <v>40</v>
      </c>
      <c r="G76" s="4"/>
      <c r="H76" s="4"/>
    </row>
    <row r="77" spans="1:8" x14ac:dyDescent="0.35">
      <c r="A77">
        <v>3</v>
      </c>
      <c r="B77">
        <v>24</v>
      </c>
      <c r="D77" s="4">
        <v>30</v>
      </c>
      <c r="E77" s="4">
        <v>60</v>
      </c>
      <c r="F77" s="4">
        <v>2880</v>
      </c>
      <c r="G77" s="4"/>
      <c r="H77" s="4"/>
    </row>
    <row r="78" spans="1:8" x14ac:dyDescent="0.35">
      <c r="A78">
        <v>3</v>
      </c>
      <c r="B78">
        <v>25</v>
      </c>
      <c r="D78" s="4">
        <v>3</v>
      </c>
      <c r="E78" s="4">
        <v>10</v>
      </c>
      <c r="F78" s="4">
        <v>20</v>
      </c>
      <c r="G78" s="4"/>
      <c r="H78" s="4"/>
    </row>
    <row r="79" spans="1:8" x14ac:dyDescent="0.35">
      <c r="A79">
        <v>3</v>
      </c>
      <c r="B79">
        <v>26</v>
      </c>
      <c r="D79" s="4">
        <v>30</v>
      </c>
      <c r="E79" s="4">
        <v>300</v>
      </c>
      <c r="F79" s="4">
        <v>4200</v>
      </c>
      <c r="G79" s="4"/>
      <c r="H79" s="4"/>
    </row>
    <row r="80" spans="1:8" x14ac:dyDescent="0.35">
      <c r="A80">
        <v>4</v>
      </c>
      <c r="B80">
        <v>1</v>
      </c>
      <c r="D80" s="4">
        <v>720</v>
      </c>
      <c r="E80" s="4">
        <v>7200</v>
      </c>
      <c r="F80" s="4">
        <v>20200</v>
      </c>
      <c r="G80" s="4"/>
      <c r="H80" s="4"/>
    </row>
    <row r="81" spans="1:8" x14ac:dyDescent="0.35">
      <c r="A81">
        <v>4</v>
      </c>
      <c r="B81">
        <v>2</v>
      </c>
      <c r="D81" s="4">
        <v>720</v>
      </c>
      <c r="E81" s="4">
        <v>7200</v>
      </c>
      <c r="F81" s="4">
        <v>20200</v>
      </c>
      <c r="G81" s="4"/>
      <c r="H81" s="4"/>
    </row>
    <row r="82" spans="1:8" x14ac:dyDescent="0.35">
      <c r="A82">
        <v>4</v>
      </c>
      <c r="B82">
        <v>3</v>
      </c>
      <c r="D82" s="4">
        <v>5</v>
      </c>
      <c r="E82" s="4">
        <v>30</v>
      </c>
      <c r="F82" s="4">
        <v>1440</v>
      </c>
      <c r="G82" s="4"/>
      <c r="H82" s="4"/>
    </row>
    <row r="83" spans="1:8" x14ac:dyDescent="0.35">
      <c r="A83">
        <v>4</v>
      </c>
      <c r="B83">
        <v>4</v>
      </c>
      <c r="D83" s="4">
        <v>1</v>
      </c>
      <c r="E83" s="4">
        <v>5</v>
      </c>
      <c r="F83" s="4">
        <v>20</v>
      </c>
      <c r="G83" s="4"/>
      <c r="H83" s="4"/>
    </row>
    <row r="84" spans="1:8" x14ac:dyDescent="0.35">
      <c r="A84">
        <v>4</v>
      </c>
      <c r="B84">
        <v>5</v>
      </c>
      <c r="D84" s="4">
        <v>4320</v>
      </c>
      <c r="E84" s="4">
        <v>10100</v>
      </c>
      <c r="F84" s="4">
        <v>30200</v>
      </c>
      <c r="G84" s="4"/>
      <c r="H84" s="4"/>
    </row>
    <row r="85" spans="1:8" x14ac:dyDescent="0.35">
      <c r="A85">
        <v>4</v>
      </c>
      <c r="B85">
        <v>6</v>
      </c>
      <c r="D85" s="4">
        <v>60</v>
      </c>
      <c r="E85" s="4">
        <v>240</v>
      </c>
      <c r="F85" s="4">
        <v>1440</v>
      </c>
      <c r="G85" s="4"/>
      <c r="H85" s="4"/>
    </row>
    <row r="86" spans="1:8" x14ac:dyDescent="0.35">
      <c r="A86">
        <v>4</v>
      </c>
      <c r="B86">
        <v>7</v>
      </c>
      <c r="D86" s="4">
        <v>60</v>
      </c>
      <c r="E86" s="4">
        <v>1440</v>
      </c>
      <c r="F86" s="4">
        <v>10100</v>
      </c>
      <c r="G86" s="4"/>
      <c r="H86" s="4"/>
    </row>
    <row r="87" spans="1:8" x14ac:dyDescent="0.35">
      <c r="A87">
        <v>4</v>
      </c>
      <c r="B87">
        <v>8</v>
      </c>
      <c r="D87" s="4">
        <v>1</v>
      </c>
      <c r="E87" s="4">
        <v>5</v>
      </c>
      <c r="F87" s="4">
        <v>10</v>
      </c>
      <c r="G87" s="4"/>
      <c r="H87" s="4"/>
    </row>
    <row r="88" spans="1:8" x14ac:dyDescent="0.35">
      <c r="A88">
        <v>4</v>
      </c>
      <c r="B88">
        <v>9</v>
      </c>
      <c r="D88" s="4">
        <v>720</v>
      </c>
      <c r="E88" s="4">
        <v>7200</v>
      </c>
      <c r="F88" s="4">
        <v>20200</v>
      </c>
      <c r="G88" s="4"/>
      <c r="H88" s="4"/>
    </row>
    <row r="89" spans="1:8" x14ac:dyDescent="0.35">
      <c r="A89">
        <v>4</v>
      </c>
      <c r="B89">
        <v>10</v>
      </c>
      <c r="D89" s="4">
        <v>720</v>
      </c>
      <c r="E89" s="4">
        <v>7200</v>
      </c>
      <c r="F89" s="4">
        <v>20200</v>
      </c>
      <c r="G89" s="4"/>
      <c r="H89" s="4"/>
    </row>
    <row r="90" spans="1:8" x14ac:dyDescent="0.35">
      <c r="A90">
        <v>4</v>
      </c>
      <c r="B90">
        <v>11</v>
      </c>
      <c r="D90" s="4">
        <v>3</v>
      </c>
      <c r="E90" s="4">
        <v>15</v>
      </c>
      <c r="F90" s="4">
        <v>60</v>
      </c>
      <c r="G90" s="4"/>
      <c r="H90" s="4"/>
    </row>
    <row r="91" spans="1:8" x14ac:dyDescent="0.35">
      <c r="A91">
        <v>4</v>
      </c>
      <c r="B91">
        <v>12</v>
      </c>
      <c r="D91" s="4">
        <v>720</v>
      </c>
      <c r="E91" s="4">
        <v>7200</v>
      </c>
      <c r="F91" s="4">
        <v>20200</v>
      </c>
      <c r="G91" s="4"/>
      <c r="H91" s="4"/>
    </row>
    <row r="92" spans="1:8" x14ac:dyDescent="0.35">
      <c r="A92">
        <v>4</v>
      </c>
      <c r="B92">
        <v>13</v>
      </c>
      <c r="D92" s="4">
        <v>5</v>
      </c>
      <c r="E92" s="4">
        <v>30</v>
      </c>
      <c r="F92" s="4">
        <v>1440</v>
      </c>
      <c r="G92" s="4"/>
      <c r="H92" s="4"/>
    </row>
    <row r="93" spans="1:8" x14ac:dyDescent="0.35">
      <c r="A93">
        <v>4</v>
      </c>
      <c r="B93">
        <v>14</v>
      </c>
      <c r="D93" s="4">
        <v>3</v>
      </c>
      <c r="E93" s="4">
        <v>15</v>
      </c>
      <c r="F93" s="4">
        <v>60</v>
      </c>
      <c r="G93" s="4"/>
      <c r="H93" s="4"/>
    </row>
    <row r="94" spans="1:8" x14ac:dyDescent="0.35">
      <c r="A94">
        <v>4</v>
      </c>
      <c r="B94">
        <v>15</v>
      </c>
      <c r="D94" s="4">
        <v>10</v>
      </c>
      <c r="E94" s="4">
        <v>100</v>
      </c>
      <c r="F94" s="4">
        <v>500</v>
      </c>
      <c r="G94" s="4"/>
      <c r="H94" s="4"/>
    </row>
    <row r="95" spans="1:8" x14ac:dyDescent="0.35">
      <c r="A95">
        <v>4</v>
      </c>
      <c r="B95">
        <v>16</v>
      </c>
      <c r="D95" s="4">
        <v>60</v>
      </c>
      <c r="E95" s="4">
        <v>720</v>
      </c>
      <c r="F95" s="4">
        <v>2880</v>
      </c>
      <c r="G95" s="4"/>
      <c r="H95" s="4"/>
    </row>
    <row r="96" spans="1:8" x14ac:dyDescent="0.35">
      <c r="A96">
        <v>4</v>
      </c>
      <c r="B96">
        <v>17</v>
      </c>
      <c r="D96" s="4">
        <v>10</v>
      </c>
      <c r="E96" s="4">
        <v>100</v>
      </c>
      <c r="F96" s="4">
        <v>500</v>
      </c>
      <c r="G96" s="4"/>
      <c r="H96" s="4"/>
    </row>
    <row r="97" spans="1:8" x14ac:dyDescent="0.35">
      <c r="A97">
        <v>4</v>
      </c>
      <c r="B97">
        <v>18</v>
      </c>
      <c r="D97" s="4">
        <v>60</v>
      </c>
      <c r="E97" s="4">
        <v>720</v>
      </c>
      <c r="F97" s="4">
        <v>2880</v>
      </c>
      <c r="G97" s="4"/>
      <c r="H97" s="4"/>
    </row>
    <row r="98" spans="1:8" x14ac:dyDescent="0.35">
      <c r="A98">
        <v>4</v>
      </c>
      <c r="B98">
        <v>19</v>
      </c>
      <c r="D98" s="4">
        <v>10</v>
      </c>
      <c r="E98" s="4">
        <v>100</v>
      </c>
      <c r="F98" s="4">
        <v>500</v>
      </c>
      <c r="G98" s="4"/>
      <c r="H98" s="4"/>
    </row>
    <row r="99" spans="1:8" x14ac:dyDescent="0.35">
      <c r="A99">
        <v>4</v>
      </c>
      <c r="B99">
        <v>20</v>
      </c>
      <c r="D99" s="4">
        <v>60</v>
      </c>
      <c r="E99" s="4">
        <v>720</v>
      </c>
      <c r="F99" s="4">
        <v>2880</v>
      </c>
      <c r="G99" s="4"/>
      <c r="H99" s="4"/>
    </row>
    <row r="100" spans="1:8" x14ac:dyDescent="0.35">
      <c r="A100">
        <v>4</v>
      </c>
      <c r="B100">
        <v>21</v>
      </c>
      <c r="D100" s="4">
        <v>10</v>
      </c>
      <c r="E100" s="4">
        <v>100</v>
      </c>
      <c r="F100" s="4">
        <v>300</v>
      </c>
      <c r="G100" s="4"/>
      <c r="H100" s="4"/>
    </row>
    <row r="101" spans="1:8" x14ac:dyDescent="0.35">
      <c r="A101">
        <v>4</v>
      </c>
      <c r="B101">
        <v>22</v>
      </c>
      <c r="D101" s="4">
        <v>60</v>
      </c>
      <c r="E101" s="4">
        <v>720</v>
      </c>
      <c r="F101" s="4">
        <v>2880</v>
      </c>
      <c r="G101" s="4"/>
      <c r="H101" s="4"/>
    </row>
    <row r="102" spans="1:8" x14ac:dyDescent="0.35">
      <c r="A102">
        <v>4</v>
      </c>
      <c r="B102">
        <v>23</v>
      </c>
      <c r="D102" s="4">
        <v>10</v>
      </c>
      <c r="E102" s="4">
        <v>100</v>
      </c>
      <c r="F102" s="4">
        <v>500</v>
      </c>
      <c r="G102" s="4"/>
      <c r="H102" s="4"/>
    </row>
    <row r="103" spans="1:8" x14ac:dyDescent="0.35">
      <c r="A103">
        <v>4</v>
      </c>
      <c r="B103">
        <v>24</v>
      </c>
      <c r="D103" s="4">
        <v>60</v>
      </c>
      <c r="E103" s="4">
        <v>720</v>
      </c>
      <c r="F103" s="4">
        <v>2880</v>
      </c>
      <c r="G103" s="4"/>
      <c r="H103" s="4"/>
    </row>
    <row r="104" spans="1:8" x14ac:dyDescent="0.35">
      <c r="A104">
        <v>4</v>
      </c>
      <c r="B104">
        <v>25</v>
      </c>
      <c r="D104" s="4">
        <v>10</v>
      </c>
      <c r="E104" s="4">
        <v>100</v>
      </c>
      <c r="F104" s="4">
        <v>500</v>
      </c>
      <c r="G104" s="4"/>
      <c r="H104" s="4"/>
    </row>
    <row r="105" spans="1:8" x14ac:dyDescent="0.35">
      <c r="A105">
        <v>4</v>
      </c>
      <c r="B105">
        <v>26</v>
      </c>
      <c r="D105" s="4">
        <v>60</v>
      </c>
      <c r="E105" s="4">
        <v>720</v>
      </c>
      <c r="F105" s="4">
        <v>2880</v>
      </c>
      <c r="G105" s="4"/>
      <c r="H105" s="4"/>
    </row>
    <row r="106" spans="1:8" x14ac:dyDescent="0.35">
      <c r="A106">
        <v>5</v>
      </c>
      <c r="B106">
        <v>1</v>
      </c>
      <c r="D106" s="4">
        <v>2880</v>
      </c>
      <c r="E106" s="4">
        <v>5040</v>
      </c>
      <c r="F106" s="4">
        <v>8640</v>
      </c>
      <c r="G106" s="4"/>
      <c r="H106" s="4"/>
    </row>
    <row r="107" spans="1:8" x14ac:dyDescent="0.35">
      <c r="A107">
        <v>5</v>
      </c>
      <c r="B107">
        <v>2</v>
      </c>
      <c r="D107" s="4">
        <v>1440</v>
      </c>
      <c r="E107" s="4">
        <v>2880</v>
      </c>
      <c r="F107" s="4">
        <v>5760</v>
      </c>
      <c r="G107" s="4"/>
      <c r="H107" s="4"/>
    </row>
    <row r="108" spans="1:8" x14ac:dyDescent="0.35">
      <c r="A108">
        <v>5</v>
      </c>
      <c r="B108">
        <v>3</v>
      </c>
      <c r="D108" s="4">
        <v>1440</v>
      </c>
      <c r="E108" s="4">
        <v>1800</v>
      </c>
      <c r="F108" s="4">
        <v>2160</v>
      </c>
      <c r="G108" s="4"/>
      <c r="H108" s="4"/>
    </row>
    <row r="109" spans="1:8" x14ac:dyDescent="0.35">
      <c r="A109">
        <v>5</v>
      </c>
      <c r="B109">
        <v>4</v>
      </c>
      <c r="D109" s="4">
        <v>1</v>
      </c>
      <c r="E109" s="4">
        <v>2</v>
      </c>
      <c r="F109" s="4">
        <v>5</v>
      </c>
      <c r="G109" s="4"/>
      <c r="H109" s="4"/>
    </row>
    <row r="110" spans="1:8" x14ac:dyDescent="0.35">
      <c r="A110">
        <v>5</v>
      </c>
      <c r="B110">
        <v>5</v>
      </c>
      <c r="D110" s="4">
        <v>360</v>
      </c>
      <c r="E110" s="4">
        <v>720</v>
      </c>
      <c r="F110" s="4">
        <v>2880</v>
      </c>
      <c r="G110" s="4"/>
      <c r="H110" s="4"/>
    </row>
    <row r="111" spans="1:8" x14ac:dyDescent="0.35">
      <c r="A111">
        <v>5</v>
      </c>
      <c r="B111">
        <v>6</v>
      </c>
      <c r="D111" s="4">
        <v>288</v>
      </c>
      <c r="E111" s="4">
        <v>432</v>
      </c>
      <c r="F111" s="4">
        <v>720</v>
      </c>
      <c r="G111" s="4"/>
      <c r="H111" s="4"/>
    </row>
    <row r="112" spans="1:8" x14ac:dyDescent="0.35">
      <c r="A112">
        <v>5</v>
      </c>
      <c r="B112">
        <v>7</v>
      </c>
      <c r="D112" s="4">
        <v>288</v>
      </c>
      <c r="E112" s="4">
        <v>720</v>
      </c>
      <c r="F112" s="4">
        <v>1440</v>
      </c>
      <c r="G112" s="4"/>
      <c r="H112" s="4"/>
    </row>
    <row r="113" spans="1:8" x14ac:dyDescent="0.35">
      <c r="A113">
        <v>5</v>
      </c>
      <c r="B113">
        <v>8</v>
      </c>
      <c r="D113" s="4">
        <v>1</v>
      </c>
      <c r="E113" s="4">
        <v>2</v>
      </c>
      <c r="F113" s="4">
        <v>5</v>
      </c>
      <c r="G113" s="4"/>
      <c r="H113" s="4"/>
    </row>
    <row r="114" spans="1:8" x14ac:dyDescent="0.35">
      <c r="A114">
        <v>5</v>
      </c>
      <c r="B114">
        <v>9</v>
      </c>
      <c r="D114" s="4">
        <v>360</v>
      </c>
      <c r="E114" s="4">
        <v>2160</v>
      </c>
      <c r="F114" s="4">
        <v>4320</v>
      </c>
      <c r="G114" s="4"/>
      <c r="H114" s="4"/>
    </row>
    <row r="115" spans="1:8" x14ac:dyDescent="0.35">
      <c r="A115">
        <v>5</v>
      </c>
      <c r="B115">
        <v>10</v>
      </c>
      <c r="D115" s="4">
        <v>30</v>
      </c>
      <c r="E115" s="4">
        <v>240</v>
      </c>
      <c r="F115" s="4">
        <v>480</v>
      </c>
      <c r="G115" s="4"/>
      <c r="H115" s="4"/>
    </row>
    <row r="116" spans="1:8" x14ac:dyDescent="0.35">
      <c r="A116">
        <v>5</v>
      </c>
      <c r="B116">
        <v>11</v>
      </c>
      <c r="D116" s="4">
        <v>1</v>
      </c>
      <c r="E116" s="4">
        <v>2</v>
      </c>
      <c r="F116" s="4">
        <v>5</v>
      </c>
      <c r="G116" s="4"/>
      <c r="H116" s="4"/>
    </row>
    <row r="117" spans="1:8" x14ac:dyDescent="0.35">
      <c r="A117">
        <v>5</v>
      </c>
      <c r="B117">
        <v>12</v>
      </c>
      <c r="D117" s="4">
        <v>720</v>
      </c>
      <c r="E117" s="4">
        <v>2880</v>
      </c>
      <c r="F117" s="4">
        <v>5760</v>
      </c>
      <c r="G117" s="4"/>
      <c r="H117" s="4"/>
    </row>
    <row r="118" spans="1:8" x14ac:dyDescent="0.35">
      <c r="A118">
        <v>5</v>
      </c>
      <c r="B118">
        <v>13</v>
      </c>
      <c r="D118" s="4">
        <v>240</v>
      </c>
      <c r="E118" s="4">
        <v>360</v>
      </c>
      <c r="F118" s="4">
        <v>480</v>
      </c>
      <c r="G118" s="4"/>
      <c r="H118" s="4"/>
    </row>
    <row r="119" spans="1:8" x14ac:dyDescent="0.35">
      <c r="A119">
        <v>5</v>
      </c>
      <c r="B119">
        <v>14</v>
      </c>
      <c r="D119" s="4">
        <v>1</v>
      </c>
      <c r="E119" s="4">
        <v>3</v>
      </c>
      <c r="F119" s="4">
        <v>5</v>
      </c>
      <c r="G119" s="4"/>
      <c r="H119" s="4"/>
    </row>
    <row r="120" spans="1:8" x14ac:dyDescent="0.35">
      <c r="A120">
        <v>5</v>
      </c>
      <c r="B120">
        <v>15</v>
      </c>
      <c r="D120" s="4">
        <v>20</v>
      </c>
      <c r="E120" s="4">
        <v>50</v>
      </c>
      <c r="F120" s="4">
        <v>70</v>
      </c>
      <c r="G120" s="4"/>
      <c r="H120" s="4"/>
    </row>
    <row r="121" spans="1:8" x14ac:dyDescent="0.35">
      <c r="A121">
        <v>5</v>
      </c>
      <c r="B121">
        <v>16</v>
      </c>
      <c r="D121" s="4">
        <v>240</v>
      </c>
      <c r="E121" s="4">
        <v>1440</v>
      </c>
      <c r="F121" s="4">
        <v>4320</v>
      </c>
      <c r="G121" s="4"/>
      <c r="H121" s="4"/>
    </row>
    <row r="122" spans="1:8" x14ac:dyDescent="0.35">
      <c r="A122">
        <v>5</v>
      </c>
      <c r="B122">
        <v>17</v>
      </c>
      <c r="D122" s="4">
        <v>50</v>
      </c>
      <c r="E122" s="4">
        <v>70</v>
      </c>
      <c r="F122" s="4">
        <v>100</v>
      </c>
      <c r="G122" s="4"/>
      <c r="H122" s="4"/>
    </row>
    <row r="123" spans="1:8" x14ac:dyDescent="0.35">
      <c r="A123">
        <v>5</v>
      </c>
      <c r="B123">
        <v>18</v>
      </c>
      <c r="D123" s="4">
        <v>240</v>
      </c>
      <c r="E123" s="4">
        <v>2880</v>
      </c>
      <c r="F123" s="4">
        <v>7200</v>
      </c>
      <c r="G123" s="4"/>
      <c r="H123" s="4"/>
    </row>
    <row r="124" spans="1:8" x14ac:dyDescent="0.35">
      <c r="A124">
        <v>5</v>
      </c>
      <c r="B124">
        <v>19</v>
      </c>
      <c r="D124" s="4">
        <v>5</v>
      </c>
      <c r="E124" s="4">
        <v>10</v>
      </c>
      <c r="F124" s="4">
        <v>20</v>
      </c>
      <c r="G124" s="4"/>
      <c r="H124" s="4"/>
    </row>
    <row r="125" spans="1:8" x14ac:dyDescent="0.35">
      <c r="A125">
        <v>5</v>
      </c>
      <c r="B125">
        <v>20</v>
      </c>
      <c r="D125" s="4">
        <v>240</v>
      </c>
      <c r="E125" s="4">
        <v>1440</v>
      </c>
      <c r="F125" s="4">
        <v>2880</v>
      </c>
      <c r="G125" s="4"/>
      <c r="H125" s="4"/>
    </row>
    <row r="126" spans="1:8" x14ac:dyDescent="0.35">
      <c r="A126">
        <v>5</v>
      </c>
      <c r="B126">
        <v>21</v>
      </c>
      <c r="D126" s="4">
        <v>20</v>
      </c>
      <c r="E126" s="4">
        <v>40</v>
      </c>
      <c r="F126" s="4">
        <v>80</v>
      </c>
      <c r="G126" s="4"/>
      <c r="H126" s="4"/>
    </row>
    <row r="127" spans="1:8" x14ac:dyDescent="0.35">
      <c r="A127">
        <v>5</v>
      </c>
      <c r="B127">
        <v>22</v>
      </c>
      <c r="D127" s="4">
        <v>1440</v>
      </c>
      <c r="E127" s="4">
        <v>4320</v>
      </c>
      <c r="F127" s="4">
        <v>7200</v>
      </c>
      <c r="G127" s="4"/>
      <c r="H127" s="4"/>
    </row>
    <row r="128" spans="1:8" x14ac:dyDescent="0.35">
      <c r="A128">
        <v>5</v>
      </c>
      <c r="B128">
        <v>23</v>
      </c>
      <c r="D128" s="4">
        <v>50</v>
      </c>
      <c r="E128" s="4">
        <v>80</v>
      </c>
      <c r="F128" s="4">
        <v>110</v>
      </c>
      <c r="G128" s="4"/>
      <c r="H128" s="4"/>
    </row>
    <row r="129" spans="1:8" x14ac:dyDescent="0.35">
      <c r="A129">
        <v>5</v>
      </c>
      <c r="B129">
        <v>24</v>
      </c>
      <c r="D129" s="4">
        <v>2880</v>
      </c>
      <c r="E129" s="4">
        <v>5760</v>
      </c>
      <c r="F129" s="4">
        <v>11500</v>
      </c>
      <c r="G129" s="4"/>
      <c r="H129" s="4"/>
    </row>
    <row r="130" spans="1:8" x14ac:dyDescent="0.35">
      <c r="A130">
        <v>5</v>
      </c>
      <c r="B130">
        <v>25</v>
      </c>
      <c r="D130" s="4">
        <v>20</v>
      </c>
      <c r="E130" s="4">
        <v>30</v>
      </c>
      <c r="F130" s="4">
        <v>50</v>
      </c>
      <c r="G130" s="4"/>
      <c r="H130" s="4"/>
    </row>
    <row r="131" spans="1:8" x14ac:dyDescent="0.35">
      <c r="A131">
        <v>5</v>
      </c>
      <c r="B131">
        <v>26</v>
      </c>
      <c r="D131" s="4">
        <v>720</v>
      </c>
      <c r="E131" s="4">
        <v>1440</v>
      </c>
      <c r="F131" s="4">
        <v>4320</v>
      </c>
      <c r="G131" s="4"/>
      <c r="H131" s="4"/>
    </row>
    <row r="132" spans="1:8" x14ac:dyDescent="0.35">
      <c r="A132">
        <v>6</v>
      </c>
      <c r="B132">
        <v>1</v>
      </c>
      <c r="D132" s="4">
        <v>720</v>
      </c>
      <c r="E132" s="4">
        <v>2160</v>
      </c>
      <c r="F132" s="4">
        <v>5400</v>
      </c>
      <c r="G132" s="4"/>
      <c r="H132" s="4"/>
    </row>
    <row r="133" spans="1:8" x14ac:dyDescent="0.35">
      <c r="A133">
        <v>6</v>
      </c>
      <c r="B133">
        <v>2</v>
      </c>
      <c r="D133" s="4">
        <v>540</v>
      </c>
      <c r="E133" s="4">
        <v>1200</v>
      </c>
      <c r="F133" s="4">
        <v>4200</v>
      </c>
      <c r="G133" s="4"/>
      <c r="H133" s="4"/>
    </row>
    <row r="134" spans="1:8" x14ac:dyDescent="0.35">
      <c r="A134">
        <v>6</v>
      </c>
      <c r="B134">
        <v>3</v>
      </c>
      <c r="D134" s="4">
        <v>360</v>
      </c>
      <c r="E134" s="4">
        <v>720</v>
      </c>
      <c r="F134" s="4">
        <v>2160</v>
      </c>
      <c r="G134" s="4"/>
      <c r="H134" s="4"/>
    </row>
    <row r="135" spans="1:8" x14ac:dyDescent="0.35">
      <c r="A135">
        <v>6</v>
      </c>
      <c r="B135">
        <v>4</v>
      </c>
      <c r="D135" s="4">
        <v>1</v>
      </c>
      <c r="E135" s="4">
        <v>4</v>
      </c>
      <c r="F135" s="4">
        <v>10</v>
      </c>
      <c r="G135" s="4"/>
      <c r="H135" s="4"/>
    </row>
    <row r="136" spans="1:8" x14ac:dyDescent="0.35">
      <c r="A136">
        <v>6</v>
      </c>
      <c r="B136">
        <v>5</v>
      </c>
      <c r="D136" s="4">
        <v>720</v>
      </c>
      <c r="E136" s="4">
        <v>8640</v>
      </c>
      <c r="F136" s="4">
        <v>20200</v>
      </c>
      <c r="G136" s="4"/>
      <c r="H136" s="4"/>
    </row>
    <row r="137" spans="1:8" x14ac:dyDescent="0.35">
      <c r="A137">
        <v>6</v>
      </c>
      <c r="B137">
        <v>6</v>
      </c>
      <c r="D137" s="4">
        <v>60</v>
      </c>
      <c r="E137" s="4">
        <v>240</v>
      </c>
      <c r="F137" s="4">
        <v>480</v>
      </c>
      <c r="G137" s="4"/>
      <c r="H137" s="4"/>
    </row>
    <row r="138" spans="1:8" x14ac:dyDescent="0.35">
      <c r="A138">
        <v>6</v>
      </c>
      <c r="B138">
        <v>7</v>
      </c>
      <c r="D138" s="4">
        <v>30</v>
      </c>
      <c r="E138" s="4">
        <v>180</v>
      </c>
      <c r="F138" s="4">
        <v>360</v>
      </c>
      <c r="G138" s="4"/>
      <c r="H138" s="4"/>
    </row>
    <row r="139" spans="1:8" x14ac:dyDescent="0.35">
      <c r="A139">
        <v>6</v>
      </c>
      <c r="B139">
        <v>8</v>
      </c>
      <c r="D139" s="4">
        <v>1</v>
      </c>
      <c r="E139" s="4">
        <v>3</v>
      </c>
      <c r="F139" s="4">
        <v>15</v>
      </c>
      <c r="G139" s="4"/>
      <c r="H139" s="4"/>
    </row>
    <row r="140" spans="1:8" x14ac:dyDescent="0.35">
      <c r="A140">
        <v>6</v>
      </c>
      <c r="B140">
        <v>9</v>
      </c>
      <c r="D140" s="4">
        <v>45</v>
      </c>
      <c r="E140" s="4">
        <v>240</v>
      </c>
      <c r="F140" s="4">
        <v>480</v>
      </c>
      <c r="G140" s="4"/>
      <c r="H140" s="4"/>
    </row>
    <row r="141" spans="1:8" x14ac:dyDescent="0.35">
      <c r="A141">
        <v>6</v>
      </c>
      <c r="B141">
        <v>10</v>
      </c>
      <c r="D141" s="4">
        <v>30</v>
      </c>
      <c r="E141" s="4">
        <v>90</v>
      </c>
      <c r="F141" s="4">
        <v>360</v>
      </c>
      <c r="G141" s="4"/>
      <c r="H141" s="4"/>
    </row>
    <row r="142" spans="1:8" x14ac:dyDescent="0.35">
      <c r="A142">
        <v>6</v>
      </c>
      <c r="B142">
        <v>11</v>
      </c>
      <c r="D142" s="4">
        <v>3</v>
      </c>
      <c r="E142" s="4">
        <v>10</v>
      </c>
      <c r="F142" s="4">
        <v>30</v>
      </c>
      <c r="G142" s="4"/>
      <c r="H142" s="4"/>
    </row>
    <row r="143" spans="1:8" x14ac:dyDescent="0.35">
      <c r="A143">
        <v>6</v>
      </c>
      <c r="B143">
        <v>12</v>
      </c>
      <c r="D143" s="4">
        <v>60</v>
      </c>
      <c r="E143" s="4">
        <v>180</v>
      </c>
      <c r="F143" s="4">
        <v>1080</v>
      </c>
      <c r="G143" s="4"/>
      <c r="H143" s="4"/>
    </row>
    <row r="144" spans="1:8" x14ac:dyDescent="0.35">
      <c r="A144">
        <v>6</v>
      </c>
      <c r="B144">
        <v>13</v>
      </c>
      <c r="D144" s="4">
        <v>90</v>
      </c>
      <c r="E144" s="4">
        <v>240</v>
      </c>
      <c r="F144" s="4">
        <v>1440</v>
      </c>
      <c r="G144" s="4"/>
      <c r="H144" s="4"/>
    </row>
    <row r="145" spans="1:8" x14ac:dyDescent="0.35">
      <c r="A145">
        <v>6</v>
      </c>
      <c r="B145">
        <v>14</v>
      </c>
      <c r="D145" s="4">
        <v>1</v>
      </c>
      <c r="E145" s="4">
        <v>10</v>
      </c>
      <c r="F145" s="4">
        <v>30</v>
      </c>
      <c r="G145" s="4"/>
      <c r="H145" s="4"/>
    </row>
    <row r="146" spans="1:8" x14ac:dyDescent="0.35">
      <c r="A146">
        <v>6</v>
      </c>
      <c r="B146">
        <v>15</v>
      </c>
      <c r="D146" s="4">
        <v>50</v>
      </c>
      <c r="E146" s="4">
        <v>125</v>
      </c>
      <c r="F146" s="4">
        <v>400</v>
      </c>
      <c r="G146" s="4"/>
      <c r="H146" s="4"/>
    </row>
    <row r="147" spans="1:8" x14ac:dyDescent="0.35">
      <c r="A147">
        <v>6</v>
      </c>
      <c r="B147">
        <v>16</v>
      </c>
      <c r="D147" s="4">
        <v>60</v>
      </c>
      <c r="E147" s="4">
        <v>240</v>
      </c>
      <c r="F147" s="4">
        <v>1080</v>
      </c>
      <c r="G147" s="4"/>
      <c r="H147" s="4"/>
    </row>
    <row r="148" spans="1:8" x14ac:dyDescent="0.35">
      <c r="A148">
        <v>6</v>
      </c>
      <c r="B148">
        <v>17</v>
      </c>
      <c r="D148" s="4">
        <v>35</v>
      </c>
      <c r="E148" s="4">
        <v>250</v>
      </c>
      <c r="F148" s="4">
        <v>300</v>
      </c>
      <c r="G148" s="4"/>
      <c r="H148" s="4"/>
    </row>
    <row r="149" spans="1:8" x14ac:dyDescent="0.35">
      <c r="A149">
        <v>6</v>
      </c>
      <c r="B149">
        <v>18</v>
      </c>
      <c r="D149" s="4">
        <v>60</v>
      </c>
      <c r="E149" s="4">
        <v>240</v>
      </c>
      <c r="F149" s="4">
        <v>600</v>
      </c>
      <c r="G149" s="4"/>
      <c r="H149" s="4"/>
    </row>
    <row r="150" spans="1:8" x14ac:dyDescent="0.35">
      <c r="A150">
        <v>6</v>
      </c>
      <c r="B150">
        <v>19</v>
      </c>
      <c r="D150" s="4">
        <v>15</v>
      </c>
      <c r="E150" s="4">
        <v>100</v>
      </c>
      <c r="F150" s="4">
        <v>400</v>
      </c>
      <c r="G150" s="4"/>
      <c r="H150" s="4"/>
    </row>
    <row r="151" spans="1:8" x14ac:dyDescent="0.35">
      <c r="A151">
        <v>6</v>
      </c>
      <c r="B151">
        <v>20</v>
      </c>
      <c r="D151" s="4">
        <v>45</v>
      </c>
      <c r="E151" s="4">
        <v>120</v>
      </c>
      <c r="F151" s="4">
        <v>360</v>
      </c>
      <c r="G151" s="4"/>
      <c r="H151" s="4"/>
    </row>
    <row r="152" spans="1:8" x14ac:dyDescent="0.35">
      <c r="A152">
        <v>6</v>
      </c>
      <c r="B152">
        <v>21</v>
      </c>
      <c r="D152" s="4">
        <v>10</v>
      </c>
      <c r="E152" s="4">
        <v>150</v>
      </c>
      <c r="F152" s="4">
        <v>300</v>
      </c>
      <c r="G152" s="4"/>
      <c r="H152" s="4"/>
    </row>
    <row r="153" spans="1:8" x14ac:dyDescent="0.35">
      <c r="A153">
        <v>6</v>
      </c>
      <c r="B153">
        <v>22</v>
      </c>
      <c r="D153" s="4">
        <v>60</v>
      </c>
      <c r="E153" s="4">
        <v>240</v>
      </c>
      <c r="F153" s="4">
        <v>360</v>
      </c>
      <c r="G153" s="4"/>
      <c r="H153" s="4"/>
    </row>
    <row r="154" spans="1:8" x14ac:dyDescent="0.35">
      <c r="A154">
        <v>6</v>
      </c>
      <c r="B154">
        <v>23</v>
      </c>
      <c r="D154" s="4">
        <v>5</v>
      </c>
      <c r="E154" s="4">
        <v>100</v>
      </c>
      <c r="F154" s="4">
        <v>150</v>
      </c>
      <c r="G154" s="4"/>
      <c r="H154" s="4"/>
    </row>
    <row r="155" spans="1:8" x14ac:dyDescent="0.35">
      <c r="A155">
        <v>6</v>
      </c>
      <c r="B155">
        <v>24</v>
      </c>
      <c r="D155" s="4">
        <v>120</v>
      </c>
      <c r="E155" s="4">
        <v>240</v>
      </c>
      <c r="F155" s="4">
        <v>480</v>
      </c>
      <c r="G155" s="4"/>
      <c r="H155" s="4"/>
    </row>
    <row r="156" spans="1:8" x14ac:dyDescent="0.35">
      <c r="A156">
        <v>6</v>
      </c>
      <c r="B156">
        <v>25</v>
      </c>
      <c r="D156" s="4">
        <v>5</v>
      </c>
      <c r="E156" s="4">
        <v>100</v>
      </c>
      <c r="F156" s="4">
        <v>150</v>
      </c>
      <c r="G156" s="4"/>
      <c r="H156" s="4"/>
    </row>
    <row r="157" spans="1:8" x14ac:dyDescent="0.35">
      <c r="A157">
        <v>6</v>
      </c>
      <c r="B157">
        <v>26</v>
      </c>
      <c r="D157" s="4">
        <v>360</v>
      </c>
      <c r="E157" s="4">
        <v>1080</v>
      </c>
      <c r="F157" s="4">
        <v>2160</v>
      </c>
      <c r="G157" s="4"/>
      <c r="H157" s="4"/>
    </row>
    <row r="158" spans="1:8" x14ac:dyDescent="0.35">
      <c r="A158">
        <v>7</v>
      </c>
      <c r="B158">
        <v>1</v>
      </c>
      <c r="D158" s="4">
        <v>720</v>
      </c>
      <c r="E158" s="4">
        <v>1440</v>
      </c>
      <c r="F158" s="4">
        <v>4320</v>
      </c>
      <c r="G158" s="4"/>
      <c r="H158" s="4"/>
    </row>
    <row r="159" spans="1:8" x14ac:dyDescent="0.35">
      <c r="A159">
        <v>7</v>
      </c>
      <c r="B159">
        <v>2</v>
      </c>
      <c r="D159" s="4">
        <v>720</v>
      </c>
      <c r="E159" s="4">
        <v>1440</v>
      </c>
      <c r="F159" s="4">
        <v>4320</v>
      </c>
      <c r="G159" s="4"/>
      <c r="H159" s="4"/>
    </row>
    <row r="160" spans="1:8" x14ac:dyDescent="0.35">
      <c r="A160">
        <v>7</v>
      </c>
      <c r="B160">
        <v>3</v>
      </c>
      <c r="D160" s="4">
        <v>240</v>
      </c>
      <c r="E160" s="4">
        <v>360</v>
      </c>
      <c r="F160" s="4">
        <v>720</v>
      </c>
      <c r="G160" s="4"/>
      <c r="H160" s="4"/>
    </row>
    <row r="161" spans="1:8" x14ac:dyDescent="0.35">
      <c r="A161">
        <v>7</v>
      </c>
      <c r="B161">
        <v>4</v>
      </c>
      <c r="D161" s="4">
        <v>3</v>
      </c>
      <c r="E161" s="4">
        <v>4</v>
      </c>
      <c r="F161" s="4">
        <v>6</v>
      </c>
      <c r="G161" s="4"/>
      <c r="H161" s="4"/>
    </row>
    <row r="162" spans="1:8" x14ac:dyDescent="0.35">
      <c r="A162">
        <v>7</v>
      </c>
      <c r="B162">
        <v>5</v>
      </c>
      <c r="D162" s="4">
        <v>360</v>
      </c>
      <c r="E162" s="4">
        <v>720</v>
      </c>
      <c r="F162" s="4">
        <v>1440</v>
      </c>
      <c r="G162" s="4"/>
      <c r="H162" s="4"/>
    </row>
    <row r="163" spans="1:8" x14ac:dyDescent="0.35">
      <c r="A163">
        <v>7</v>
      </c>
      <c r="B163">
        <v>6</v>
      </c>
      <c r="D163" s="4">
        <v>180</v>
      </c>
      <c r="E163" s="4">
        <v>360</v>
      </c>
      <c r="F163" s="4">
        <v>720</v>
      </c>
      <c r="G163" s="4"/>
      <c r="H163" s="4"/>
    </row>
    <row r="164" spans="1:8" x14ac:dyDescent="0.35">
      <c r="A164">
        <v>7</v>
      </c>
      <c r="B164">
        <v>7</v>
      </c>
      <c r="D164" s="4">
        <v>720</v>
      </c>
      <c r="E164" s="4">
        <v>1440</v>
      </c>
      <c r="F164" s="4">
        <v>4320</v>
      </c>
      <c r="G164" s="4"/>
      <c r="H164" s="4"/>
    </row>
    <row r="165" spans="1:8" x14ac:dyDescent="0.35">
      <c r="A165">
        <v>7</v>
      </c>
      <c r="B165">
        <v>8</v>
      </c>
      <c r="D165" s="4">
        <v>1</v>
      </c>
      <c r="E165" s="4">
        <v>2</v>
      </c>
      <c r="F165" s="4">
        <v>3</v>
      </c>
      <c r="G165" s="4"/>
      <c r="H165" s="4"/>
    </row>
    <row r="166" spans="1:8" x14ac:dyDescent="0.35">
      <c r="A166">
        <v>7</v>
      </c>
      <c r="B166">
        <v>9</v>
      </c>
      <c r="D166" s="4">
        <v>360</v>
      </c>
      <c r="E166" s="4">
        <v>720</v>
      </c>
      <c r="F166" s="4">
        <v>1440</v>
      </c>
      <c r="G166" s="4"/>
      <c r="H166" s="4"/>
    </row>
    <row r="167" spans="1:8" x14ac:dyDescent="0.35">
      <c r="A167">
        <v>7</v>
      </c>
      <c r="B167">
        <v>10</v>
      </c>
      <c r="D167" s="4">
        <v>120</v>
      </c>
      <c r="E167" s="4">
        <v>240</v>
      </c>
      <c r="F167" s="4">
        <v>480</v>
      </c>
      <c r="G167" s="4"/>
      <c r="H167" s="4"/>
    </row>
    <row r="168" spans="1:8" x14ac:dyDescent="0.35">
      <c r="A168">
        <v>7</v>
      </c>
      <c r="B168">
        <v>11</v>
      </c>
      <c r="D168" s="4">
        <v>4</v>
      </c>
      <c r="E168" s="4">
        <v>8</v>
      </c>
      <c r="F168" s="4">
        <v>16</v>
      </c>
      <c r="G168" s="4"/>
      <c r="H168" s="4"/>
    </row>
    <row r="169" spans="1:8" x14ac:dyDescent="0.35">
      <c r="A169">
        <v>7</v>
      </c>
      <c r="B169">
        <v>12</v>
      </c>
      <c r="D169" s="4">
        <v>240</v>
      </c>
      <c r="E169" s="4">
        <v>360</v>
      </c>
      <c r="F169" s="4">
        <v>1440</v>
      </c>
      <c r="G169" s="4"/>
      <c r="H169" s="4"/>
    </row>
    <row r="170" spans="1:8" x14ac:dyDescent="0.35">
      <c r="A170">
        <v>7</v>
      </c>
      <c r="B170">
        <v>13</v>
      </c>
      <c r="D170" s="4">
        <v>120</v>
      </c>
      <c r="E170" s="4">
        <v>180</v>
      </c>
      <c r="F170" s="4">
        <v>360</v>
      </c>
      <c r="G170" s="4"/>
      <c r="H170" s="4"/>
    </row>
    <row r="171" spans="1:8" x14ac:dyDescent="0.35">
      <c r="A171">
        <v>7</v>
      </c>
      <c r="B171">
        <v>14</v>
      </c>
      <c r="D171" s="4">
        <v>4</v>
      </c>
      <c r="E171" s="4">
        <v>8</v>
      </c>
      <c r="F171" s="4">
        <v>16</v>
      </c>
      <c r="G171" s="4"/>
      <c r="H171" s="4"/>
    </row>
    <row r="172" spans="1:8" x14ac:dyDescent="0.35">
      <c r="A172">
        <v>7</v>
      </c>
      <c r="B172">
        <v>15</v>
      </c>
      <c r="D172" s="4">
        <v>10</v>
      </c>
      <c r="E172" s="4">
        <v>20</v>
      </c>
      <c r="F172" s="4">
        <v>50</v>
      </c>
      <c r="G172" s="4"/>
      <c r="H172" s="4"/>
    </row>
    <row r="173" spans="1:8" x14ac:dyDescent="0.35">
      <c r="A173">
        <v>7</v>
      </c>
      <c r="B173">
        <v>16</v>
      </c>
      <c r="D173" s="4">
        <v>60</v>
      </c>
      <c r="E173" s="4">
        <v>120</v>
      </c>
      <c r="F173" s="4">
        <v>240</v>
      </c>
      <c r="G173" s="4"/>
      <c r="H173" s="4"/>
    </row>
    <row r="174" spans="1:8" x14ac:dyDescent="0.35">
      <c r="A174">
        <v>7</v>
      </c>
      <c r="B174">
        <v>17</v>
      </c>
      <c r="D174" s="4">
        <v>20</v>
      </c>
      <c r="E174" s="4">
        <v>40</v>
      </c>
      <c r="F174" s="4">
        <v>100</v>
      </c>
      <c r="G174" s="4"/>
      <c r="H174" s="4"/>
    </row>
    <row r="175" spans="1:8" x14ac:dyDescent="0.35">
      <c r="A175">
        <v>7</v>
      </c>
      <c r="B175">
        <v>18</v>
      </c>
      <c r="D175" s="4">
        <v>30</v>
      </c>
      <c r="E175" s="4">
        <v>60</v>
      </c>
      <c r="F175" s="4">
        <v>120</v>
      </c>
      <c r="G175" s="4"/>
      <c r="H175" s="4"/>
    </row>
    <row r="176" spans="1:8" x14ac:dyDescent="0.35">
      <c r="A176">
        <v>7</v>
      </c>
      <c r="B176">
        <v>19</v>
      </c>
      <c r="D176" s="4">
        <v>10</v>
      </c>
      <c r="E176" s="4">
        <v>20</v>
      </c>
      <c r="F176" s="4">
        <v>50</v>
      </c>
      <c r="G176" s="4"/>
      <c r="H176" s="4"/>
    </row>
    <row r="177" spans="1:8" x14ac:dyDescent="0.35">
      <c r="A177">
        <v>7</v>
      </c>
      <c r="B177">
        <v>20</v>
      </c>
      <c r="D177" s="4">
        <v>30</v>
      </c>
      <c r="E177" s="4">
        <v>60</v>
      </c>
      <c r="F177" s="4">
        <v>120</v>
      </c>
      <c r="G177" s="4"/>
      <c r="H177" s="4"/>
    </row>
    <row r="178" spans="1:8" x14ac:dyDescent="0.35">
      <c r="A178">
        <v>7</v>
      </c>
      <c r="B178">
        <v>21</v>
      </c>
      <c r="D178" s="4">
        <v>15</v>
      </c>
      <c r="E178" s="4">
        <v>30</v>
      </c>
      <c r="F178" s="4">
        <v>60</v>
      </c>
      <c r="G178" s="4"/>
      <c r="H178" s="4"/>
    </row>
    <row r="179" spans="1:8" x14ac:dyDescent="0.35">
      <c r="A179">
        <v>7</v>
      </c>
      <c r="B179">
        <v>22</v>
      </c>
      <c r="D179" s="4">
        <v>60</v>
      </c>
      <c r="E179" s="4">
        <v>120</v>
      </c>
      <c r="F179" s="4">
        <v>240</v>
      </c>
      <c r="G179" s="4"/>
      <c r="H179" s="4"/>
    </row>
    <row r="180" spans="1:8" x14ac:dyDescent="0.35">
      <c r="A180">
        <v>7</v>
      </c>
      <c r="B180">
        <v>23</v>
      </c>
      <c r="D180" s="4">
        <v>10</v>
      </c>
      <c r="E180" s="4">
        <v>20</v>
      </c>
      <c r="F180" s="4">
        <v>50</v>
      </c>
      <c r="G180" s="4"/>
      <c r="H180" s="4"/>
    </row>
    <row r="181" spans="1:8" x14ac:dyDescent="0.35">
      <c r="A181">
        <v>7</v>
      </c>
      <c r="B181">
        <v>24</v>
      </c>
      <c r="D181" s="4">
        <v>60</v>
      </c>
      <c r="E181" s="4">
        <v>120</v>
      </c>
      <c r="F181" s="4">
        <v>240</v>
      </c>
      <c r="G181" s="4"/>
      <c r="H181" s="4"/>
    </row>
    <row r="182" spans="1:8" x14ac:dyDescent="0.35">
      <c r="A182">
        <v>7</v>
      </c>
      <c r="B182">
        <v>25</v>
      </c>
      <c r="D182" s="4">
        <v>25</v>
      </c>
      <c r="E182" s="4">
        <v>50</v>
      </c>
      <c r="F182" s="4">
        <v>100</v>
      </c>
      <c r="G182" s="4"/>
      <c r="H182" s="4"/>
    </row>
    <row r="183" spans="1:8" x14ac:dyDescent="0.35">
      <c r="A183">
        <v>7</v>
      </c>
      <c r="B183">
        <v>26</v>
      </c>
      <c r="D183" s="4">
        <v>60</v>
      </c>
      <c r="E183" s="4">
        <v>120</v>
      </c>
      <c r="F183" s="4">
        <v>240</v>
      </c>
      <c r="G183" s="4"/>
      <c r="H183" s="4"/>
    </row>
    <row r="184" spans="1:8" x14ac:dyDescent="0.35">
      <c r="A184">
        <v>8</v>
      </c>
      <c r="B184">
        <v>1</v>
      </c>
      <c r="D184" s="4">
        <v>1440</v>
      </c>
      <c r="E184" s="4">
        <v>4500</v>
      </c>
      <c r="F184" s="4">
        <v>9000</v>
      </c>
      <c r="G184" s="4"/>
      <c r="H184" s="4"/>
    </row>
    <row r="185" spans="1:8" x14ac:dyDescent="0.35">
      <c r="A185">
        <v>8</v>
      </c>
      <c r="B185">
        <v>2</v>
      </c>
      <c r="D185" s="4">
        <v>1500</v>
      </c>
      <c r="E185" s="4">
        <v>3900</v>
      </c>
      <c r="F185" s="4">
        <v>7800</v>
      </c>
      <c r="G185" s="4"/>
      <c r="H185" s="4"/>
    </row>
    <row r="186" spans="1:8" x14ac:dyDescent="0.35">
      <c r="A186">
        <v>8</v>
      </c>
      <c r="B186">
        <v>3</v>
      </c>
      <c r="D186" s="4">
        <v>60</v>
      </c>
      <c r="E186" s="4">
        <v>120</v>
      </c>
      <c r="F186" s="4">
        <v>240</v>
      </c>
      <c r="G186" s="4"/>
      <c r="H186" s="4"/>
    </row>
    <row r="187" spans="1:8" x14ac:dyDescent="0.35">
      <c r="A187">
        <v>8</v>
      </c>
      <c r="B187">
        <v>4</v>
      </c>
      <c r="D187" s="4">
        <v>4</v>
      </c>
      <c r="E187" s="4">
        <v>8</v>
      </c>
      <c r="F187" s="4">
        <v>16</v>
      </c>
      <c r="G187" s="4"/>
      <c r="H187" s="4"/>
    </row>
    <row r="188" spans="1:8" x14ac:dyDescent="0.35">
      <c r="A188">
        <v>8</v>
      </c>
      <c r="B188">
        <v>5</v>
      </c>
      <c r="D188" s="4">
        <v>360</v>
      </c>
      <c r="E188" s="4">
        <v>720</v>
      </c>
      <c r="F188" s="4">
        <v>1440</v>
      </c>
      <c r="G188" s="4"/>
      <c r="H188" s="4"/>
    </row>
    <row r="189" spans="1:8" x14ac:dyDescent="0.35">
      <c r="A189">
        <v>8</v>
      </c>
      <c r="B189">
        <v>6</v>
      </c>
      <c r="D189" s="4">
        <v>15</v>
      </c>
      <c r="E189" s="4">
        <v>30</v>
      </c>
      <c r="F189" s="4">
        <v>45</v>
      </c>
      <c r="G189" s="4"/>
      <c r="H189" s="4"/>
    </row>
    <row r="190" spans="1:8" x14ac:dyDescent="0.35">
      <c r="A190">
        <v>8</v>
      </c>
      <c r="B190">
        <v>7</v>
      </c>
      <c r="D190" s="4">
        <v>360</v>
      </c>
      <c r="E190" s="4">
        <v>720</v>
      </c>
      <c r="F190" s="4">
        <v>1440</v>
      </c>
      <c r="G190" s="4"/>
      <c r="H190" s="4"/>
    </row>
    <row r="191" spans="1:8" x14ac:dyDescent="0.35">
      <c r="A191">
        <v>8</v>
      </c>
      <c r="B191">
        <v>8</v>
      </c>
      <c r="D191" s="4">
        <v>2</v>
      </c>
      <c r="E191" s="4">
        <v>5</v>
      </c>
      <c r="F191" s="4">
        <v>10</v>
      </c>
      <c r="G191" s="4"/>
      <c r="H191" s="4"/>
    </row>
    <row r="192" spans="1:8" x14ac:dyDescent="0.35">
      <c r="A192">
        <v>8</v>
      </c>
      <c r="B192">
        <v>9</v>
      </c>
      <c r="D192" s="4">
        <v>360</v>
      </c>
      <c r="E192" s="4">
        <v>780</v>
      </c>
      <c r="F192" s="4">
        <v>1560</v>
      </c>
      <c r="G192" s="4"/>
      <c r="H192" s="4"/>
    </row>
    <row r="193" spans="1:8" x14ac:dyDescent="0.35">
      <c r="A193">
        <v>8</v>
      </c>
      <c r="B193">
        <v>10</v>
      </c>
      <c r="D193" s="4">
        <v>15</v>
      </c>
      <c r="E193" s="4">
        <v>30</v>
      </c>
      <c r="F193" s="4">
        <v>45</v>
      </c>
      <c r="G193" s="4"/>
      <c r="H193" s="4"/>
    </row>
    <row r="194" spans="1:8" x14ac:dyDescent="0.35">
      <c r="A194">
        <v>8</v>
      </c>
      <c r="B194">
        <v>11</v>
      </c>
      <c r="D194" s="4">
        <v>2</v>
      </c>
      <c r="E194" s="4">
        <v>5</v>
      </c>
      <c r="F194" s="4">
        <v>10</v>
      </c>
      <c r="G194" s="4"/>
      <c r="H194" s="4"/>
    </row>
    <row r="195" spans="1:8" x14ac:dyDescent="0.35">
      <c r="A195">
        <v>8</v>
      </c>
      <c r="B195">
        <v>12</v>
      </c>
      <c r="D195" s="4">
        <v>420</v>
      </c>
      <c r="E195" s="4">
        <v>1500</v>
      </c>
      <c r="F195" s="4">
        <v>3000</v>
      </c>
      <c r="G195" s="4"/>
      <c r="H195" s="4"/>
    </row>
    <row r="196" spans="1:8" x14ac:dyDescent="0.35">
      <c r="A196">
        <v>8</v>
      </c>
      <c r="B196">
        <v>13</v>
      </c>
      <c r="D196" s="4">
        <v>15</v>
      </c>
      <c r="E196" s="4">
        <v>30</v>
      </c>
      <c r="F196" s="4">
        <v>45</v>
      </c>
      <c r="G196" s="4"/>
      <c r="H196" s="4"/>
    </row>
    <row r="197" spans="1:8" x14ac:dyDescent="0.35">
      <c r="A197">
        <v>8</v>
      </c>
      <c r="B197">
        <v>14</v>
      </c>
      <c r="D197" s="4">
        <v>5</v>
      </c>
      <c r="E197" s="4">
        <v>10</v>
      </c>
      <c r="F197" s="4">
        <v>20</v>
      </c>
      <c r="G197" s="4"/>
      <c r="H197" s="4"/>
    </row>
    <row r="198" spans="1:8" x14ac:dyDescent="0.35">
      <c r="A198">
        <v>8</v>
      </c>
      <c r="B198">
        <v>15</v>
      </c>
      <c r="D198" s="4">
        <v>10</v>
      </c>
      <c r="E198" s="4">
        <v>50</v>
      </c>
      <c r="F198" s="4">
        <v>100</v>
      </c>
      <c r="G198" s="4"/>
      <c r="H198" s="4"/>
    </row>
    <row r="199" spans="1:8" x14ac:dyDescent="0.35">
      <c r="A199">
        <v>8</v>
      </c>
      <c r="B199">
        <v>16</v>
      </c>
      <c r="D199" s="4">
        <v>720</v>
      </c>
      <c r="E199" s="4">
        <v>1440</v>
      </c>
      <c r="F199" s="4">
        <v>2880</v>
      </c>
      <c r="G199" s="4"/>
      <c r="H199" s="4"/>
    </row>
    <row r="200" spans="1:8" x14ac:dyDescent="0.35">
      <c r="A200">
        <v>8</v>
      </c>
      <c r="B200">
        <v>17</v>
      </c>
      <c r="D200" s="4">
        <v>50</v>
      </c>
      <c r="E200" s="4">
        <v>100</v>
      </c>
      <c r="F200" s="4">
        <v>150</v>
      </c>
      <c r="G200" s="4"/>
      <c r="H200" s="4"/>
    </row>
    <row r="201" spans="1:8" x14ac:dyDescent="0.35">
      <c r="A201">
        <v>8</v>
      </c>
      <c r="B201">
        <v>18</v>
      </c>
      <c r="D201" s="4">
        <v>720</v>
      </c>
      <c r="E201" s="4">
        <v>1440</v>
      </c>
      <c r="F201" s="4">
        <v>9000</v>
      </c>
      <c r="G201" s="4"/>
      <c r="H201" s="4"/>
    </row>
    <row r="202" spans="1:8" x14ac:dyDescent="0.35">
      <c r="A202">
        <v>8</v>
      </c>
      <c r="B202">
        <v>19</v>
      </c>
      <c r="D202" s="4">
        <v>25</v>
      </c>
      <c r="E202" s="4">
        <v>50</v>
      </c>
      <c r="F202" s="4">
        <v>100</v>
      </c>
      <c r="G202" s="4"/>
      <c r="H202" s="4"/>
    </row>
    <row r="203" spans="1:8" x14ac:dyDescent="0.35">
      <c r="A203">
        <v>8</v>
      </c>
      <c r="B203">
        <v>20</v>
      </c>
      <c r="D203" s="4">
        <v>360</v>
      </c>
      <c r="E203" s="4">
        <v>720</v>
      </c>
      <c r="F203" s="4">
        <v>1440</v>
      </c>
      <c r="G203" s="4"/>
      <c r="H203" s="4"/>
    </row>
    <row r="204" spans="1:8" x14ac:dyDescent="0.35">
      <c r="A204">
        <v>8</v>
      </c>
      <c r="B204">
        <v>21</v>
      </c>
      <c r="D204" s="4">
        <v>25</v>
      </c>
      <c r="E204" s="4">
        <v>75</v>
      </c>
      <c r="F204" s="4">
        <v>150</v>
      </c>
      <c r="G204" s="4"/>
      <c r="H204" s="4"/>
    </row>
    <row r="205" spans="1:8" x14ac:dyDescent="0.35">
      <c r="A205">
        <v>8</v>
      </c>
      <c r="B205">
        <v>22</v>
      </c>
      <c r="D205" s="4">
        <v>360</v>
      </c>
      <c r="E205" s="4">
        <v>720</v>
      </c>
      <c r="F205" s="4">
        <v>1440</v>
      </c>
      <c r="G205" s="4"/>
      <c r="H205" s="4"/>
    </row>
    <row r="206" spans="1:8" x14ac:dyDescent="0.35">
      <c r="A206">
        <v>8</v>
      </c>
      <c r="B206">
        <v>23</v>
      </c>
      <c r="D206" s="4">
        <v>5</v>
      </c>
      <c r="E206" s="4">
        <v>25</v>
      </c>
      <c r="F206" s="4">
        <v>50</v>
      </c>
      <c r="G206" s="4"/>
      <c r="H206" s="4"/>
    </row>
    <row r="207" spans="1:8" x14ac:dyDescent="0.35">
      <c r="A207">
        <v>8</v>
      </c>
      <c r="B207">
        <v>24</v>
      </c>
      <c r="D207" s="4">
        <v>360</v>
      </c>
      <c r="E207" s="4">
        <v>720</v>
      </c>
      <c r="F207" s="4">
        <v>1440</v>
      </c>
      <c r="G207" s="4"/>
      <c r="H207" s="4"/>
    </row>
    <row r="208" spans="1:8" x14ac:dyDescent="0.35">
      <c r="A208">
        <v>8</v>
      </c>
      <c r="B208">
        <v>25</v>
      </c>
      <c r="D208" s="4">
        <v>1</v>
      </c>
      <c r="E208" s="4">
        <v>3</v>
      </c>
      <c r="F208" s="4">
        <v>5</v>
      </c>
      <c r="G208" s="4"/>
      <c r="H208" s="4"/>
    </row>
    <row r="209" spans="1:8" x14ac:dyDescent="0.35">
      <c r="A209">
        <v>8</v>
      </c>
      <c r="B209">
        <v>26</v>
      </c>
      <c r="D209" s="4">
        <v>2880</v>
      </c>
      <c r="E209" s="4">
        <v>7200</v>
      </c>
      <c r="F209" s="4">
        <v>10100</v>
      </c>
      <c r="G209" s="4"/>
      <c r="H209" s="4"/>
    </row>
    <row r="210" spans="1:8" x14ac:dyDescent="0.35">
      <c r="A210">
        <v>9</v>
      </c>
      <c r="B210">
        <v>1</v>
      </c>
      <c r="D210" s="4">
        <v>60</v>
      </c>
      <c r="E210" s="4">
        <v>1440</v>
      </c>
      <c r="F210" s="4">
        <v>4320</v>
      </c>
      <c r="G210" s="4"/>
      <c r="H210" s="4"/>
    </row>
    <row r="211" spans="1:8" x14ac:dyDescent="0.35">
      <c r="A211">
        <v>9</v>
      </c>
      <c r="B211">
        <v>2</v>
      </c>
      <c r="D211" s="4">
        <v>60</v>
      </c>
      <c r="E211" s="4">
        <v>720</v>
      </c>
      <c r="F211" s="4">
        <v>1440</v>
      </c>
      <c r="G211" s="4"/>
      <c r="H211" s="4"/>
    </row>
    <row r="212" spans="1:8" x14ac:dyDescent="0.35">
      <c r="A212">
        <v>9</v>
      </c>
      <c r="B212">
        <v>3</v>
      </c>
      <c r="D212" s="4">
        <v>30</v>
      </c>
      <c r="E212" s="4">
        <v>240</v>
      </c>
      <c r="F212" s="4">
        <v>720</v>
      </c>
      <c r="G212" s="4"/>
      <c r="H212" s="4"/>
    </row>
    <row r="213" spans="1:8" x14ac:dyDescent="0.35">
      <c r="A213">
        <v>9</v>
      </c>
      <c r="B213">
        <v>4</v>
      </c>
      <c r="D213" s="4">
        <v>1</v>
      </c>
      <c r="E213" s="4">
        <v>3</v>
      </c>
      <c r="F213" s="4">
        <v>6</v>
      </c>
      <c r="G213" s="4"/>
      <c r="H213" s="4"/>
    </row>
    <row r="214" spans="1:8" x14ac:dyDescent="0.35">
      <c r="A214">
        <v>9</v>
      </c>
      <c r="B214">
        <v>5</v>
      </c>
      <c r="D214" s="4">
        <v>10</v>
      </c>
      <c r="E214" s="4">
        <v>60</v>
      </c>
      <c r="F214" s="4">
        <v>240</v>
      </c>
      <c r="G214" s="4"/>
      <c r="H214" s="4"/>
    </row>
    <row r="215" spans="1:8" x14ac:dyDescent="0.35">
      <c r="A215">
        <v>9</v>
      </c>
      <c r="B215">
        <v>6</v>
      </c>
      <c r="D215" s="4">
        <v>30</v>
      </c>
      <c r="E215" s="4">
        <v>60</v>
      </c>
      <c r="F215" s="4">
        <v>180</v>
      </c>
      <c r="G215" s="4"/>
      <c r="H215" s="4"/>
    </row>
    <row r="216" spans="1:8" x14ac:dyDescent="0.35">
      <c r="A216">
        <v>9</v>
      </c>
      <c r="B216">
        <v>7</v>
      </c>
      <c r="D216" s="4">
        <v>60</v>
      </c>
      <c r="E216" s="4">
        <v>360</v>
      </c>
      <c r="F216" s="4">
        <v>720</v>
      </c>
      <c r="G216" s="4"/>
      <c r="H216" s="4"/>
    </row>
    <row r="217" spans="1:8" x14ac:dyDescent="0.35">
      <c r="A217">
        <v>9</v>
      </c>
      <c r="B217">
        <v>8</v>
      </c>
      <c r="D217" s="4">
        <v>1</v>
      </c>
      <c r="E217" s="4">
        <v>4</v>
      </c>
      <c r="F217" s="4">
        <v>10</v>
      </c>
      <c r="G217" s="4"/>
      <c r="H217" s="4"/>
    </row>
    <row r="218" spans="1:8" x14ac:dyDescent="0.35">
      <c r="A218">
        <v>9</v>
      </c>
      <c r="B218">
        <v>9</v>
      </c>
      <c r="D218" s="4">
        <v>15</v>
      </c>
      <c r="E218" s="4">
        <v>60</v>
      </c>
      <c r="F218" s="4">
        <v>180</v>
      </c>
      <c r="G218" s="4"/>
      <c r="H218" s="4"/>
    </row>
    <row r="219" spans="1:8" x14ac:dyDescent="0.35">
      <c r="A219">
        <v>9</v>
      </c>
      <c r="B219">
        <v>10</v>
      </c>
      <c r="D219" s="4">
        <v>15</v>
      </c>
      <c r="E219" s="4">
        <v>60</v>
      </c>
      <c r="F219" s="4">
        <v>120</v>
      </c>
      <c r="G219" s="4"/>
      <c r="H219" s="4"/>
    </row>
    <row r="220" spans="1:8" x14ac:dyDescent="0.35">
      <c r="A220">
        <v>9</v>
      </c>
      <c r="B220">
        <v>11</v>
      </c>
      <c r="D220" s="4">
        <v>1</v>
      </c>
      <c r="E220" s="4">
        <v>3</v>
      </c>
      <c r="F220" s="4">
        <v>5</v>
      </c>
      <c r="G220" s="4"/>
      <c r="H220" s="4"/>
    </row>
    <row r="221" spans="1:8" x14ac:dyDescent="0.35">
      <c r="A221">
        <v>9</v>
      </c>
      <c r="B221">
        <v>12</v>
      </c>
      <c r="D221" s="4">
        <v>60</v>
      </c>
      <c r="E221" s="4">
        <v>180</v>
      </c>
      <c r="F221" s="4">
        <v>360</v>
      </c>
      <c r="G221" s="4"/>
      <c r="H221" s="4"/>
    </row>
    <row r="222" spans="1:8" x14ac:dyDescent="0.35">
      <c r="A222">
        <v>9</v>
      </c>
      <c r="B222">
        <v>13</v>
      </c>
      <c r="D222" s="4">
        <v>30</v>
      </c>
      <c r="E222" s="4">
        <v>60</v>
      </c>
      <c r="F222" s="4">
        <v>120</v>
      </c>
      <c r="G222" s="4"/>
      <c r="H222" s="4"/>
    </row>
    <row r="223" spans="1:8" x14ac:dyDescent="0.35">
      <c r="A223">
        <v>9</v>
      </c>
      <c r="B223">
        <v>14</v>
      </c>
      <c r="D223" s="4">
        <v>1</v>
      </c>
      <c r="E223" s="4">
        <v>3</v>
      </c>
      <c r="F223" s="4">
        <v>5</v>
      </c>
      <c r="G223" s="4"/>
      <c r="H223" s="4"/>
    </row>
    <row r="224" spans="1:8" x14ac:dyDescent="0.35">
      <c r="A224">
        <v>9</v>
      </c>
      <c r="B224">
        <v>15</v>
      </c>
      <c r="D224" s="4">
        <v>1</v>
      </c>
      <c r="E224" s="4">
        <v>5</v>
      </c>
      <c r="F224" s="4">
        <v>10</v>
      </c>
      <c r="G224" s="4"/>
      <c r="H224" s="4"/>
    </row>
    <row r="225" spans="1:8" x14ac:dyDescent="0.35">
      <c r="A225">
        <v>9</v>
      </c>
      <c r="B225">
        <v>16</v>
      </c>
      <c r="D225" s="4">
        <v>15</v>
      </c>
      <c r="E225" s="4">
        <v>60</v>
      </c>
      <c r="F225" s="4">
        <v>360</v>
      </c>
      <c r="G225" s="4"/>
      <c r="H225" s="4"/>
    </row>
    <row r="226" spans="1:8" x14ac:dyDescent="0.35">
      <c r="A226">
        <v>9</v>
      </c>
      <c r="B226">
        <v>17</v>
      </c>
      <c r="D226" s="4">
        <v>5</v>
      </c>
      <c r="E226" s="4">
        <v>10</v>
      </c>
      <c r="F226" s="4">
        <v>20</v>
      </c>
      <c r="G226" s="4"/>
      <c r="H226" s="4"/>
    </row>
    <row r="227" spans="1:8" x14ac:dyDescent="0.35">
      <c r="A227">
        <v>9</v>
      </c>
      <c r="B227">
        <v>18</v>
      </c>
      <c r="D227" s="4">
        <v>60</v>
      </c>
      <c r="E227" s="4">
        <v>360</v>
      </c>
      <c r="F227" s="4">
        <v>720</v>
      </c>
      <c r="G227" s="4"/>
      <c r="H227" s="4"/>
    </row>
    <row r="228" spans="1:8" x14ac:dyDescent="0.35">
      <c r="A228">
        <v>9</v>
      </c>
      <c r="B228">
        <v>19</v>
      </c>
      <c r="D228" s="4">
        <v>1</v>
      </c>
      <c r="E228" s="4">
        <v>3</v>
      </c>
      <c r="F228" s="4">
        <v>5</v>
      </c>
      <c r="G228" s="4"/>
      <c r="H228" s="4"/>
    </row>
    <row r="229" spans="1:8" x14ac:dyDescent="0.35">
      <c r="A229">
        <v>9</v>
      </c>
      <c r="B229">
        <v>20</v>
      </c>
      <c r="D229" s="4">
        <v>15</v>
      </c>
      <c r="E229" s="4">
        <v>60</v>
      </c>
      <c r="F229" s="4">
        <v>180</v>
      </c>
      <c r="G229" s="4"/>
      <c r="H229" s="4"/>
    </row>
    <row r="230" spans="1:8" x14ac:dyDescent="0.35">
      <c r="A230">
        <v>9</v>
      </c>
      <c r="B230">
        <v>21</v>
      </c>
      <c r="D230" s="4">
        <v>10</v>
      </c>
      <c r="E230" s="4">
        <v>20</v>
      </c>
      <c r="F230" s="4">
        <v>50</v>
      </c>
      <c r="G230" s="4"/>
      <c r="H230" s="4"/>
    </row>
    <row r="231" spans="1:8" x14ac:dyDescent="0.35">
      <c r="A231">
        <v>9</v>
      </c>
      <c r="B231">
        <v>22</v>
      </c>
      <c r="D231" s="4">
        <v>180</v>
      </c>
      <c r="E231" s="4">
        <v>720</v>
      </c>
      <c r="F231" s="4">
        <v>2160</v>
      </c>
      <c r="G231" s="4"/>
      <c r="H231" s="4"/>
    </row>
    <row r="232" spans="1:8" x14ac:dyDescent="0.35">
      <c r="A232">
        <v>9</v>
      </c>
      <c r="B232">
        <v>23</v>
      </c>
      <c r="D232" s="4">
        <v>1</v>
      </c>
      <c r="E232" s="4">
        <v>3</v>
      </c>
      <c r="F232" s="4">
        <v>5</v>
      </c>
      <c r="G232" s="4"/>
      <c r="H232" s="4"/>
    </row>
    <row r="233" spans="1:8" x14ac:dyDescent="0.35">
      <c r="A233">
        <v>9</v>
      </c>
      <c r="B233">
        <v>24</v>
      </c>
      <c r="D233" s="4">
        <v>15</v>
      </c>
      <c r="E233" s="4">
        <v>60</v>
      </c>
      <c r="F233" s="4">
        <v>180</v>
      </c>
      <c r="G233" s="4"/>
      <c r="H233" s="4"/>
    </row>
    <row r="234" spans="1:8" x14ac:dyDescent="0.35">
      <c r="A234">
        <v>9</v>
      </c>
      <c r="B234">
        <v>25</v>
      </c>
      <c r="D234" s="4">
        <v>1</v>
      </c>
      <c r="E234" s="4">
        <v>3</v>
      </c>
      <c r="F234" s="4">
        <v>5</v>
      </c>
      <c r="G234" s="4"/>
      <c r="H234" s="4"/>
    </row>
    <row r="235" spans="1:8" x14ac:dyDescent="0.35">
      <c r="A235">
        <v>9</v>
      </c>
      <c r="B235">
        <v>26</v>
      </c>
      <c r="D235" s="4">
        <v>15</v>
      </c>
      <c r="E235" s="4">
        <v>60</v>
      </c>
      <c r="F235" s="4">
        <v>180</v>
      </c>
      <c r="G235" s="4"/>
      <c r="H235" s="4"/>
    </row>
    <row r="236" spans="1:8" x14ac:dyDescent="0.35">
      <c r="A236">
        <v>10</v>
      </c>
      <c r="B236">
        <v>1</v>
      </c>
      <c r="D236" s="4">
        <v>720</v>
      </c>
      <c r="E236" s="4">
        <v>1440</v>
      </c>
      <c r="F236" s="4">
        <v>2880</v>
      </c>
      <c r="G236" s="4"/>
      <c r="H236" s="4"/>
    </row>
    <row r="237" spans="1:8" x14ac:dyDescent="0.35">
      <c r="A237">
        <v>10</v>
      </c>
      <c r="B237">
        <v>2</v>
      </c>
      <c r="D237" s="4">
        <v>180</v>
      </c>
      <c r="E237" s="4">
        <v>720</v>
      </c>
      <c r="F237" s="4">
        <v>1440</v>
      </c>
      <c r="G237" s="4"/>
      <c r="H237" s="4"/>
    </row>
    <row r="238" spans="1:8" x14ac:dyDescent="0.35">
      <c r="A238">
        <v>10</v>
      </c>
      <c r="B238">
        <v>3</v>
      </c>
      <c r="D238" s="4">
        <v>60</v>
      </c>
      <c r="E238" s="4">
        <v>480</v>
      </c>
      <c r="F238" s="4">
        <v>1440</v>
      </c>
      <c r="G238" s="4"/>
      <c r="H238" s="4"/>
    </row>
    <row r="239" spans="1:8" x14ac:dyDescent="0.35">
      <c r="A239">
        <v>10</v>
      </c>
      <c r="B239">
        <v>4</v>
      </c>
      <c r="D239" s="4">
        <v>1</v>
      </c>
      <c r="E239" s="4">
        <v>6</v>
      </c>
      <c r="F239" s="4">
        <v>10</v>
      </c>
      <c r="G239" s="4"/>
      <c r="H239" s="4"/>
    </row>
    <row r="240" spans="1:8" x14ac:dyDescent="0.35">
      <c r="A240">
        <v>10</v>
      </c>
      <c r="B240">
        <v>5</v>
      </c>
      <c r="D240" s="4">
        <v>720</v>
      </c>
      <c r="E240" s="4">
        <v>1440</v>
      </c>
      <c r="F240" s="4">
        <v>4320</v>
      </c>
      <c r="G240" s="4"/>
      <c r="H240" s="4"/>
    </row>
    <row r="241" spans="1:8" x14ac:dyDescent="0.35">
      <c r="A241">
        <v>10</v>
      </c>
      <c r="B241">
        <v>6</v>
      </c>
      <c r="D241" s="4">
        <v>1440</v>
      </c>
      <c r="E241" s="4">
        <v>2160</v>
      </c>
      <c r="F241" s="4">
        <v>2880</v>
      </c>
      <c r="G241" s="4"/>
      <c r="H241" s="4"/>
    </row>
    <row r="242" spans="1:8" x14ac:dyDescent="0.35">
      <c r="A242">
        <v>10</v>
      </c>
      <c r="B242">
        <v>7</v>
      </c>
      <c r="D242" s="4">
        <v>180</v>
      </c>
      <c r="E242" s="4">
        <v>720</v>
      </c>
      <c r="F242" s="4">
        <v>1440</v>
      </c>
      <c r="G242" s="4"/>
      <c r="H242" s="4"/>
    </row>
    <row r="243" spans="1:8" x14ac:dyDescent="0.35">
      <c r="A243">
        <v>10</v>
      </c>
      <c r="B243">
        <v>8</v>
      </c>
      <c r="D243" s="4">
        <v>3</v>
      </c>
      <c r="E243" s="4">
        <v>10</v>
      </c>
      <c r="F243" s="4">
        <v>20</v>
      </c>
      <c r="G243" s="4"/>
      <c r="H243" s="4"/>
    </row>
    <row r="244" spans="1:8" x14ac:dyDescent="0.35">
      <c r="A244">
        <v>10</v>
      </c>
      <c r="B244">
        <v>9</v>
      </c>
      <c r="D244" s="4">
        <v>360</v>
      </c>
      <c r="E244" s="4">
        <v>1440</v>
      </c>
      <c r="F244" s="4">
        <v>4320</v>
      </c>
      <c r="G244" s="4"/>
      <c r="H244" s="4"/>
    </row>
    <row r="245" spans="1:8" x14ac:dyDescent="0.35">
      <c r="A245">
        <v>10</v>
      </c>
      <c r="B245">
        <v>10</v>
      </c>
      <c r="D245" s="4">
        <v>180</v>
      </c>
      <c r="E245" s="4">
        <v>720</v>
      </c>
      <c r="F245" s="4">
        <v>1440</v>
      </c>
      <c r="G245" s="4"/>
      <c r="H245" s="4"/>
    </row>
    <row r="246" spans="1:8" x14ac:dyDescent="0.35">
      <c r="A246">
        <v>10</v>
      </c>
      <c r="B246">
        <v>11</v>
      </c>
      <c r="D246" s="4">
        <v>1</v>
      </c>
      <c r="E246" s="4">
        <v>5</v>
      </c>
      <c r="F246" s="4">
        <v>10</v>
      </c>
      <c r="G246" s="4"/>
      <c r="H246" s="4"/>
    </row>
    <row r="247" spans="1:8" x14ac:dyDescent="0.35">
      <c r="A247">
        <v>10</v>
      </c>
      <c r="B247">
        <v>12</v>
      </c>
      <c r="D247" s="4">
        <v>30</v>
      </c>
      <c r="E247" s="4">
        <v>360</v>
      </c>
      <c r="F247" s="4">
        <v>720</v>
      </c>
      <c r="G247" s="4"/>
      <c r="H247" s="4"/>
    </row>
    <row r="248" spans="1:8" x14ac:dyDescent="0.35">
      <c r="A248">
        <v>10</v>
      </c>
      <c r="B248">
        <v>13</v>
      </c>
      <c r="D248" s="4">
        <v>60</v>
      </c>
      <c r="E248" s="4">
        <v>360</v>
      </c>
      <c r="F248" s="4">
        <v>600</v>
      </c>
      <c r="G248" s="4"/>
      <c r="H248" s="4"/>
    </row>
    <row r="249" spans="1:8" x14ac:dyDescent="0.35">
      <c r="A249">
        <v>10</v>
      </c>
      <c r="B249">
        <v>14</v>
      </c>
      <c r="D249" s="4">
        <v>1</v>
      </c>
      <c r="E249" s="4">
        <v>3</v>
      </c>
      <c r="F249" s="4">
        <v>8</v>
      </c>
      <c r="G249" s="4"/>
      <c r="H249" s="4"/>
    </row>
    <row r="250" spans="1:8" x14ac:dyDescent="0.35">
      <c r="A250">
        <v>10</v>
      </c>
      <c r="B250">
        <v>15</v>
      </c>
      <c r="D250" s="4">
        <v>3</v>
      </c>
      <c r="E250" s="4">
        <v>10</v>
      </c>
      <c r="F250" s="4">
        <v>20</v>
      </c>
      <c r="G250" s="4"/>
      <c r="H250" s="4"/>
    </row>
    <row r="251" spans="1:8" x14ac:dyDescent="0.35">
      <c r="A251">
        <v>10</v>
      </c>
      <c r="B251">
        <v>16</v>
      </c>
      <c r="D251" s="4">
        <v>30</v>
      </c>
      <c r="E251" s="4">
        <v>180</v>
      </c>
      <c r="F251" s="4">
        <v>720</v>
      </c>
      <c r="G251" s="4"/>
      <c r="H251" s="4"/>
    </row>
    <row r="252" spans="1:8" x14ac:dyDescent="0.35">
      <c r="A252">
        <v>10</v>
      </c>
      <c r="B252">
        <v>17</v>
      </c>
      <c r="D252" s="4">
        <v>3</v>
      </c>
      <c r="E252" s="4">
        <v>10</v>
      </c>
      <c r="F252" s="4">
        <v>20</v>
      </c>
      <c r="G252" s="4"/>
      <c r="H252" s="4"/>
    </row>
    <row r="253" spans="1:8" x14ac:dyDescent="0.35">
      <c r="A253">
        <v>10</v>
      </c>
      <c r="B253">
        <v>18</v>
      </c>
      <c r="D253" s="4">
        <v>30</v>
      </c>
      <c r="E253" s="4">
        <v>180</v>
      </c>
      <c r="F253" s="4">
        <v>720</v>
      </c>
      <c r="G253" s="4"/>
      <c r="H253" s="4"/>
    </row>
    <row r="254" spans="1:8" x14ac:dyDescent="0.35">
      <c r="A254">
        <v>10</v>
      </c>
      <c r="B254">
        <v>19</v>
      </c>
      <c r="D254" s="4">
        <v>1</v>
      </c>
      <c r="E254" s="4">
        <v>10</v>
      </c>
      <c r="F254" s="4">
        <v>15</v>
      </c>
      <c r="G254" s="4"/>
      <c r="H254" s="4"/>
    </row>
    <row r="255" spans="1:8" x14ac:dyDescent="0.35">
      <c r="A255">
        <v>10</v>
      </c>
      <c r="B255">
        <v>20</v>
      </c>
      <c r="D255" s="4">
        <v>30</v>
      </c>
      <c r="E255" s="4">
        <v>300</v>
      </c>
      <c r="F255" s="4">
        <v>1440</v>
      </c>
      <c r="G255" s="4"/>
      <c r="H255" s="4"/>
    </row>
    <row r="256" spans="1:8" x14ac:dyDescent="0.35">
      <c r="A256">
        <v>10</v>
      </c>
      <c r="B256">
        <v>21</v>
      </c>
      <c r="D256" s="4">
        <v>1</v>
      </c>
      <c r="E256" s="4">
        <v>10</v>
      </c>
      <c r="F256" s="4">
        <v>15</v>
      </c>
      <c r="G256" s="4"/>
      <c r="H256" s="4"/>
    </row>
    <row r="257" spans="1:8" x14ac:dyDescent="0.35">
      <c r="A257">
        <v>10</v>
      </c>
      <c r="B257">
        <v>22</v>
      </c>
      <c r="D257" s="4">
        <v>30</v>
      </c>
      <c r="E257" s="4">
        <v>300</v>
      </c>
      <c r="F257" s="4">
        <v>1440</v>
      </c>
      <c r="G257" s="4"/>
      <c r="H257" s="4"/>
    </row>
    <row r="258" spans="1:8" x14ac:dyDescent="0.35">
      <c r="A258">
        <v>10</v>
      </c>
      <c r="B258">
        <v>23</v>
      </c>
      <c r="D258" s="4">
        <v>1</v>
      </c>
      <c r="E258" s="4">
        <v>10</v>
      </c>
      <c r="F258" s="4">
        <v>15</v>
      </c>
      <c r="G258" s="4"/>
      <c r="H258" s="4"/>
    </row>
    <row r="259" spans="1:8" x14ac:dyDescent="0.35">
      <c r="A259">
        <v>10</v>
      </c>
      <c r="B259">
        <v>24</v>
      </c>
      <c r="D259" s="4">
        <v>30</v>
      </c>
      <c r="E259" s="4">
        <v>300</v>
      </c>
      <c r="F259" s="4">
        <v>1440</v>
      </c>
      <c r="G259" s="4"/>
      <c r="H259" s="4"/>
    </row>
    <row r="260" spans="1:8" x14ac:dyDescent="0.35">
      <c r="A260">
        <v>10</v>
      </c>
      <c r="B260">
        <v>25</v>
      </c>
      <c r="D260" s="4">
        <v>10</v>
      </c>
      <c r="E260" s="4">
        <v>20</v>
      </c>
      <c r="F260" s="4">
        <v>50</v>
      </c>
      <c r="G260" s="4"/>
      <c r="H260" s="4"/>
    </row>
    <row r="261" spans="1:8" x14ac:dyDescent="0.35">
      <c r="A261">
        <v>10</v>
      </c>
      <c r="B261">
        <v>26</v>
      </c>
      <c r="D261" s="4">
        <v>720</v>
      </c>
      <c r="E261" s="4">
        <v>4320</v>
      </c>
      <c r="F261" s="4">
        <v>7200</v>
      </c>
      <c r="G261" s="4"/>
      <c r="H261" s="4"/>
    </row>
    <row r="262" spans="1:8" x14ac:dyDescent="0.35">
      <c r="A262">
        <v>11</v>
      </c>
      <c r="B262">
        <v>1</v>
      </c>
      <c r="D262" s="4">
        <v>2880</v>
      </c>
      <c r="E262" s="4">
        <v>8640</v>
      </c>
      <c r="F262" s="4">
        <v>28800</v>
      </c>
      <c r="G262" s="4"/>
      <c r="H262" s="4"/>
    </row>
    <row r="263" spans="1:8" x14ac:dyDescent="0.35">
      <c r="A263">
        <v>11</v>
      </c>
      <c r="B263">
        <v>2</v>
      </c>
      <c r="D263" s="4">
        <v>7200</v>
      </c>
      <c r="E263" s="4">
        <v>14400</v>
      </c>
      <c r="F263" s="4">
        <v>28800</v>
      </c>
      <c r="G263" s="4"/>
      <c r="H263" s="4"/>
    </row>
    <row r="264" spans="1:8" x14ac:dyDescent="0.35">
      <c r="A264">
        <v>11</v>
      </c>
      <c r="B264">
        <v>3</v>
      </c>
      <c r="D264" s="4">
        <v>2880</v>
      </c>
      <c r="E264" s="4">
        <v>7200</v>
      </c>
      <c r="F264" s="4">
        <v>14400</v>
      </c>
      <c r="G264" s="4"/>
      <c r="H264" s="4"/>
    </row>
    <row r="265" spans="1:8" x14ac:dyDescent="0.35">
      <c r="A265">
        <v>11</v>
      </c>
      <c r="B265">
        <v>4</v>
      </c>
      <c r="D265" s="4">
        <v>10</v>
      </c>
      <c r="E265" s="4">
        <v>25</v>
      </c>
      <c r="F265" s="4">
        <v>30</v>
      </c>
      <c r="G265" s="4"/>
      <c r="H265" s="4"/>
    </row>
    <row r="266" spans="1:8" x14ac:dyDescent="0.35">
      <c r="A266">
        <v>11</v>
      </c>
      <c r="B266">
        <v>5</v>
      </c>
      <c r="D266" s="4">
        <v>2880</v>
      </c>
      <c r="E266" s="4">
        <v>7200</v>
      </c>
      <c r="F266" s="4">
        <v>14400</v>
      </c>
      <c r="G266" s="4"/>
      <c r="H266" s="4"/>
    </row>
    <row r="267" spans="1:8" x14ac:dyDescent="0.35">
      <c r="A267">
        <v>11</v>
      </c>
      <c r="B267">
        <v>6</v>
      </c>
      <c r="D267" s="4">
        <v>1440</v>
      </c>
      <c r="E267" s="4">
        <v>2880</v>
      </c>
      <c r="F267" s="4">
        <v>5760</v>
      </c>
      <c r="G267" s="4"/>
      <c r="H267" s="4"/>
    </row>
    <row r="268" spans="1:8" x14ac:dyDescent="0.35">
      <c r="A268">
        <v>11</v>
      </c>
      <c r="B268">
        <v>7</v>
      </c>
      <c r="D268" s="4">
        <v>1440</v>
      </c>
      <c r="E268" s="4">
        <v>4320</v>
      </c>
      <c r="F268" s="4">
        <v>14400</v>
      </c>
      <c r="G268" s="4"/>
      <c r="H268" s="4"/>
    </row>
    <row r="269" spans="1:8" x14ac:dyDescent="0.35">
      <c r="A269">
        <v>11</v>
      </c>
      <c r="B269">
        <v>8</v>
      </c>
      <c r="D269" s="4">
        <v>1</v>
      </c>
      <c r="E269" s="4">
        <v>3</v>
      </c>
      <c r="F269" s="4">
        <v>6</v>
      </c>
      <c r="G269" s="4"/>
      <c r="H269" s="4"/>
    </row>
    <row r="270" spans="1:8" x14ac:dyDescent="0.35">
      <c r="A270">
        <v>11</v>
      </c>
      <c r="B270">
        <v>9</v>
      </c>
      <c r="D270" s="4">
        <v>1440</v>
      </c>
      <c r="E270" s="4">
        <v>10100</v>
      </c>
      <c r="F270" s="4">
        <v>28800</v>
      </c>
      <c r="G270" s="4"/>
      <c r="H270" s="4"/>
    </row>
    <row r="271" spans="1:8" x14ac:dyDescent="0.35">
      <c r="A271">
        <v>11</v>
      </c>
      <c r="B271">
        <v>10</v>
      </c>
      <c r="D271" s="4">
        <v>720</v>
      </c>
      <c r="E271" s="4">
        <v>2880</v>
      </c>
      <c r="F271" s="4">
        <v>7200</v>
      </c>
      <c r="G271" s="4"/>
      <c r="H271" s="4"/>
    </row>
    <row r="272" spans="1:8" x14ac:dyDescent="0.35">
      <c r="A272">
        <v>11</v>
      </c>
      <c r="B272">
        <v>11</v>
      </c>
      <c r="D272" s="4">
        <v>5</v>
      </c>
      <c r="E272" s="4">
        <v>10</v>
      </c>
      <c r="F272" s="4">
        <v>25</v>
      </c>
      <c r="G272" s="4"/>
      <c r="H272" s="4"/>
    </row>
    <row r="273" spans="1:8" x14ac:dyDescent="0.35">
      <c r="A273">
        <v>11</v>
      </c>
      <c r="B273">
        <v>12</v>
      </c>
      <c r="D273" s="4">
        <v>288</v>
      </c>
      <c r="E273" s="4">
        <v>1440</v>
      </c>
      <c r="F273" s="4">
        <v>5760</v>
      </c>
      <c r="G273" s="4"/>
      <c r="H273" s="4"/>
    </row>
    <row r="274" spans="1:8" x14ac:dyDescent="0.35">
      <c r="A274">
        <v>11</v>
      </c>
      <c r="B274">
        <v>13</v>
      </c>
      <c r="D274" s="4">
        <v>120</v>
      </c>
      <c r="E274" s="4">
        <v>600</v>
      </c>
      <c r="F274" s="4">
        <v>1440</v>
      </c>
      <c r="G274" s="4"/>
      <c r="H274" s="4"/>
    </row>
    <row r="275" spans="1:8" x14ac:dyDescent="0.35">
      <c r="A275">
        <v>11</v>
      </c>
      <c r="B275">
        <v>14</v>
      </c>
      <c r="D275" s="4">
        <v>2</v>
      </c>
      <c r="E275" s="4">
        <v>10</v>
      </c>
      <c r="F275" s="4">
        <v>20</v>
      </c>
      <c r="G275" s="4"/>
      <c r="H275" s="4"/>
    </row>
    <row r="276" spans="1:8" x14ac:dyDescent="0.35">
      <c r="A276">
        <v>11</v>
      </c>
      <c r="B276">
        <v>15</v>
      </c>
      <c r="D276" s="4">
        <v>5</v>
      </c>
      <c r="E276" s="4">
        <v>40</v>
      </c>
      <c r="F276" s="4">
        <v>80</v>
      </c>
      <c r="G276" s="4"/>
      <c r="H276" s="4"/>
    </row>
    <row r="277" spans="1:8" x14ac:dyDescent="0.35">
      <c r="A277">
        <v>11</v>
      </c>
      <c r="B277">
        <v>16</v>
      </c>
      <c r="D277" s="4">
        <v>720</v>
      </c>
      <c r="E277" s="4">
        <v>4320</v>
      </c>
      <c r="F277" s="4">
        <v>14400</v>
      </c>
      <c r="G277" s="4"/>
      <c r="H277" s="4"/>
    </row>
    <row r="278" spans="1:8" x14ac:dyDescent="0.35">
      <c r="A278">
        <v>11</v>
      </c>
      <c r="B278">
        <v>17</v>
      </c>
      <c r="D278" s="4">
        <v>2</v>
      </c>
      <c r="E278" s="4">
        <v>10</v>
      </c>
      <c r="F278" s="4">
        <v>30</v>
      </c>
      <c r="G278" s="4"/>
      <c r="H278" s="4"/>
    </row>
    <row r="279" spans="1:8" x14ac:dyDescent="0.35">
      <c r="A279">
        <v>11</v>
      </c>
      <c r="B279">
        <v>18</v>
      </c>
      <c r="D279" s="4">
        <v>720</v>
      </c>
      <c r="E279" s="4">
        <v>2880</v>
      </c>
      <c r="F279" s="4">
        <v>7200</v>
      </c>
      <c r="G279" s="4"/>
      <c r="H279" s="4"/>
    </row>
    <row r="280" spans="1:8" x14ac:dyDescent="0.35">
      <c r="A280">
        <v>11</v>
      </c>
      <c r="B280">
        <v>19</v>
      </c>
      <c r="D280" s="4">
        <v>5</v>
      </c>
      <c r="E280" s="4">
        <v>20</v>
      </c>
      <c r="F280" s="4">
        <v>50</v>
      </c>
      <c r="G280" s="4"/>
      <c r="H280" s="4"/>
    </row>
    <row r="281" spans="1:8" x14ac:dyDescent="0.35">
      <c r="A281">
        <v>11</v>
      </c>
      <c r="B281">
        <v>20</v>
      </c>
      <c r="D281" s="4">
        <v>288</v>
      </c>
      <c r="E281" s="4">
        <v>2880</v>
      </c>
      <c r="F281" s="4">
        <v>10100</v>
      </c>
      <c r="G281" s="4"/>
      <c r="H281" s="4"/>
    </row>
    <row r="282" spans="1:8" x14ac:dyDescent="0.35">
      <c r="A282">
        <v>11</v>
      </c>
      <c r="B282">
        <v>21</v>
      </c>
      <c r="D282" s="4">
        <v>1</v>
      </c>
      <c r="E282" s="4">
        <v>5</v>
      </c>
      <c r="F282" s="4">
        <v>10</v>
      </c>
      <c r="G282" s="4"/>
      <c r="H282" s="4"/>
    </row>
    <row r="283" spans="1:8" x14ac:dyDescent="0.35">
      <c r="A283">
        <v>11</v>
      </c>
      <c r="B283">
        <v>22</v>
      </c>
      <c r="D283" s="4">
        <v>120</v>
      </c>
      <c r="E283" s="4">
        <v>600</v>
      </c>
      <c r="F283" s="4">
        <v>2880</v>
      </c>
      <c r="G283" s="4"/>
      <c r="H283" s="4"/>
    </row>
    <row r="284" spans="1:8" x14ac:dyDescent="0.35">
      <c r="A284">
        <v>11</v>
      </c>
      <c r="B284">
        <v>23</v>
      </c>
      <c r="D284" s="4">
        <v>2</v>
      </c>
      <c r="E284" s="4">
        <v>10</v>
      </c>
      <c r="F284" s="4">
        <v>25</v>
      </c>
      <c r="G284" s="4"/>
      <c r="H284" s="4"/>
    </row>
    <row r="285" spans="1:8" x14ac:dyDescent="0.35">
      <c r="A285">
        <v>11</v>
      </c>
      <c r="B285">
        <v>24</v>
      </c>
      <c r="D285" s="4">
        <v>360</v>
      </c>
      <c r="E285" s="4">
        <v>1500</v>
      </c>
      <c r="F285" s="4">
        <v>4320</v>
      </c>
      <c r="G285" s="4"/>
      <c r="H285" s="4"/>
    </row>
    <row r="286" spans="1:8" x14ac:dyDescent="0.35">
      <c r="A286">
        <v>11</v>
      </c>
      <c r="B286">
        <v>25</v>
      </c>
      <c r="D286" s="4">
        <v>2</v>
      </c>
      <c r="E286" s="4">
        <v>10</v>
      </c>
      <c r="F286" s="4">
        <v>50</v>
      </c>
      <c r="G286" s="4"/>
      <c r="H286" s="4"/>
    </row>
    <row r="287" spans="1:8" x14ac:dyDescent="0.35">
      <c r="A287">
        <v>11</v>
      </c>
      <c r="B287">
        <v>26</v>
      </c>
      <c r="D287" s="4">
        <v>4320</v>
      </c>
      <c r="E287" s="4">
        <v>14400</v>
      </c>
      <c r="F287" s="4">
        <v>43200</v>
      </c>
      <c r="G287" s="4"/>
      <c r="H287" s="4"/>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4"/>
  <dimension ref="A1:H111"/>
  <sheetViews>
    <sheetView workbookViewId="0"/>
  </sheetViews>
  <sheetFormatPr defaultRowHeight="14.5" x14ac:dyDescent="0.35"/>
  <sheetData>
    <row r="1" spans="1:8" x14ac:dyDescent="0.35">
      <c r="A1" t="s">
        <v>140</v>
      </c>
      <c r="H1" t="s">
        <v>58</v>
      </c>
    </row>
    <row r="2" spans="1:8" x14ac:dyDescent="0.35">
      <c r="A2">
        <v>1</v>
      </c>
      <c r="B2">
        <v>1</v>
      </c>
      <c r="C2" t="s">
        <v>130</v>
      </c>
      <c r="D2" s="4">
        <v>0.05</v>
      </c>
      <c r="E2" s="4">
        <v>0.1</v>
      </c>
      <c r="F2" s="4">
        <v>0.15</v>
      </c>
      <c r="H2" s="4">
        <v>0.69</v>
      </c>
    </row>
    <row r="3" spans="1:8" x14ac:dyDescent="0.35">
      <c r="A3">
        <v>1</v>
      </c>
      <c r="B3">
        <v>2</v>
      </c>
      <c r="C3" t="s">
        <v>131</v>
      </c>
      <c r="D3" s="4">
        <v>70000</v>
      </c>
      <c r="E3" s="4">
        <v>80000</v>
      </c>
      <c r="F3" s="4">
        <v>85000</v>
      </c>
      <c r="H3" s="4">
        <v>117109</v>
      </c>
    </row>
    <row r="4" spans="1:8" x14ac:dyDescent="0.35">
      <c r="A4">
        <v>1</v>
      </c>
      <c r="B4">
        <v>3</v>
      </c>
      <c r="C4" t="s">
        <v>132</v>
      </c>
      <c r="D4" s="4">
        <v>65</v>
      </c>
      <c r="E4" s="4">
        <v>75</v>
      </c>
      <c r="F4" s="4">
        <v>80</v>
      </c>
      <c r="H4" s="4">
        <v>40</v>
      </c>
    </row>
    <row r="5" spans="1:8" x14ac:dyDescent="0.35">
      <c r="A5">
        <v>1</v>
      </c>
      <c r="B5">
        <v>4</v>
      </c>
      <c r="C5" t="s">
        <v>133</v>
      </c>
      <c r="D5" s="4">
        <v>15.1937</v>
      </c>
      <c r="E5" s="4">
        <v>15.2957</v>
      </c>
      <c r="F5" s="4">
        <v>15.3977</v>
      </c>
      <c r="H5" s="4">
        <v>15.2957</v>
      </c>
    </row>
    <row r="6" spans="1:8" x14ac:dyDescent="0.35">
      <c r="A6">
        <v>1</v>
      </c>
      <c r="B6">
        <v>5</v>
      </c>
      <c r="C6" t="s">
        <v>134</v>
      </c>
      <c r="D6" s="4">
        <v>1000</v>
      </c>
      <c r="E6" s="4">
        <v>1500</v>
      </c>
      <c r="F6" s="4">
        <v>1700</v>
      </c>
      <c r="H6" s="4">
        <v>985.6</v>
      </c>
    </row>
    <row r="7" spans="1:8" x14ac:dyDescent="0.35">
      <c r="A7">
        <v>1</v>
      </c>
      <c r="B7">
        <v>6</v>
      </c>
      <c r="C7" t="s">
        <v>135</v>
      </c>
      <c r="D7" s="4">
        <v>50</v>
      </c>
      <c r="E7" s="4">
        <v>75</v>
      </c>
      <c r="F7" s="4">
        <v>80</v>
      </c>
      <c r="H7" s="4">
        <v>43.81</v>
      </c>
    </row>
    <row r="8" spans="1:8" x14ac:dyDescent="0.35">
      <c r="A8">
        <v>1</v>
      </c>
      <c r="B8">
        <v>7</v>
      </c>
      <c r="C8" t="s">
        <v>136</v>
      </c>
      <c r="D8" s="4">
        <v>1</v>
      </c>
      <c r="E8" s="4">
        <v>2</v>
      </c>
      <c r="F8" s="4">
        <v>3</v>
      </c>
      <c r="H8" s="4">
        <v>1</v>
      </c>
    </row>
    <row r="9" spans="1:8" x14ac:dyDescent="0.35">
      <c r="A9">
        <v>1</v>
      </c>
      <c r="B9">
        <v>8</v>
      </c>
      <c r="C9" t="s">
        <v>137</v>
      </c>
      <c r="D9" s="4">
        <v>0.01</v>
      </c>
      <c r="E9" s="4">
        <v>0.02</v>
      </c>
      <c r="F9" s="4">
        <v>0.1</v>
      </c>
      <c r="H9" s="4">
        <v>0.124</v>
      </c>
    </row>
    <row r="10" spans="1:8" x14ac:dyDescent="0.35">
      <c r="A10">
        <v>1</v>
      </c>
      <c r="B10">
        <v>9</v>
      </c>
      <c r="C10" t="s">
        <v>138</v>
      </c>
      <c r="D10" s="4">
        <v>20</v>
      </c>
      <c r="E10" s="4">
        <v>25</v>
      </c>
      <c r="F10" s="4">
        <v>35</v>
      </c>
      <c r="H10" s="4">
        <v>10</v>
      </c>
    </row>
    <row r="11" spans="1:8" x14ac:dyDescent="0.35">
      <c r="A11">
        <v>1</v>
      </c>
      <c r="B11">
        <v>10</v>
      </c>
      <c r="C11" t="s">
        <v>139</v>
      </c>
      <c r="D11" s="4">
        <v>0.12</v>
      </c>
      <c r="E11" s="4">
        <v>0.15</v>
      </c>
      <c r="F11" s="4">
        <v>0.17</v>
      </c>
      <c r="H11" s="4">
        <v>0.09</v>
      </c>
    </row>
    <row r="12" spans="1:8" x14ac:dyDescent="0.35">
      <c r="A12">
        <v>2</v>
      </c>
      <c r="B12">
        <v>1</v>
      </c>
      <c r="C12" t="s">
        <v>130</v>
      </c>
      <c r="D12" s="4">
        <v>0.33333299999999999</v>
      </c>
      <c r="E12" s="4">
        <v>0.5</v>
      </c>
      <c r="F12" s="4">
        <v>0.66666700000000001</v>
      </c>
    </row>
    <row r="13" spans="1:8" x14ac:dyDescent="0.35">
      <c r="A13">
        <v>2</v>
      </c>
      <c r="B13">
        <v>2</v>
      </c>
      <c r="C13" t="s">
        <v>131</v>
      </c>
      <c r="D13" s="4">
        <v>60000</v>
      </c>
      <c r="E13" s="4">
        <v>80000</v>
      </c>
      <c r="F13" s="4">
        <v>100000</v>
      </c>
    </row>
    <row r="14" spans="1:8" x14ac:dyDescent="0.35">
      <c r="A14">
        <v>2</v>
      </c>
      <c r="B14">
        <v>3</v>
      </c>
      <c r="C14" t="s">
        <v>132</v>
      </c>
      <c r="D14" s="4">
        <v>20</v>
      </c>
      <c r="E14" s="4">
        <v>30</v>
      </c>
      <c r="F14" s="4">
        <v>40</v>
      </c>
    </row>
    <row r="15" spans="1:8" x14ac:dyDescent="0.35">
      <c r="A15">
        <v>2</v>
      </c>
      <c r="B15">
        <v>4</v>
      </c>
      <c r="C15" t="s">
        <v>133</v>
      </c>
      <c r="D15" s="4">
        <v>5</v>
      </c>
      <c r="E15" s="4">
        <v>10</v>
      </c>
      <c r="F15" s="4">
        <v>15</v>
      </c>
    </row>
    <row r="16" spans="1:8" x14ac:dyDescent="0.35">
      <c r="A16">
        <v>2</v>
      </c>
      <c r="B16">
        <v>5</v>
      </c>
      <c r="C16" t="s">
        <v>134</v>
      </c>
      <c r="D16" s="4">
        <v>1000</v>
      </c>
      <c r="E16" s="4">
        <v>1500</v>
      </c>
      <c r="F16" s="4">
        <v>2000</v>
      </c>
    </row>
    <row r="17" spans="1:6" x14ac:dyDescent="0.35">
      <c r="A17">
        <v>2</v>
      </c>
      <c r="B17">
        <v>6</v>
      </c>
      <c r="C17" t="s">
        <v>135</v>
      </c>
      <c r="D17" s="4">
        <v>10</v>
      </c>
      <c r="E17" s="4">
        <v>20</v>
      </c>
      <c r="F17" s="4">
        <v>30</v>
      </c>
    </row>
    <row r="18" spans="1:6" x14ac:dyDescent="0.35">
      <c r="A18">
        <v>2</v>
      </c>
      <c r="B18">
        <v>7</v>
      </c>
      <c r="C18" t="s">
        <v>136</v>
      </c>
      <c r="D18" s="4">
        <v>2</v>
      </c>
      <c r="E18" s="4">
        <v>3</v>
      </c>
      <c r="F18" s="4">
        <v>5</v>
      </c>
    </row>
    <row r="19" spans="1:6" x14ac:dyDescent="0.35">
      <c r="A19">
        <v>2</v>
      </c>
      <c r="B19">
        <v>8</v>
      </c>
      <c r="C19" t="s">
        <v>137</v>
      </c>
      <c r="D19" s="4">
        <v>3</v>
      </c>
      <c r="E19" s="4">
        <v>5</v>
      </c>
      <c r="F19" s="4">
        <v>7</v>
      </c>
    </row>
    <row r="20" spans="1:6" x14ac:dyDescent="0.35">
      <c r="A20">
        <v>2</v>
      </c>
      <c r="B20">
        <v>9</v>
      </c>
      <c r="C20" t="s">
        <v>138</v>
      </c>
      <c r="D20" s="4">
        <v>5</v>
      </c>
      <c r="E20" s="4">
        <v>10</v>
      </c>
      <c r="F20" s="4">
        <v>20</v>
      </c>
    </row>
    <row r="21" spans="1:6" x14ac:dyDescent="0.35">
      <c r="A21">
        <v>2</v>
      </c>
      <c r="B21">
        <v>10</v>
      </c>
      <c r="C21" t="s">
        <v>139</v>
      </c>
      <c r="D21" s="4">
        <v>0.2</v>
      </c>
      <c r="E21" s="4">
        <v>0.3</v>
      </c>
      <c r="F21" s="4">
        <v>0.4</v>
      </c>
    </row>
    <row r="22" spans="1:6" x14ac:dyDescent="0.35">
      <c r="A22">
        <v>3</v>
      </c>
      <c r="B22">
        <v>1</v>
      </c>
      <c r="C22" t="s">
        <v>130</v>
      </c>
      <c r="D22" s="4">
        <v>0.76922999999999997</v>
      </c>
      <c r="E22" s="4">
        <v>1</v>
      </c>
      <c r="F22" s="4">
        <v>1.3</v>
      </c>
    </row>
    <row r="23" spans="1:6" x14ac:dyDescent="0.35">
      <c r="A23">
        <v>3</v>
      </c>
      <c r="B23">
        <v>2</v>
      </c>
      <c r="C23" t="s">
        <v>131</v>
      </c>
      <c r="D23" s="4">
        <v>55000</v>
      </c>
      <c r="E23" s="4">
        <v>60000</v>
      </c>
      <c r="F23" s="4">
        <v>65000</v>
      </c>
    </row>
    <row r="24" spans="1:6" x14ac:dyDescent="0.35">
      <c r="A24">
        <v>3</v>
      </c>
      <c r="B24">
        <v>3</v>
      </c>
      <c r="C24" t="s">
        <v>132</v>
      </c>
      <c r="D24" s="4">
        <v>25</v>
      </c>
      <c r="E24" s="4">
        <v>30</v>
      </c>
      <c r="F24" s="4">
        <v>35</v>
      </c>
    </row>
    <row r="25" spans="1:6" x14ac:dyDescent="0.35">
      <c r="A25">
        <v>3</v>
      </c>
      <c r="B25">
        <v>4</v>
      </c>
      <c r="C25" t="s">
        <v>133</v>
      </c>
      <c r="D25" s="4">
        <v>17.739999999999998</v>
      </c>
      <c r="E25" s="4">
        <v>17.84</v>
      </c>
      <c r="F25" s="4">
        <v>17.940000000000001</v>
      </c>
    </row>
    <row r="26" spans="1:6" x14ac:dyDescent="0.35">
      <c r="A26">
        <v>3</v>
      </c>
      <c r="B26">
        <v>5</v>
      </c>
      <c r="C26" t="s">
        <v>134</v>
      </c>
      <c r="D26" s="4">
        <v>1000</v>
      </c>
      <c r="E26" s="4">
        <v>1200</v>
      </c>
      <c r="F26" s="4">
        <v>1500</v>
      </c>
    </row>
    <row r="27" spans="1:6" x14ac:dyDescent="0.35">
      <c r="A27">
        <v>3</v>
      </c>
      <c r="B27">
        <v>6</v>
      </c>
      <c r="C27" t="s">
        <v>135</v>
      </c>
      <c r="D27" s="4">
        <v>40</v>
      </c>
      <c r="E27" s="4">
        <v>50</v>
      </c>
      <c r="F27" s="4">
        <v>60</v>
      </c>
    </row>
    <row r="28" spans="1:6" x14ac:dyDescent="0.35">
      <c r="A28">
        <v>3</v>
      </c>
      <c r="B28">
        <v>7</v>
      </c>
      <c r="C28" t="s">
        <v>136</v>
      </c>
      <c r="D28" s="4">
        <v>1</v>
      </c>
      <c r="E28" s="4">
        <v>2</v>
      </c>
      <c r="F28" s="4">
        <v>3</v>
      </c>
    </row>
    <row r="29" spans="1:6" x14ac:dyDescent="0.35">
      <c r="A29">
        <v>3</v>
      </c>
      <c r="B29">
        <v>8</v>
      </c>
      <c r="C29" t="s">
        <v>137</v>
      </c>
      <c r="D29" s="4">
        <v>0.2</v>
      </c>
      <c r="E29" s="4">
        <v>0.25</v>
      </c>
      <c r="F29" s="4">
        <v>0.33333299999999999</v>
      </c>
    </row>
    <row r="30" spans="1:6" x14ac:dyDescent="0.35">
      <c r="A30">
        <v>3</v>
      </c>
      <c r="B30">
        <v>9</v>
      </c>
      <c r="C30" t="s">
        <v>138</v>
      </c>
      <c r="D30" s="4">
        <v>2</v>
      </c>
      <c r="E30" s="4">
        <v>5</v>
      </c>
      <c r="F30" s="4">
        <v>10</v>
      </c>
    </row>
    <row r="31" spans="1:6" x14ac:dyDescent="0.35">
      <c r="A31">
        <v>3</v>
      </c>
      <c r="B31">
        <v>10</v>
      </c>
      <c r="C31" t="s">
        <v>139</v>
      </c>
      <c r="D31" s="4">
        <v>0.14000000000000001</v>
      </c>
      <c r="E31" s="4">
        <v>0.15</v>
      </c>
      <c r="F31" s="4">
        <v>0.16</v>
      </c>
    </row>
    <row r="32" spans="1:6" x14ac:dyDescent="0.35">
      <c r="A32">
        <v>4</v>
      </c>
      <c r="B32">
        <v>1</v>
      </c>
      <c r="C32" t="s">
        <v>130</v>
      </c>
      <c r="D32" s="4">
        <v>0.5</v>
      </c>
      <c r="E32" s="4">
        <v>3</v>
      </c>
      <c r="F32" s="4">
        <v>10</v>
      </c>
    </row>
    <row r="33" spans="1:6" x14ac:dyDescent="0.35">
      <c r="A33">
        <v>4</v>
      </c>
      <c r="B33">
        <v>2</v>
      </c>
      <c r="C33" t="s">
        <v>131</v>
      </c>
      <c r="D33" s="4">
        <v>40000</v>
      </c>
      <c r="E33" s="4">
        <v>60000</v>
      </c>
      <c r="F33" s="4">
        <v>90000</v>
      </c>
    </row>
    <row r="34" spans="1:6" x14ac:dyDescent="0.35">
      <c r="A34">
        <v>4</v>
      </c>
      <c r="B34">
        <v>3</v>
      </c>
      <c r="C34" t="s">
        <v>132</v>
      </c>
      <c r="D34" s="4">
        <v>30</v>
      </c>
      <c r="E34" s="4">
        <v>50</v>
      </c>
      <c r="F34" s="4">
        <v>80</v>
      </c>
    </row>
    <row r="35" spans="1:6" x14ac:dyDescent="0.35">
      <c r="A35">
        <v>4</v>
      </c>
      <c r="B35">
        <v>4</v>
      </c>
      <c r="C35" t="s">
        <v>133</v>
      </c>
      <c r="D35" s="4">
        <v>1</v>
      </c>
      <c r="E35" s="4">
        <v>5</v>
      </c>
      <c r="F35" s="4">
        <v>20</v>
      </c>
    </row>
    <row r="36" spans="1:6" x14ac:dyDescent="0.35">
      <c r="A36">
        <v>4</v>
      </c>
      <c r="B36">
        <v>5</v>
      </c>
      <c r="C36" t="s">
        <v>134</v>
      </c>
      <c r="D36" s="4">
        <v>800</v>
      </c>
      <c r="E36" s="4">
        <v>1000</v>
      </c>
      <c r="F36" s="4">
        <v>1200</v>
      </c>
    </row>
    <row r="37" spans="1:6" x14ac:dyDescent="0.35">
      <c r="A37">
        <v>4</v>
      </c>
      <c r="B37">
        <v>6</v>
      </c>
      <c r="C37" t="s">
        <v>135</v>
      </c>
      <c r="D37" s="4">
        <v>50</v>
      </c>
      <c r="E37" s="4">
        <v>80</v>
      </c>
      <c r="F37" s="4">
        <v>95</v>
      </c>
    </row>
    <row r="38" spans="1:6" x14ac:dyDescent="0.35">
      <c r="A38">
        <v>4</v>
      </c>
      <c r="B38">
        <v>7</v>
      </c>
      <c r="C38" t="s">
        <v>136</v>
      </c>
      <c r="D38" s="4">
        <v>1</v>
      </c>
      <c r="E38" s="4">
        <v>3</v>
      </c>
      <c r="F38" s="4">
        <v>10</v>
      </c>
    </row>
    <row r="39" spans="1:6" x14ac:dyDescent="0.35">
      <c r="A39">
        <v>4</v>
      </c>
      <c r="B39">
        <v>8</v>
      </c>
      <c r="C39" t="s">
        <v>137</v>
      </c>
      <c r="D39" s="4">
        <v>0.3</v>
      </c>
      <c r="E39" s="4">
        <v>1</v>
      </c>
      <c r="F39" s="4">
        <v>2</v>
      </c>
    </row>
    <row r="40" spans="1:6" x14ac:dyDescent="0.35">
      <c r="A40">
        <v>4</v>
      </c>
      <c r="B40">
        <v>9</v>
      </c>
      <c r="C40" t="s">
        <v>138</v>
      </c>
      <c r="D40" s="4">
        <v>5</v>
      </c>
      <c r="E40" s="4">
        <v>10</v>
      </c>
      <c r="F40" s="4">
        <v>30</v>
      </c>
    </row>
    <row r="41" spans="1:6" x14ac:dyDescent="0.35">
      <c r="A41">
        <v>4</v>
      </c>
      <c r="B41">
        <v>10</v>
      </c>
      <c r="C41" t="s">
        <v>139</v>
      </c>
      <c r="D41" s="4">
        <v>0.1</v>
      </c>
      <c r="E41" s="4">
        <v>0.3</v>
      </c>
      <c r="F41" s="4">
        <v>2</v>
      </c>
    </row>
    <row r="42" spans="1:6" x14ac:dyDescent="0.35">
      <c r="A42">
        <v>5</v>
      </c>
      <c r="B42">
        <v>1</v>
      </c>
      <c r="C42" t="s">
        <v>130</v>
      </c>
      <c r="D42" s="4">
        <v>0.1</v>
      </c>
      <c r="E42" s="4">
        <v>0.33333299999999999</v>
      </c>
      <c r="F42" s="4">
        <v>0.66666000000000003</v>
      </c>
    </row>
    <row r="43" spans="1:6" x14ac:dyDescent="0.35">
      <c r="A43">
        <v>5</v>
      </c>
      <c r="B43">
        <v>2</v>
      </c>
      <c r="C43" t="s">
        <v>131</v>
      </c>
      <c r="D43" s="4">
        <v>25000</v>
      </c>
      <c r="E43" s="4">
        <v>70000</v>
      </c>
      <c r="F43" s="4">
        <v>85000</v>
      </c>
    </row>
    <row r="44" spans="1:6" x14ac:dyDescent="0.35">
      <c r="A44">
        <v>5</v>
      </c>
      <c r="B44">
        <v>3</v>
      </c>
      <c r="C44" t="s">
        <v>132</v>
      </c>
      <c r="D44" s="4">
        <v>6</v>
      </c>
      <c r="E44" s="4">
        <v>25</v>
      </c>
      <c r="F44" s="4">
        <v>40</v>
      </c>
    </row>
    <row r="45" spans="1:6" x14ac:dyDescent="0.35">
      <c r="A45">
        <v>5</v>
      </c>
      <c r="B45">
        <v>4</v>
      </c>
      <c r="C45" t="s">
        <v>133</v>
      </c>
      <c r="D45" s="4">
        <v>100</v>
      </c>
      <c r="E45" s="4">
        <v>300</v>
      </c>
      <c r="F45" s="4">
        <v>500</v>
      </c>
    </row>
    <row r="46" spans="1:6" x14ac:dyDescent="0.35">
      <c r="A46">
        <v>5</v>
      </c>
      <c r="B46">
        <v>5</v>
      </c>
      <c r="C46" t="s">
        <v>134</v>
      </c>
      <c r="D46" s="4">
        <v>800</v>
      </c>
      <c r="E46" s="4">
        <v>850</v>
      </c>
      <c r="F46" s="4">
        <v>900</v>
      </c>
    </row>
    <row r="47" spans="1:6" x14ac:dyDescent="0.35">
      <c r="A47">
        <v>5</v>
      </c>
      <c r="B47">
        <v>6</v>
      </c>
      <c r="C47" t="s">
        <v>135</v>
      </c>
      <c r="D47" s="4">
        <v>20</v>
      </c>
      <c r="E47" s="4">
        <v>30</v>
      </c>
      <c r="F47" s="4">
        <v>40</v>
      </c>
    </row>
    <row r="48" spans="1:6" x14ac:dyDescent="0.35">
      <c r="A48">
        <v>5</v>
      </c>
      <c r="B48">
        <v>7</v>
      </c>
      <c r="C48" t="s">
        <v>136</v>
      </c>
      <c r="D48" s="4">
        <v>1</v>
      </c>
      <c r="E48" s="4">
        <v>2</v>
      </c>
      <c r="F48" s="4">
        <v>3</v>
      </c>
    </row>
    <row r="49" spans="1:6" x14ac:dyDescent="0.35">
      <c r="A49">
        <v>5</v>
      </c>
      <c r="B49">
        <v>8</v>
      </c>
      <c r="C49" t="s">
        <v>137</v>
      </c>
      <c r="D49" s="4">
        <v>0.25</v>
      </c>
      <c r="E49" s="4">
        <v>0.33333299999999999</v>
      </c>
      <c r="F49" s="4">
        <v>0.5</v>
      </c>
    </row>
    <row r="50" spans="1:6" x14ac:dyDescent="0.35">
      <c r="A50">
        <v>5</v>
      </c>
      <c r="B50">
        <v>9</v>
      </c>
      <c r="C50" t="s">
        <v>138</v>
      </c>
      <c r="D50" s="4">
        <v>6</v>
      </c>
      <c r="E50" s="4">
        <v>10</v>
      </c>
      <c r="F50" s="4">
        <v>15</v>
      </c>
    </row>
    <row r="51" spans="1:6" x14ac:dyDescent="0.35">
      <c r="A51">
        <v>5</v>
      </c>
      <c r="B51">
        <v>10</v>
      </c>
      <c r="C51" t="s">
        <v>139</v>
      </c>
      <c r="D51" s="4">
        <v>0.1</v>
      </c>
      <c r="E51" s="4">
        <v>0.15</v>
      </c>
      <c r="F51" s="4">
        <v>0.2</v>
      </c>
    </row>
    <row r="52" spans="1:6" x14ac:dyDescent="0.35">
      <c r="A52">
        <v>6</v>
      </c>
      <c r="B52">
        <v>1</v>
      </c>
      <c r="C52" t="s">
        <v>130</v>
      </c>
      <c r="D52" s="4">
        <v>1</v>
      </c>
      <c r="E52" s="4">
        <v>3</v>
      </c>
      <c r="F52" s="4">
        <v>4</v>
      </c>
    </row>
    <row r="53" spans="1:6" x14ac:dyDescent="0.35">
      <c r="A53">
        <v>6</v>
      </c>
      <c r="B53">
        <v>2</v>
      </c>
      <c r="C53" t="s">
        <v>131</v>
      </c>
      <c r="D53" s="4">
        <v>59432</v>
      </c>
      <c r="E53" s="4">
        <v>70000</v>
      </c>
      <c r="F53" s="4">
        <v>100000</v>
      </c>
    </row>
    <row r="54" spans="1:6" x14ac:dyDescent="0.35">
      <c r="A54">
        <v>6</v>
      </c>
      <c r="B54">
        <v>3</v>
      </c>
      <c r="C54" t="s">
        <v>132</v>
      </c>
      <c r="D54" s="4">
        <v>25</v>
      </c>
      <c r="E54" s="4">
        <v>35</v>
      </c>
      <c r="F54" s="4">
        <v>45</v>
      </c>
    </row>
    <row r="55" spans="1:6" x14ac:dyDescent="0.35">
      <c r="A55">
        <v>6</v>
      </c>
      <c r="B55">
        <v>4</v>
      </c>
      <c r="C55" t="s">
        <v>133</v>
      </c>
      <c r="D55" s="4">
        <v>0.25</v>
      </c>
      <c r="E55" s="4">
        <v>1</v>
      </c>
      <c r="F55" s="4">
        <v>5</v>
      </c>
    </row>
    <row r="56" spans="1:6" x14ac:dyDescent="0.35">
      <c r="A56">
        <v>6</v>
      </c>
      <c r="B56">
        <v>5</v>
      </c>
      <c r="C56" t="s">
        <v>134</v>
      </c>
      <c r="D56" s="4">
        <v>1100</v>
      </c>
      <c r="E56" s="4">
        <v>1200</v>
      </c>
      <c r="F56" s="4">
        <v>1400</v>
      </c>
    </row>
    <row r="57" spans="1:6" x14ac:dyDescent="0.35">
      <c r="A57">
        <v>6</v>
      </c>
      <c r="B57">
        <v>6</v>
      </c>
      <c r="C57" t="s">
        <v>135</v>
      </c>
      <c r="D57" s="4">
        <v>35</v>
      </c>
      <c r="E57" s="4">
        <v>50</v>
      </c>
      <c r="F57" s="4">
        <v>60</v>
      </c>
    </row>
    <row r="58" spans="1:6" x14ac:dyDescent="0.35">
      <c r="A58">
        <v>6</v>
      </c>
      <c r="B58">
        <v>7</v>
      </c>
      <c r="C58" t="s">
        <v>136</v>
      </c>
      <c r="D58" s="4">
        <v>2</v>
      </c>
      <c r="E58" s="4">
        <v>3</v>
      </c>
      <c r="F58" s="4">
        <v>5</v>
      </c>
    </row>
    <row r="59" spans="1:6" x14ac:dyDescent="0.35">
      <c r="A59">
        <v>6</v>
      </c>
      <c r="B59">
        <v>8</v>
      </c>
      <c r="C59" t="s">
        <v>137</v>
      </c>
      <c r="D59" s="4">
        <v>0.2</v>
      </c>
      <c r="E59" s="4">
        <v>0.33333299999999999</v>
      </c>
      <c r="F59" s="4">
        <v>0.5</v>
      </c>
    </row>
    <row r="60" spans="1:6" x14ac:dyDescent="0.35">
      <c r="A60">
        <v>6</v>
      </c>
      <c r="B60">
        <v>9</v>
      </c>
      <c r="C60" t="s">
        <v>138</v>
      </c>
      <c r="D60" s="4">
        <v>20</v>
      </c>
      <c r="E60" s="4">
        <v>30</v>
      </c>
      <c r="F60" s="4">
        <v>40</v>
      </c>
    </row>
    <row r="61" spans="1:6" x14ac:dyDescent="0.35">
      <c r="A61">
        <v>6</v>
      </c>
      <c r="B61">
        <v>10</v>
      </c>
      <c r="C61" t="s">
        <v>139</v>
      </c>
      <c r="D61" s="4">
        <v>8.5000000000000006E-2</v>
      </c>
      <c r="E61" s="4">
        <v>9.5000000000000001E-2</v>
      </c>
      <c r="F61" s="4">
        <v>0.185</v>
      </c>
    </row>
    <row r="62" spans="1:6" x14ac:dyDescent="0.35">
      <c r="A62">
        <v>7</v>
      </c>
      <c r="B62">
        <v>1</v>
      </c>
      <c r="C62" t="s">
        <v>130</v>
      </c>
      <c r="D62" s="4">
        <v>0.16666600000000001</v>
      </c>
      <c r="E62" s="4">
        <v>0.25</v>
      </c>
      <c r="F62" s="4">
        <v>0.5</v>
      </c>
    </row>
    <row r="63" spans="1:6" x14ac:dyDescent="0.35">
      <c r="A63">
        <v>7</v>
      </c>
      <c r="B63">
        <v>2</v>
      </c>
      <c r="C63" t="s">
        <v>131</v>
      </c>
      <c r="D63" s="4">
        <v>80000</v>
      </c>
      <c r="E63" s="4">
        <v>100000</v>
      </c>
      <c r="F63" s="4">
        <v>130000</v>
      </c>
    </row>
    <row r="64" spans="1:6" x14ac:dyDescent="0.35">
      <c r="A64">
        <v>7</v>
      </c>
      <c r="B64">
        <v>3</v>
      </c>
      <c r="C64" t="s">
        <v>132</v>
      </c>
      <c r="D64" s="4">
        <v>40</v>
      </c>
      <c r="E64" s="4">
        <v>50</v>
      </c>
      <c r="F64" s="4">
        <v>70</v>
      </c>
    </row>
    <row r="65" spans="1:6" x14ac:dyDescent="0.35">
      <c r="A65">
        <v>7</v>
      </c>
      <c r="B65">
        <v>4</v>
      </c>
      <c r="C65" t="s">
        <v>133</v>
      </c>
      <c r="D65" s="4">
        <v>50</v>
      </c>
      <c r="E65" s="4">
        <v>100</v>
      </c>
      <c r="F65" s="4">
        <v>500</v>
      </c>
    </row>
    <row r="66" spans="1:6" x14ac:dyDescent="0.35">
      <c r="A66">
        <v>7</v>
      </c>
      <c r="B66">
        <v>5</v>
      </c>
      <c r="C66" t="s">
        <v>134</v>
      </c>
      <c r="D66" s="4">
        <v>800</v>
      </c>
      <c r="E66" s="4">
        <v>1000</v>
      </c>
      <c r="F66" s="4">
        <v>1200</v>
      </c>
    </row>
    <row r="67" spans="1:6" x14ac:dyDescent="0.35">
      <c r="A67">
        <v>7</v>
      </c>
      <c r="B67">
        <v>6</v>
      </c>
      <c r="C67" t="s">
        <v>135</v>
      </c>
      <c r="D67" s="4">
        <v>60</v>
      </c>
      <c r="E67" s="4">
        <v>65</v>
      </c>
      <c r="F67" s="4">
        <v>75</v>
      </c>
    </row>
    <row r="68" spans="1:6" x14ac:dyDescent="0.35">
      <c r="A68">
        <v>7</v>
      </c>
      <c r="B68">
        <v>7</v>
      </c>
      <c r="C68" t="s">
        <v>136</v>
      </c>
      <c r="D68" s="4">
        <v>8</v>
      </c>
      <c r="E68" s="4">
        <v>10</v>
      </c>
      <c r="F68" s="4">
        <v>20</v>
      </c>
    </row>
    <row r="69" spans="1:6" x14ac:dyDescent="0.35">
      <c r="A69">
        <v>7</v>
      </c>
      <c r="B69">
        <v>8</v>
      </c>
      <c r="C69" t="s">
        <v>137</v>
      </c>
      <c r="D69" s="4">
        <v>7.6923099999999994E-2</v>
      </c>
      <c r="E69" s="4">
        <v>0.1</v>
      </c>
      <c r="F69" s="4">
        <v>0.125</v>
      </c>
    </row>
    <row r="70" spans="1:6" x14ac:dyDescent="0.35">
      <c r="A70">
        <v>7</v>
      </c>
      <c r="B70">
        <v>9</v>
      </c>
      <c r="C70" t="s">
        <v>138</v>
      </c>
      <c r="D70" s="4">
        <v>5</v>
      </c>
      <c r="E70" s="4">
        <v>10</v>
      </c>
      <c r="F70" s="4">
        <v>15</v>
      </c>
    </row>
    <row r="71" spans="1:6" x14ac:dyDescent="0.35">
      <c r="A71">
        <v>7</v>
      </c>
      <c r="B71">
        <v>10</v>
      </c>
      <c r="C71" t="s">
        <v>139</v>
      </c>
      <c r="D71" s="4">
        <v>0.1</v>
      </c>
      <c r="E71" s="4">
        <v>0.15</v>
      </c>
      <c r="F71" s="4">
        <v>0.17</v>
      </c>
    </row>
    <row r="72" spans="1:6" x14ac:dyDescent="0.35">
      <c r="A72">
        <v>8</v>
      </c>
      <c r="B72">
        <v>1</v>
      </c>
      <c r="C72" t="s">
        <v>130</v>
      </c>
      <c r="D72" s="4">
        <v>1</v>
      </c>
      <c r="E72" s="4">
        <v>1.5</v>
      </c>
      <c r="F72" s="4">
        <v>2.25</v>
      </c>
    </row>
    <row r="73" spans="1:6" x14ac:dyDescent="0.35">
      <c r="A73">
        <v>8</v>
      </c>
      <c r="B73">
        <v>2</v>
      </c>
      <c r="C73" t="s">
        <v>131</v>
      </c>
      <c r="D73" s="4">
        <v>53000</v>
      </c>
      <c r="E73" s="4">
        <v>80000</v>
      </c>
      <c r="F73" s="4">
        <v>97000</v>
      </c>
    </row>
    <row r="74" spans="1:6" x14ac:dyDescent="0.35">
      <c r="A74">
        <v>8</v>
      </c>
      <c r="B74">
        <v>3</v>
      </c>
      <c r="C74" t="s">
        <v>132</v>
      </c>
      <c r="D74" s="4">
        <v>10</v>
      </c>
      <c r="E74" s="4">
        <v>20</v>
      </c>
      <c r="F74" s="4">
        <v>35</v>
      </c>
    </row>
    <row r="75" spans="1:6" x14ac:dyDescent="0.35">
      <c r="A75">
        <v>8</v>
      </c>
      <c r="B75">
        <v>4</v>
      </c>
      <c r="C75" t="s">
        <v>133</v>
      </c>
      <c r="D75" s="4">
        <v>40</v>
      </c>
      <c r="E75" s="4">
        <v>150</v>
      </c>
      <c r="F75" s="4">
        <v>300</v>
      </c>
    </row>
    <row r="76" spans="1:6" x14ac:dyDescent="0.35">
      <c r="A76">
        <v>8</v>
      </c>
      <c r="B76">
        <v>5</v>
      </c>
      <c r="C76" t="s">
        <v>134</v>
      </c>
      <c r="D76" s="4">
        <v>1000</v>
      </c>
      <c r="E76" s="4">
        <v>1200</v>
      </c>
      <c r="F76" s="4">
        <v>1400</v>
      </c>
    </row>
    <row r="77" spans="1:6" x14ac:dyDescent="0.35">
      <c r="A77">
        <v>8</v>
      </c>
      <c r="B77">
        <v>6</v>
      </c>
      <c r="C77" t="s">
        <v>135</v>
      </c>
      <c r="D77" s="4">
        <v>20</v>
      </c>
      <c r="E77" s="4">
        <v>40</v>
      </c>
      <c r="F77" s="4">
        <v>60</v>
      </c>
    </row>
    <row r="78" spans="1:6" x14ac:dyDescent="0.35">
      <c r="A78">
        <v>8</v>
      </c>
      <c r="B78">
        <v>7</v>
      </c>
      <c r="C78" t="s">
        <v>136</v>
      </c>
      <c r="D78" s="4">
        <v>1</v>
      </c>
      <c r="E78" s="4">
        <v>2</v>
      </c>
      <c r="F78" s="4">
        <v>3</v>
      </c>
    </row>
    <row r="79" spans="1:6" x14ac:dyDescent="0.35">
      <c r="A79">
        <v>8</v>
      </c>
      <c r="B79">
        <v>8</v>
      </c>
      <c r="C79" t="s">
        <v>137</v>
      </c>
      <c r="D79" s="4">
        <v>0.14285700000000001</v>
      </c>
      <c r="E79" s="4">
        <v>0.25</v>
      </c>
      <c r="F79" s="4">
        <v>0.5</v>
      </c>
    </row>
    <row r="80" spans="1:6" x14ac:dyDescent="0.35">
      <c r="A80">
        <v>8</v>
      </c>
      <c r="B80">
        <v>9</v>
      </c>
      <c r="C80" t="s">
        <v>138</v>
      </c>
      <c r="D80" s="4">
        <v>10</v>
      </c>
      <c r="E80" s="4">
        <v>20</v>
      </c>
      <c r="F80" s="4">
        <v>35</v>
      </c>
    </row>
    <row r="81" spans="1:6" x14ac:dyDescent="0.35">
      <c r="A81">
        <v>8</v>
      </c>
      <c r="B81">
        <v>10</v>
      </c>
      <c r="C81" t="s">
        <v>139</v>
      </c>
      <c r="D81" s="4">
        <v>0.05</v>
      </c>
      <c r="E81" s="4">
        <v>0.1</v>
      </c>
      <c r="F81" s="4">
        <v>0.185</v>
      </c>
    </row>
    <row r="82" spans="1:6" x14ac:dyDescent="0.35">
      <c r="A82">
        <v>9</v>
      </c>
      <c r="B82">
        <v>1</v>
      </c>
      <c r="C82" t="s">
        <v>130</v>
      </c>
      <c r="D82" s="4">
        <v>0.6</v>
      </c>
      <c r="E82" s="4">
        <v>1</v>
      </c>
      <c r="F82" s="4">
        <v>1.5</v>
      </c>
    </row>
    <row r="83" spans="1:6" x14ac:dyDescent="0.35">
      <c r="A83">
        <v>9</v>
      </c>
      <c r="B83">
        <v>2</v>
      </c>
      <c r="C83" t="s">
        <v>131</v>
      </c>
      <c r="D83" s="4">
        <v>60000</v>
      </c>
      <c r="E83" s="4">
        <v>90000</v>
      </c>
      <c r="F83" s="4">
        <v>150000</v>
      </c>
    </row>
    <row r="84" spans="1:6" x14ac:dyDescent="0.35">
      <c r="A84">
        <v>9</v>
      </c>
      <c r="B84">
        <v>3</v>
      </c>
      <c r="C84" t="s">
        <v>132</v>
      </c>
      <c r="D84" s="4">
        <v>20</v>
      </c>
      <c r="E84" s="4">
        <v>30</v>
      </c>
      <c r="F84" s="4">
        <v>45</v>
      </c>
    </row>
    <row r="85" spans="1:6" x14ac:dyDescent="0.35">
      <c r="A85">
        <v>9</v>
      </c>
      <c r="B85">
        <v>4</v>
      </c>
      <c r="C85" t="s">
        <v>133</v>
      </c>
      <c r="D85" s="4">
        <v>30</v>
      </c>
      <c r="E85" s="4">
        <v>60</v>
      </c>
      <c r="F85" s="4">
        <v>100</v>
      </c>
    </row>
    <row r="86" spans="1:6" x14ac:dyDescent="0.35">
      <c r="A86">
        <v>9</v>
      </c>
      <c r="B86">
        <v>5</v>
      </c>
      <c r="C86" t="s">
        <v>134</v>
      </c>
      <c r="D86" s="4">
        <v>800</v>
      </c>
      <c r="E86" s="4">
        <v>1000</v>
      </c>
      <c r="F86" s="4">
        <v>1500</v>
      </c>
    </row>
    <row r="87" spans="1:6" x14ac:dyDescent="0.35">
      <c r="A87">
        <v>9</v>
      </c>
      <c r="B87">
        <v>6</v>
      </c>
      <c r="C87" t="s">
        <v>135</v>
      </c>
      <c r="D87" s="4">
        <v>60</v>
      </c>
      <c r="E87" s="4">
        <v>75</v>
      </c>
      <c r="F87" s="4">
        <v>90</v>
      </c>
    </row>
    <row r="88" spans="1:6" x14ac:dyDescent="0.35">
      <c r="A88">
        <v>9</v>
      </c>
      <c r="B88">
        <v>7</v>
      </c>
      <c r="C88" t="s">
        <v>136</v>
      </c>
      <c r="D88" s="4">
        <v>1</v>
      </c>
      <c r="E88" s="4">
        <v>2</v>
      </c>
      <c r="F88" s="4">
        <v>3</v>
      </c>
    </row>
    <row r="89" spans="1:6" x14ac:dyDescent="0.35">
      <c r="A89">
        <v>9</v>
      </c>
      <c r="B89">
        <v>8</v>
      </c>
      <c r="C89" t="s">
        <v>137</v>
      </c>
      <c r="D89" s="4">
        <v>0.2</v>
      </c>
      <c r="E89" s="4">
        <v>0.3</v>
      </c>
      <c r="F89" s="4">
        <v>0.5</v>
      </c>
    </row>
    <row r="90" spans="1:6" x14ac:dyDescent="0.35">
      <c r="A90">
        <v>9</v>
      </c>
      <c r="B90">
        <v>9</v>
      </c>
      <c r="C90" t="s">
        <v>138</v>
      </c>
      <c r="D90" s="4">
        <v>10</v>
      </c>
      <c r="E90" s="4">
        <v>15</v>
      </c>
      <c r="F90" s="4">
        <v>20</v>
      </c>
    </row>
    <row r="91" spans="1:6" x14ac:dyDescent="0.35">
      <c r="A91">
        <v>9</v>
      </c>
      <c r="B91">
        <v>10</v>
      </c>
      <c r="C91" t="s">
        <v>139</v>
      </c>
      <c r="D91" s="4">
        <v>0.12</v>
      </c>
      <c r="E91" s="4">
        <v>0.15</v>
      </c>
      <c r="F91" s="4">
        <v>0.2</v>
      </c>
    </row>
    <row r="92" spans="1:6" x14ac:dyDescent="0.35">
      <c r="A92">
        <v>10</v>
      </c>
      <c r="B92">
        <v>1</v>
      </c>
      <c r="C92" t="s">
        <v>130</v>
      </c>
      <c r="D92" s="4">
        <v>0.5</v>
      </c>
      <c r="E92" s="4">
        <v>2</v>
      </c>
      <c r="F92" s="4">
        <v>4</v>
      </c>
    </row>
    <row r="93" spans="1:6" x14ac:dyDescent="0.35">
      <c r="A93">
        <v>10</v>
      </c>
      <c r="B93">
        <v>2</v>
      </c>
      <c r="C93" t="s">
        <v>131</v>
      </c>
      <c r="D93" s="4">
        <v>40000</v>
      </c>
      <c r="E93" s="4">
        <v>70000</v>
      </c>
      <c r="F93" s="4">
        <v>80000</v>
      </c>
    </row>
    <row r="94" spans="1:6" x14ac:dyDescent="0.35">
      <c r="A94">
        <v>10</v>
      </c>
      <c r="B94">
        <v>3</v>
      </c>
      <c r="C94" t="s">
        <v>132</v>
      </c>
      <c r="D94" s="4">
        <v>15</v>
      </c>
      <c r="E94" s="4">
        <v>30</v>
      </c>
      <c r="F94" s="4">
        <v>40</v>
      </c>
    </row>
    <row r="95" spans="1:6" x14ac:dyDescent="0.35">
      <c r="A95">
        <v>10</v>
      </c>
      <c r="B95">
        <v>4</v>
      </c>
      <c r="C95" t="s">
        <v>133</v>
      </c>
      <c r="D95" s="4">
        <v>8</v>
      </c>
      <c r="E95" s="4">
        <v>16</v>
      </c>
      <c r="F95" s="4">
        <v>24</v>
      </c>
    </row>
    <row r="96" spans="1:6" x14ac:dyDescent="0.35">
      <c r="A96">
        <v>10</v>
      </c>
      <c r="B96">
        <v>5</v>
      </c>
      <c r="C96" t="s">
        <v>134</v>
      </c>
      <c r="D96" s="4">
        <v>700</v>
      </c>
      <c r="E96" s="4">
        <v>750</v>
      </c>
      <c r="F96" s="4">
        <v>800</v>
      </c>
    </row>
    <row r="97" spans="1:6" x14ac:dyDescent="0.35">
      <c r="A97">
        <v>10</v>
      </c>
      <c r="B97">
        <v>6</v>
      </c>
      <c r="C97" t="s">
        <v>135</v>
      </c>
      <c r="D97" s="4">
        <v>10</v>
      </c>
      <c r="E97" s="4">
        <v>25</v>
      </c>
      <c r="F97" s="4">
        <v>40</v>
      </c>
    </row>
    <row r="98" spans="1:6" x14ac:dyDescent="0.35">
      <c r="A98">
        <v>10</v>
      </c>
      <c r="B98">
        <v>7</v>
      </c>
      <c r="C98" t="s">
        <v>136</v>
      </c>
      <c r="D98" s="4">
        <v>3</v>
      </c>
      <c r="E98" s="4">
        <v>8</v>
      </c>
      <c r="F98" s="4">
        <v>15</v>
      </c>
    </row>
    <row r="99" spans="1:6" x14ac:dyDescent="0.35">
      <c r="A99">
        <v>10</v>
      </c>
      <c r="B99">
        <v>8</v>
      </c>
      <c r="C99" t="s">
        <v>137</v>
      </c>
      <c r="D99" s="4">
        <v>0.125</v>
      </c>
      <c r="E99" s="4">
        <v>0.25</v>
      </c>
      <c r="F99" s="4">
        <v>0.5</v>
      </c>
    </row>
    <row r="100" spans="1:6" x14ac:dyDescent="0.35">
      <c r="A100">
        <v>10</v>
      </c>
      <c r="B100">
        <v>9</v>
      </c>
      <c r="C100" t="s">
        <v>138</v>
      </c>
      <c r="D100" s="4">
        <v>15</v>
      </c>
      <c r="E100" s="4">
        <v>25</v>
      </c>
      <c r="F100" s="4">
        <v>35</v>
      </c>
    </row>
    <row r="101" spans="1:6" x14ac:dyDescent="0.35">
      <c r="A101">
        <v>10</v>
      </c>
      <c r="B101">
        <v>10</v>
      </c>
      <c r="C101" t="s">
        <v>139</v>
      </c>
      <c r="D101" s="4">
        <v>7.0000000000000001E-3</v>
      </c>
      <c r="E101" s="4">
        <v>8.9999999999999993E-3</v>
      </c>
      <c r="F101" s="4">
        <v>1.35E-2</v>
      </c>
    </row>
    <row r="102" spans="1:6" x14ac:dyDescent="0.35">
      <c r="A102">
        <v>11</v>
      </c>
      <c r="B102">
        <v>1</v>
      </c>
      <c r="C102" t="s">
        <v>130</v>
      </c>
      <c r="D102" s="4">
        <v>0.5</v>
      </c>
      <c r="E102" s="4">
        <v>1</v>
      </c>
      <c r="F102" s="4">
        <v>2</v>
      </c>
    </row>
    <row r="103" spans="1:6" x14ac:dyDescent="0.35">
      <c r="A103">
        <v>11</v>
      </c>
      <c r="B103">
        <v>2</v>
      </c>
      <c r="C103" t="s">
        <v>131</v>
      </c>
      <c r="D103" s="4">
        <v>150000</v>
      </c>
      <c r="E103" s="4">
        <v>200000</v>
      </c>
      <c r="F103" s="4">
        <v>250000</v>
      </c>
    </row>
    <row r="104" spans="1:6" x14ac:dyDescent="0.35">
      <c r="A104">
        <v>11</v>
      </c>
      <c r="B104">
        <v>3</v>
      </c>
      <c r="C104" t="s">
        <v>132</v>
      </c>
      <c r="D104" s="4">
        <v>15</v>
      </c>
      <c r="E104" s="4">
        <v>25</v>
      </c>
      <c r="F104" s="4">
        <v>35</v>
      </c>
    </row>
    <row r="105" spans="1:6" x14ac:dyDescent="0.35">
      <c r="A105">
        <v>11</v>
      </c>
      <c r="B105">
        <v>4</v>
      </c>
      <c r="C105" t="s">
        <v>133</v>
      </c>
      <c r="D105" s="4">
        <v>25</v>
      </c>
      <c r="E105" s="4">
        <v>50</v>
      </c>
      <c r="F105" s="4">
        <v>100</v>
      </c>
    </row>
    <row r="106" spans="1:6" x14ac:dyDescent="0.35">
      <c r="A106">
        <v>11</v>
      </c>
      <c r="B106">
        <v>5</v>
      </c>
      <c r="C106" t="s">
        <v>134</v>
      </c>
      <c r="D106" s="4">
        <v>1000</v>
      </c>
      <c r="E106" s="4">
        <v>1250</v>
      </c>
      <c r="F106" s="4">
        <v>1500</v>
      </c>
    </row>
    <row r="107" spans="1:6" x14ac:dyDescent="0.35">
      <c r="A107">
        <v>11</v>
      </c>
      <c r="B107">
        <v>6</v>
      </c>
      <c r="C107" t="s">
        <v>135</v>
      </c>
      <c r="D107" s="4">
        <v>25</v>
      </c>
      <c r="E107" s="4">
        <v>50</v>
      </c>
      <c r="F107" s="4">
        <v>75</v>
      </c>
    </row>
    <row r="108" spans="1:6" x14ac:dyDescent="0.35">
      <c r="A108">
        <v>11</v>
      </c>
      <c r="B108">
        <v>7</v>
      </c>
      <c r="C108" t="s">
        <v>136</v>
      </c>
      <c r="D108" s="4">
        <v>1</v>
      </c>
      <c r="E108" s="4">
        <v>2</v>
      </c>
      <c r="F108" s="4">
        <v>3</v>
      </c>
    </row>
    <row r="109" spans="1:6" x14ac:dyDescent="0.35">
      <c r="A109">
        <v>11</v>
      </c>
      <c r="B109">
        <v>8</v>
      </c>
      <c r="C109" t="s">
        <v>137</v>
      </c>
      <c r="D109" s="4">
        <v>0.25</v>
      </c>
      <c r="E109" s="4">
        <v>0.33333299999999999</v>
      </c>
      <c r="F109" s="4">
        <v>0.5</v>
      </c>
    </row>
    <row r="110" spans="1:6" x14ac:dyDescent="0.35">
      <c r="A110">
        <v>11</v>
      </c>
      <c r="B110">
        <v>9</v>
      </c>
      <c r="C110" t="s">
        <v>138</v>
      </c>
      <c r="D110" s="4">
        <v>5</v>
      </c>
      <c r="E110" s="4">
        <v>10</v>
      </c>
      <c r="F110" s="4">
        <v>15</v>
      </c>
    </row>
    <row r="111" spans="1:6" x14ac:dyDescent="0.35">
      <c r="A111">
        <v>11</v>
      </c>
      <c r="B111">
        <v>10</v>
      </c>
      <c r="C111" t="s">
        <v>139</v>
      </c>
      <c r="D111" s="4">
        <v>0.05</v>
      </c>
      <c r="E111" s="4">
        <v>0.1</v>
      </c>
      <c r="F111" s="4">
        <v>0.15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58"/>
  <dimension ref="A1:H41"/>
  <sheetViews>
    <sheetView workbookViewId="0"/>
  </sheetViews>
  <sheetFormatPr defaultRowHeight="14.5" x14ac:dyDescent="0.35"/>
  <sheetData>
    <row r="1" spans="1:8" x14ac:dyDescent="0.35">
      <c r="A1" t="s">
        <v>250</v>
      </c>
      <c r="D1">
        <v>5</v>
      </c>
      <c r="E1">
        <v>50</v>
      </c>
      <c r="F1">
        <v>95</v>
      </c>
      <c r="H1" t="s">
        <v>58</v>
      </c>
    </row>
    <row r="2" spans="1:8" x14ac:dyDescent="0.35">
      <c r="A2">
        <v>1</v>
      </c>
      <c r="B2">
        <v>1</v>
      </c>
      <c r="D2" s="4">
        <v>10</v>
      </c>
      <c r="E2" s="4">
        <v>20</v>
      </c>
      <c r="F2" s="4">
        <v>30</v>
      </c>
      <c r="H2" s="4">
        <v>8.56</v>
      </c>
    </row>
    <row r="3" spans="1:8" x14ac:dyDescent="0.35">
      <c r="A3">
        <v>1</v>
      </c>
      <c r="B3">
        <v>2</v>
      </c>
      <c r="D3" s="4">
        <v>15</v>
      </c>
      <c r="E3" s="4">
        <v>25</v>
      </c>
      <c r="F3" s="4">
        <v>29</v>
      </c>
      <c r="H3" s="4">
        <v>5.96</v>
      </c>
    </row>
    <row r="4" spans="1:8" x14ac:dyDescent="0.35">
      <c r="A4">
        <v>1</v>
      </c>
      <c r="B4">
        <v>3</v>
      </c>
      <c r="D4" s="4">
        <v>25</v>
      </c>
      <c r="E4" s="4">
        <v>35</v>
      </c>
      <c r="F4" s="4">
        <v>37</v>
      </c>
      <c r="H4" s="4">
        <v>10.34</v>
      </c>
    </row>
    <row r="5" spans="1:8" x14ac:dyDescent="0.35">
      <c r="A5">
        <v>1</v>
      </c>
      <c r="B5">
        <v>4</v>
      </c>
      <c r="D5" s="4">
        <v>-20</v>
      </c>
      <c r="E5" s="4">
        <v>-15</v>
      </c>
      <c r="F5" s="4">
        <v>-8</v>
      </c>
      <c r="H5" s="4">
        <v>11</v>
      </c>
    </row>
    <row r="6" spans="1:8" x14ac:dyDescent="0.35">
      <c r="A6">
        <v>1</v>
      </c>
      <c r="B6">
        <v>5</v>
      </c>
      <c r="D6" s="4">
        <v>60</v>
      </c>
      <c r="E6" s="4">
        <v>66</v>
      </c>
      <c r="F6" s="4">
        <v>70</v>
      </c>
      <c r="H6" s="4">
        <v>59.4</v>
      </c>
    </row>
    <row r="7" spans="1:8" x14ac:dyDescent="0.35">
      <c r="A7">
        <v>1</v>
      </c>
      <c r="B7">
        <v>6</v>
      </c>
      <c r="D7" s="4">
        <v>38.51</v>
      </c>
      <c r="E7" s="4">
        <v>48.14</v>
      </c>
      <c r="F7" s="4">
        <v>72.209999999999994</v>
      </c>
      <c r="H7" s="4">
        <v>-5.66</v>
      </c>
    </row>
    <row r="8" spans="1:8" x14ac:dyDescent="0.35">
      <c r="A8">
        <v>1</v>
      </c>
      <c r="B8">
        <v>7</v>
      </c>
      <c r="D8" s="4">
        <v>0.89300000000000002</v>
      </c>
      <c r="E8" s="4">
        <v>0.90900000000000003</v>
      </c>
      <c r="F8" s="4">
        <v>0.92600000000000005</v>
      </c>
      <c r="H8" s="4">
        <v>1.1000000000000001</v>
      </c>
    </row>
    <row r="9" spans="1:8" x14ac:dyDescent="0.35">
      <c r="A9">
        <v>1</v>
      </c>
      <c r="B9">
        <v>8</v>
      </c>
      <c r="D9" s="4">
        <v>40</v>
      </c>
      <c r="E9" s="4">
        <v>60</v>
      </c>
      <c r="F9" s="4">
        <v>70</v>
      </c>
      <c r="H9" s="4">
        <v>71.47</v>
      </c>
    </row>
    <row r="10" spans="1:8" x14ac:dyDescent="0.35">
      <c r="A10">
        <v>1</v>
      </c>
      <c r="B10">
        <v>9</v>
      </c>
      <c r="D10" s="4">
        <v>20</v>
      </c>
      <c r="E10" s="4">
        <v>25</v>
      </c>
      <c r="F10" s="4">
        <v>40</v>
      </c>
      <c r="H10" s="4">
        <v>44.29</v>
      </c>
    </row>
    <row r="11" spans="1:8" x14ac:dyDescent="0.35">
      <c r="A11">
        <v>1</v>
      </c>
      <c r="B11">
        <v>10</v>
      </c>
      <c r="D11" s="4">
        <v>1.1000000000000001</v>
      </c>
      <c r="E11" s="4">
        <v>1.5</v>
      </c>
      <c r="F11" s="4">
        <v>2</v>
      </c>
      <c r="H11" s="4">
        <v>0.54</v>
      </c>
    </row>
    <row r="12" spans="1:8" x14ac:dyDescent="0.35">
      <c r="A12">
        <v>2</v>
      </c>
      <c r="B12">
        <v>1</v>
      </c>
      <c r="D12" s="4">
        <v>10</v>
      </c>
      <c r="E12" s="4">
        <v>20</v>
      </c>
      <c r="F12" s="4">
        <v>40</v>
      </c>
    </row>
    <row r="13" spans="1:8" x14ac:dyDescent="0.35">
      <c r="A13">
        <v>2</v>
      </c>
      <c r="B13">
        <v>2</v>
      </c>
      <c r="D13" s="4">
        <v>10</v>
      </c>
      <c r="E13" s="4">
        <v>20</v>
      </c>
      <c r="F13" s="4">
        <v>40</v>
      </c>
    </row>
    <row r="14" spans="1:8" x14ac:dyDescent="0.35">
      <c r="A14">
        <v>2</v>
      </c>
      <c r="B14">
        <v>3</v>
      </c>
      <c r="D14" s="4">
        <v>4</v>
      </c>
      <c r="E14" s="4">
        <v>8</v>
      </c>
      <c r="F14" s="4">
        <v>20</v>
      </c>
    </row>
    <row r="15" spans="1:8" x14ac:dyDescent="0.35">
      <c r="A15">
        <v>2</v>
      </c>
      <c r="B15">
        <v>4</v>
      </c>
      <c r="D15" s="4">
        <v>-25</v>
      </c>
      <c r="E15" s="4">
        <v>-10</v>
      </c>
      <c r="F15" s="4">
        <v>0</v>
      </c>
    </row>
    <row r="16" spans="1:8" x14ac:dyDescent="0.35">
      <c r="A16">
        <v>2</v>
      </c>
      <c r="B16">
        <v>5</v>
      </c>
      <c r="D16" s="4">
        <v>8</v>
      </c>
      <c r="E16" s="4">
        <v>25</v>
      </c>
      <c r="F16" s="4">
        <v>50</v>
      </c>
    </row>
    <row r="17" spans="1:6" x14ac:dyDescent="0.35">
      <c r="A17">
        <v>2</v>
      </c>
      <c r="B17">
        <v>6</v>
      </c>
      <c r="D17" s="4">
        <v>14.44</v>
      </c>
      <c r="E17" s="4">
        <v>48.14</v>
      </c>
      <c r="F17" s="4">
        <v>96.28</v>
      </c>
    </row>
    <row r="18" spans="1:6" x14ac:dyDescent="0.35">
      <c r="A18">
        <v>2</v>
      </c>
      <c r="B18">
        <v>7</v>
      </c>
      <c r="D18" s="4">
        <v>3</v>
      </c>
      <c r="E18" s="4">
        <v>5</v>
      </c>
      <c r="F18" s="4">
        <v>2500</v>
      </c>
    </row>
    <row r="19" spans="1:6" x14ac:dyDescent="0.35">
      <c r="A19">
        <v>2</v>
      </c>
      <c r="B19">
        <v>8</v>
      </c>
      <c r="D19" s="4">
        <v>5</v>
      </c>
      <c r="E19" s="4">
        <v>20</v>
      </c>
      <c r="F19" s="4">
        <v>50</v>
      </c>
    </row>
    <row r="20" spans="1:6" x14ac:dyDescent="0.35">
      <c r="A20">
        <v>2</v>
      </c>
      <c r="B20">
        <v>9</v>
      </c>
      <c r="D20" s="4">
        <v>10</v>
      </c>
      <c r="E20" s="4">
        <v>20</v>
      </c>
      <c r="F20" s="4">
        <v>50</v>
      </c>
    </row>
    <row r="21" spans="1:6" x14ac:dyDescent="0.35">
      <c r="A21">
        <v>2</v>
      </c>
      <c r="B21">
        <v>10</v>
      </c>
      <c r="D21" s="4">
        <v>0.4</v>
      </c>
      <c r="E21" s="4">
        <v>1</v>
      </c>
      <c r="F21" s="4">
        <v>2</v>
      </c>
    </row>
    <row r="22" spans="1:6" x14ac:dyDescent="0.35">
      <c r="A22">
        <v>3</v>
      </c>
      <c r="B22">
        <v>1</v>
      </c>
      <c r="D22" s="4">
        <v>5</v>
      </c>
      <c r="E22" s="4">
        <v>15</v>
      </c>
      <c r="F22" s="4">
        <v>25</v>
      </c>
    </row>
    <row r="23" spans="1:6" x14ac:dyDescent="0.35">
      <c r="A23">
        <v>3</v>
      </c>
      <c r="B23">
        <v>2</v>
      </c>
      <c r="D23" s="4">
        <v>5</v>
      </c>
      <c r="E23" s="4">
        <v>10</v>
      </c>
      <c r="F23" s="4">
        <v>20</v>
      </c>
    </row>
    <row r="24" spans="1:6" x14ac:dyDescent="0.35">
      <c r="A24">
        <v>3</v>
      </c>
      <c r="B24">
        <v>3</v>
      </c>
      <c r="D24" s="4">
        <v>10</v>
      </c>
      <c r="E24" s="4">
        <v>20</v>
      </c>
      <c r="F24" s="4">
        <v>25</v>
      </c>
    </row>
    <row r="25" spans="1:6" x14ac:dyDescent="0.35">
      <c r="A25">
        <v>3</v>
      </c>
      <c r="B25">
        <v>4</v>
      </c>
      <c r="D25" s="4">
        <v>-10</v>
      </c>
      <c r="E25" s="4">
        <v>-4</v>
      </c>
      <c r="F25" s="4">
        <v>-2</v>
      </c>
    </row>
    <row r="26" spans="1:6" x14ac:dyDescent="0.35">
      <c r="A26">
        <v>3</v>
      </c>
      <c r="B26">
        <v>5</v>
      </c>
      <c r="D26" s="4">
        <v>55</v>
      </c>
      <c r="E26" s="4">
        <v>60</v>
      </c>
      <c r="F26" s="4">
        <v>65</v>
      </c>
    </row>
    <row r="27" spans="1:6" x14ac:dyDescent="0.35">
      <c r="A27">
        <v>3</v>
      </c>
      <c r="B27">
        <v>6</v>
      </c>
      <c r="D27" s="4">
        <v>50</v>
      </c>
      <c r="E27" s="4">
        <v>100</v>
      </c>
      <c r="F27" s="4">
        <v>150</v>
      </c>
    </row>
    <row r="28" spans="1:6" x14ac:dyDescent="0.35">
      <c r="A28">
        <v>3</v>
      </c>
      <c r="B28">
        <v>7</v>
      </c>
      <c r="D28" s="4">
        <v>1</v>
      </c>
      <c r="E28" s="4">
        <v>2</v>
      </c>
      <c r="F28" s="4">
        <v>5</v>
      </c>
    </row>
    <row r="29" spans="1:6" x14ac:dyDescent="0.35">
      <c r="A29">
        <v>3</v>
      </c>
      <c r="B29">
        <v>8</v>
      </c>
      <c r="D29" s="4">
        <v>50</v>
      </c>
      <c r="E29" s="4">
        <v>75</v>
      </c>
      <c r="F29" s="4">
        <v>95</v>
      </c>
    </row>
    <row r="30" spans="1:6" x14ac:dyDescent="0.35">
      <c r="A30">
        <v>3</v>
      </c>
      <c r="B30">
        <v>9</v>
      </c>
      <c r="D30" s="4">
        <v>30</v>
      </c>
      <c r="E30" s="4">
        <v>50</v>
      </c>
      <c r="F30" s="4">
        <v>75</v>
      </c>
    </row>
    <row r="31" spans="1:6" x14ac:dyDescent="0.35">
      <c r="A31">
        <v>3</v>
      </c>
      <c r="B31">
        <v>10</v>
      </c>
      <c r="D31" s="4">
        <v>0.25</v>
      </c>
      <c r="E31" s="4">
        <v>1</v>
      </c>
      <c r="F31" s="4">
        <v>4</v>
      </c>
    </row>
    <row r="32" spans="1:6" x14ac:dyDescent="0.35">
      <c r="A32">
        <v>4</v>
      </c>
      <c r="B32">
        <v>1</v>
      </c>
      <c r="D32" s="4">
        <v>40</v>
      </c>
      <c r="E32" s="4">
        <v>50</v>
      </c>
      <c r="F32" s="4">
        <v>60</v>
      </c>
    </row>
    <row r="33" spans="1:6" x14ac:dyDescent="0.35">
      <c r="A33">
        <v>4</v>
      </c>
      <c r="B33">
        <v>2</v>
      </c>
      <c r="D33" s="4">
        <v>40</v>
      </c>
      <c r="E33" s="4">
        <v>50</v>
      </c>
      <c r="F33" s="4">
        <v>60</v>
      </c>
    </row>
    <row r="34" spans="1:6" x14ac:dyDescent="0.35">
      <c r="A34">
        <v>4</v>
      </c>
      <c r="B34">
        <v>3</v>
      </c>
      <c r="D34" s="4">
        <v>50</v>
      </c>
      <c r="E34" s="4">
        <v>60</v>
      </c>
      <c r="F34" s="4">
        <v>70</v>
      </c>
    </row>
    <row r="35" spans="1:6" x14ac:dyDescent="0.35">
      <c r="A35">
        <v>4</v>
      </c>
      <c r="B35">
        <v>4</v>
      </c>
      <c r="D35" s="4">
        <v>-15</v>
      </c>
      <c r="E35" s="4">
        <v>-13</v>
      </c>
      <c r="F35" s="4">
        <v>-10</v>
      </c>
    </row>
    <row r="36" spans="1:6" x14ac:dyDescent="0.35">
      <c r="A36">
        <v>4</v>
      </c>
      <c r="B36">
        <v>5</v>
      </c>
      <c r="D36" s="4">
        <v>60</v>
      </c>
      <c r="E36" s="4">
        <v>70</v>
      </c>
      <c r="F36" s="4">
        <v>75</v>
      </c>
    </row>
    <row r="37" spans="1:6" x14ac:dyDescent="0.35">
      <c r="A37">
        <v>4</v>
      </c>
      <c r="B37">
        <v>6</v>
      </c>
      <c r="D37" s="4">
        <v>-100</v>
      </c>
      <c r="E37" s="4">
        <v>-50</v>
      </c>
      <c r="F37" s="4">
        <v>-10</v>
      </c>
    </row>
    <row r="38" spans="1:6" x14ac:dyDescent="0.35">
      <c r="A38">
        <v>4</v>
      </c>
      <c r="B38">
        <v>7</v>
      </c>
      <c r="D38" s="4">
        <v>1.05</v>
      </c>
      <c r="E38" s="4">
        <v>1.18</v>
      </c>
      <c r="F38" s="4">
        <v>1.25</v>
      </c>
    </row>
    <row r="39" spans="1:6" x14ac:dyDescent="0.35">
      <c r="A39">
        <v>4</v>
      </c>
      <c r="B39">
        <v>8</v>
      </c>
      <c r="D39" s="4">
        <v>5</v>
      </c>
      <c r="E39" s="4">
        <v>80</v>
      </c>
      <c r="F39" s="4">
        <v>95</v>
      </c>
    </row>
    <row r="40" spans="1:6" x14ac:dyDescent="0.35">
      <c r="A40">
        <v>4</v>
      </c>
      <c r="B40">
        <v>9</v>
      </c>
      <c r="D40" s="4">
        <v>5</v>
      </c>
      <c r="E40" s="4">
        <v>80</v>
      </c>
      <c r="F40" s="4">
        <v>90</v>
      </c>
    </row>
    <row r="41" spans="1:6" x14ac:dyDescent="0.35">
      <c r="A41">
        <v>4</v>
      </c>
      <c r="B41">
        <v>10</v>
      </c>
      <c r="D41" s="4">
        <v>1</v>
      </c>
      <c r="E41" s="4">
        <v>1.25</v>
      </c>
      <c r="F41" s="4">
        <v>1.67</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19"/>
  <dimension ref="A1:L76"/>
  <sheetViews>
    <sheetView workbookViewId="0">
      <selection sqref="A1:XFD1048576"/>
    </sheetView>
  </sheetViews>
  <sheetFormatPr defaultRowHeight="14.5" x14ac:dyDescent="0.35"/>
  <sheetData>
    <row r="1" spans="1:12" x14ac:dyDescent="0.35">
      <c r="A1" t="s">
        <v>343</v>
      </c>
    </row>
    <row r="2" spans="1:12" x14ac:dyDescent="0.35">
      <c r="A2">
        <v>1</v>
      </c>
      <c r="B2">
        <v>1</v>
      </c>
      <c r="C2" t="s">
        <v>404</v>
      </c>
      <c r="D2" s="4">
        <v>0.38</v>
      </c>
      <c r="E2" s="4">
        <v>0.45</v>
      </c>
      <c r="F2" s="4">
        <v>0.57999999999999996</v>
      </c>
      <c r="H2" s="4">
        <v>0.59</v>
      </c>
      <c r="L2" s="4"/>
    </row>
    <row r="3" spans="1:12" x14ac:dyDescent="0.35">
      <c r="A3">
        <v>1</v>
      </c>
      <c r="B3">
        <v>2</v>
      </c>
      <c r="C3" t="s">
        <v>405</v>
      </c>
      <c r="D3" s="4">
        <v>1.1299999999999999</v>
      </c>
      <c r="E3" s="4">
        <v>1.4</v>
      </c>
      <c r="F3" s="4">
        <v>1.77</v>
      </c>
      <c r="H3" s="4">
        <v>1.125</v>
      </c>
      <c r="L3" s="4"/>
    </row>
    <row r="4" spans="1:12" x14ac:dyDescent="0.35">
      <c r="A4">
        <v>1</v>
      </c>
      <c r="B4">
        <v>3</v>
      </c>
      <c r="C4" t="s">
        <v>406</v>
      </c>
      <c r="D4" s="4">
        <v>0.55000000000000004</v>
      </c>
      <c r="E4" s="4">
        <v>0.6</v>
      </c>
      <c r="F4" s="4">
        <v>0.7</v>
      </c>
      <c r="H4" s="4">
        <v>0.45700000000000002</v>
      </c>
      <c r="L4" s="4"/>
    </row>
    <row r="5" spans="1:12" x14ac:dyDescent="0.35">
      <c r="A5">
        <v>1</v>
      </c>
      <c r="B5">
        <v>4</v>
      </c>
      <c r="C5" t="s">
        <v>407</v>
      </c>
      <c r="D5" s="4">
        <v>1.18</v>
      </c>
      <c r="E5" s="4">
        <v>1.35</v>
      </c>
      <c r="F5" s="4">
        <v>1.41</v>
      </c>
      <c r="H5" s="4">
        <v>1.1830000000000001</v>
      </c>
      <c r="L5" s="4"/>
    </row>
    <row r="6" spans="1:12" x14ac:dyDescent="0.35">
      <c r="A6">
        <v>1</v>
      </c>
      <c r="B6">
        <v>5</v>
      </c>
      <c r="C6" t="s">
        <v>408</v>
      </c>
      <c r="D6" s="4">
        <v>0.55000000000000004</v>
      </c>
      <c r="E6" s="4">
        <v>0.6</v>
      </c>
      <c r="F6" s="4">
        <v>0.7</v>
      </c>
      <c r="H6" s="4">
        <v>0.81599999999999995</v>
      </c>
      <c r="L6" s="4"/>
    </row>
    <row r="7" spans="1:12" x14ac:dyDescent="0.35">
      <c r="A7">
        <v>1</v>
      </c>
      <c r="B7">
        <v>6</v>
      </c>
      <c r="C7" t="s">
        <v>409</v>
      </c>
      <c r="D7" s="4">
        <v>1.7</v>
      </c>
      <c r="E7" s="4">
        <v>1.9</v>
      </c>
      <c r="F7" s="4">
        <v>2</v>
      </c>
      <c r="H7" s="4">
        <v>1.325</v>
      </c>
      <c r="L7" s="4"/>
    </row>
    <row r="8" spans="1:12" x14ac:dyDescent="0.35">
      <c r="A8">
        <v>1</v>
      </c>
      <c r="B8">
        <v>7</v>
      </c>
      <c r="C8" t="s">
        <v>410</v>
      </c>
      <c r="D8" s="4">
        <v>0.6</v>
      </c>
      <c r="E8" s="4">
        <v>0.72</v>
      </c>
      <c r="F8" s="4">
        <v>0.8</v>
      </c>
      <c r="H8" s="4">
        <v>0.63600000000000001</v>
      </c>
      <c r="L8" s="4"/>
    </row>
    <row r="9" spans="1:12" x14ac:dyDescent="0.35">
      <c r="A9">
        <v>1</v>
      </c>
      <c r="B9">
        <v>8</v>
      </c>
      <c r="C9" t="s">
        <v>411</v>
      </c>
      <c r="D9" s="4">
        <v>1.21</v>
      </c>
      <c r="E9" s="4">
        <v>1.46</v>
      </c>
      <c r="F9" s="4">
        <v>1.6</v>
      </c>
      <c r="H9" s="4">
        <v>1.2110000000000001</v>
      </c>
      <c r="L9" s="4"/>
    </row>
    <row r="10" spans="1:12" x14ac:dyDescent="0.35">
      <c r="A10">
        <v>1</v>
      </c>
      <c r="B10">
        <v>9</v>
      </c>
      <c r="C10" t="s">
        <v>412</v>
      </c>
      <c r="D10" s="4">
        <v>0.6</v>
      </c>
      <c r="E10" s="4">
        <v>0.72</v>
      </c>
      <c r="F10" s="4">
        <v>0.8</v>
      </c>
      <c r="H10" s="4">
        <v>0.85099999999999998</v>
      </c>
      <c r="L10" s="4"/>
    </row>
    <row r="11" spans="1:12" x14ac:dyDescent="0.35">
      <c r="A11">
        <v>1</v>
      </c>
      <c r="B11">
        <v>10</v>
      </c>
      <c r="C11" t="s">
        <v>413</v>
      </c>
      <c r="D11" s="4">
        <v>1.45</v>
      </c>
      <c r="E11" s="4">
        <v>1.6</v>
      </c>
      <c r="F11" s="4">
        <v>1.88</v>
      </c>
      <c r="H11" s="4">
        <v>1.2869999999999999</v>
      </c>
      <c r="L11" s="4"/>
    </row>
    <row r="12" spans="1:12" x14ac:dyDescent="0.35">
      <c r="A12">
        <v>1</v>
      </c>
      <c r="B12">
        <v>11</v>
      </c>
      <c r="C12" t="s">
        <v>414</v>
      </c>
      <c r="D12" s="4">
        <v>0.45</v>
      </c>
      <c r="E12" s="4">
        <v>0.6</v>
      </c>
      <c r="F12" s="4">
        <v>0.75</v>
      </c>
      <c r="L12" s="4"/>
    </row>
    <row r="13" spans="1:12" x14ac:dyDescent="0.35">
      <c r="A13">
        <v>1</v>
      </c>
      <c r="B13">
        <v>12</v>
      </c>
      <c r="C13" t="s">
        <v>415</v>
      </c>
      <c r="D13" s="4">
        <v>0.3</v>
      </c>
      <c r="E13" s="4">
        <v>0.4</v>
      </c>
      <c r="F13" s="4">
        <v>0.5</v>
      </c>
      <c r="L13" s="4"/>
    </row>
    <row r="14" spans="1:12" x14ac:dyDescent="0.35">
      <c r="A14">
        <v>1</v>
      </c>
      <c r="B14">
        <v>13</v>
      </c>
      <c r="C14" t="s">
        <v>416</v>
      </c>
      <c r="D14" s="4">
        <v>0.5</v>
      </c>
      <c r="E14" s="4">
        <v>0.6</v>
      </c>
      <c r="F14" s="4">
        <v>0.7</v>
      </c>
      <c r="L14" s="4"/>
    </row>
    <row r="15" spans="1:12" x14ac:dyDescent="0.35">
      <c r="A15">
        <v>1</v>
      </c>
      <c r="B15">
        <v>14</v>
      </c>
      <c r="C15" t="s">
        <v>417</v>
      </c>
      <c r="D15" s="4">
        <v>0.3</v>
      </c>
      <c r="E15" s="4">
        <v>0.45</v>
      </c>
      <c r="F15" s="4">
        <v>0.6</v>
      </c>
      <c r="L15" s="4"/>
    </row>
    <row r="16" spans="1:12" x14ac:dyDescent="0.35">
      <c r="A16">
        <v>1</v>
      </c>
      <c r="B16">
        <v>15</v>
      </c>
      <c r="C16" t="s">
        <v>418</v>
      </c>
      <c r="D16" s="4">
        <v>0.5</v>
      </c>
      <c r="E16" s="4">
        <v>0.65</v>
      </c>
      <c r="F16" s="4">
        <v>0.8</v>
      </c>
      <c r="L16" s="4"/>
    </row>
    <row r="17" spans="1:6" x14ac:dyDescent="0.35">
      <c r="A17">
        <v>2</v>
      </c>
      <c r="B17">
        <v>1</v>
      </c>
      <c r="C17" t="s">
        <v>404</v>
      </c>
      <c r="D17" s="4">
        <v>1</v>
      </c>
      <c r="E17" s="4">
        <v>1.2</v>
      </c>
      <c r="F17" s="4">
        <v>1.27</v>
      </c>
    </row>
    <row r="18" spans="1:6" x14ac:dyDescent="0.35">
      <c r="A18">
        <v>2</v>
      </c>
      <c r="B18">
        <v>2</v>
      </c>
      <c r="C18" t="s">
        <v>405</v>
      </c>
      <c r="D18" s="4">
        <v>1.1000000000000001</v>
      </c>
      <c r="E18" s="4">
        <v>1.2</v>
      </c>
      <c r="F18" s="4">
        <v>1.6</v>
      </c>
    </row>
    <row r="19" spans="1:6" x14ac:dyDescent="0.35">
      <c r="A19">
        <v>2</v>
      </c>
      <c r="B19">
        <v>3</v>
      </c>
      <c r="C19" t="s">
        <v>406</v>
      </c>
      <c r="D19" s="4">
        <v>1</v>
      </c>
      <c r="E19" s="4">
        <v>1.2</v>
      </c>
      <c r="F19" s="4">
        <v>1.4</v>
      </c>
    </row>
    <row r="20" spans="1:6" x14ac:dyDescent="0.35">
      <c r="A20">
        <v>2</v>
      </c>
      <c r="B20">
        <v>4</v>
      </c>
      <c r="C20" t="s">
        <v>407</v>
      </c>
      <c r="D20" s="4">
        <v>1.2</v>
      </c>
      <c r="E20" s="4">
        <v>1.5</v>
      </c>
      <c r="F20" s="4">
        <v>1.7</v>
      </c>
    </row>
    <row r="21" spans="1:6" x14ac:dyDescent="0.35">
      <c r="A21">
        <v>2</v>
      </c>
      <c r="B21">
        <v>5</v>
      </c>
      <c r="C21" t="s">
        <v>408</v>
      </c>
      <c r="D21" s="4">
        <v>1.1000000000000001</v>
      </c>
      <c r="E21" s="4">
        <v>1.6</v>
      </c>
      <c r="F21" s="4">
        <v>2</v>
      </c>
    </row>
    <row r="22" spans="1:6" x14ac:dyDescent="0.35">
      <c r="A22">
        <v>2</v>
      </c>
      <c r="B22">
        <v>6</v>
      </c>
      <c r="C22" t="s">
        <v>409</v>
      </c>
      <c r="D22" s="4">
        <v>1.3</v>
      </c>
      <c r="E22" s="4">
        <v>1.8</v>
      </c>
      <c r="F22" s="4">
        <v>2.5</v>
      </c>
    </row>
    <row r="23" spans="1:6" x14ac:dyDescent="0.35">
      <c r="A23">
        <v>2</v>
      </c>
      <c r="B23">
        <v>7</v>
      </c>
      <c r="C23" t="s">
        <v>410</v>
      </c>
      <c r="D23" s="4">
        <v>0.7</v>
      </c>
      <c r="E23" s="4">
        <v>1</v>
      </c>
      <c r="F23" s="4">
        <v>1.3</v>
      </c>
    </row>
    <row r="24" spans="1:6" x14ac:dyDescent="0.35">
      <c r="A24">
        <v>2</v>
      </c>
      <c r="B24">
        <v>8</v>
      </c>
      <c r="C24" t="s">
        <v>411</v>
      </c>
      <c r="D24" s="4">
        <v>1</v>
      </c>
      <c r="E24" s="4">
        <v>1.2</v>
      </c>
      <c r="F24" s="4">
        <v>1.4</v>
      </c>
    </row>
    <row r="25" spans="1:6" x14ac:dyDescent="0.35">
      <c r="A25">
        <v>2</v>
      </c>
      <c r="B25">
        <v>9</v>
      </c>
      <c r="C25" t="s">
        <v>412</v>
      </c>
      <c r="D25" s="4">
        <v>1</v>
      </c>
      <c r="E25" s="4">
        <v>1.3</v>
      </c>
      <c r="F25" s="4">
        <v>1.7</v>
      </c>
    </row>
    <row r="26" spans="1:6" x14ac:dyDescent="0.35">
      <c r="A26">
        <v>2</v>
      </c>
      <c r="B26">
        <v>10</v>
      </c>
      <c r="C26" t="s">
        <v>413</v>
      </c>
      <c r="D26" s="4">
        <v>1.3</v>
      </c>
      <c r="E26" s="4">
        <v>1.8</v>
      </c>
      <c r="F26" s="4">
        <v>2.5</v>
      </c>
    </row>
    <row r="27" spans="1:6" x14ac:dyDescent="0.35">
      <c r="A27">
        <v>2</v>
      </c>
      <c r="B27">
        <v>11</v>
      </c>
      <c r="C27" t="s">
        <v>414</v>
      </c>
      <c r="D27" s="4">
        <v>0.3</v>
      </c>
      <c r="E27" s="4">
        <v>0.5</v>
      </c>
      <c r="F27" s="4">
        <v>0.7</v>
      </c>
    </row>
    <row r="28" spans="1:6" x14ac:dyDescent="0.35">
      <c r="A28">
        <v>2</v>
      </c>
      <c r="B28">
        <v>12</v>
      </c>
      <c r="C28" t="s">
        <v>415</v>
      </c>
      <c r="D28" s="4">
        <v>0.4</v>
      </c>
      <c r="E28" s="4">
        <v>0.7</v>
      </c>
      <c r="F28" s="4">
        <v>0.9</v>
      </c>
    </row>
    <row r="29" spans="1:6" x14ac:dyDescent="0.35">
      <c r="A29">
        <v>2</v>
      </c>
      <c r="B29">
        <v>13</v>
      </c>
      <c r="C29" t="s">
        <v>416</v>
      </c>
      <c r="D29" s="4">
        <v>0.3</v>
      </c>
      <c r="E29" s="4">
        <v>0.6</v>
      </c>
      <c r="F29" s="4">
        <v>0.8</v>
      </c>
    </row>
    <row r="30" spans="1:6" x14ac:dyDescent="0.35">
      <c r="A30">
        <v>2</v>
      </c>
      <c r="B30">
        <v>14</v>
      </c>
      <c r="C30" t="s">
        <v>417</v>
      </c>
      <c r="D30" s="4">
        <v>0.3</v>
      </c>
      <c r="E30" s="4">
        <v>0.5</v>
      </c>
      <c r="F30" s="4">
        <v>0.7</v>
      </c>
    </row>
    <row r="31" spans="1:6" x14ac:dyDescent="0.35">
      <c r="A31">
        <v>2</v>
      </c>
      <c r="B31">
        <v>15</v>
      </c>
      <c r="C31" t="s">
        <v>418</v>
      </c>
      <c r="D31" s="4">
        <v>0.3</v>
      </c>
      <c r="E31" s="4">
        <v>0.5</v>
      </c>
      <c r="F31" s="4">
        <v>0.7</v>
      </c>
    </row>
    <row r="32" spans="1:6" x14ac:dyDescent="0.35">
      <c r="A32">
        <v>3</v>
      </c>
      <c r="B32">
        <v>1</v>
      </c>
      <c r="C32" t="s">
        <v>404</v>
      </c>
      <c r="D32" s="4">
        <v>0.8</v>
      </c>
      <c r="E32" s="4">
        <v>1</v>
      </c>
      <c r="F32" s="4">
        <v>1.3</v>
      </c>
    </row>
    <row r="33" spans="1:6" x14ac:dyDescent="0.35">
      <c r="A33">
        <v>3</v>
      </c>
      <c r="B33">
        <v>2</v>
      </c>
      <c r="C33" t="s">
        <v>405</v>
      </c>
      <c r="D33" s="4">
        <v>1</v>
      </c>
      <c r="E33" s="4">
        <v>1.2</v>
      </c>
      <c r="F33" s="4">
        <v>1.45</v>
      </c>
    </row>
    <row r="34" spans="1:6" x14ac:dyDescent="0.35">
      <c r="A34">
        <v>3</v>
      </c>
      <c r="B34">
        <v>3</v>
      </c>
      <c r="C34" t="s">
        <v>406</v>
      </c>
      <c r="D34" s="4">
        <v>0.45</v>
      </c>
      <c r="E34" s="4">
        <v>0.55000000000000004</v>
      </c>
      <c r="F34" s="4">
        <v>0.75</v>
      </c>
    </row>
    <row r="35" spans="1:6" x14ac:dyDescent="0.35">
      <c r="A35">
        <v>3</v>
      </c>
      <c r="B35">
        <v>4</v>
      </c>
      <c r="C35" t="s">
        <v>407</v>
      </c>
      <c r="D35" s="4">
        <v>1</v>
      </c>
      <c r="E35" s="4">
        <v>1.1000000000000001</v>
      </c>
      <c r="F35" s="4">
        <v>1.3</v>
      </c>
    </row>
    <row r="36" spans="1:6" x14ac:dyDescent="0.35">
      <c r="A36">
        <v>3</v>
      </c>
      <c r="B36">
        <v>5</v>
      </c>
      <c r="C36" t="s">
        <v>408</v>
      </c>
      <c r="D36" s="4">
        <v>0.75</v>
      </c>
      <c r="E36" s="4">
        <v>0.9</v>
      </c>
      <c r="F36" s="4">
        <v>1.1499999999999999</v>
      </c>
    </row>
    <row r="37" spans="1:6" x14ac:dyDescent="0.35">
      <c r="A37">
        <v>3</v>
      </c>
      <c r="B37">
        <v>6</v>
      </c>
      <c r="C37" t="s">
        <v>409</v>
      </c>
      <c r="D37" s="4">
        <v>1.1000000000000001</v>
      </c>
      <c r="E37" s="4">
        <v>1.5</v>
      </c>
      <c r="F37" s="4">
        <v>2</v>
      </c>
    </row>
    <row r="38" spans="1:6" x14ac:dyDescent="0.35">
      <c r="A38">
        <v>3</v>
      </c>
      <c r="B38">
        <v>7</v>
      </c>
      <c r="C38" t="s">
        <v>410</v>
      </c>
      <c r="D38" s="4">
        <v>0.75</v>
      </c>
      <c r="E38" s="4">
        <v>0.8</v>
      </c>
      <c r="F38" s="4">
        <v>0.95</v>
      </c>
    </row>
    <row r="39" spans="1:6" x14ac:dyDescent="0.35">
      <c r="A39">
        <v>3</v>
      </c>
      <c r="B39">
        <v>8</v>
      </c>
      <c r="C39" t="s">
        <v>411</v>
      </c>
      <c r="D39" s="4">
        <v>1</v>
      </c>
      <c r="E39" s="4">
        <v>1.3</v>
      </c>
      <c r="F39" s="4">
        <v>1.6</v>
      </c>
    </row>
    <row r="40" spans="1:6" x14ac:dyDescent="0.35">
      <c r="A40">
        <v>3</v>
      </c>
      <c r="B40">
        <v>9</v>
      </c>
      <c r="C40" t="s">
        <v>412</v>
      </c>
      <c r="D40" s="4">
        <v>0.6</v>
      </c>
      <c r="E40" s="4">
        <v>0.7</v>
      </c>
      <c r="F40" s="4">
        <v>0.8</v>
      </c>
    </row>
    <row r="41" spans="1:6" x14ac:dyDescent="0.35">
      <c r="A41">
        <v>3</v>
      </c>
      <c r="B41">
        <v>10</v>
      </c>
      <c r="C41" t="s">
        <v>413</v>
      </c>
      <c r="D41" s="4">
        <v>1</v>
      </c>
      <c r="E41" s="4">
        <v>1.1000000000000001</v>
      </c>
      <c r="F41" s="4">
        <v>1.2</v>
      </c>
    </row>
    <row r="42" spans="1:6" x14ac:dyDescent="0.35">
      <c r="A42">
        <v>3</v>
      </c>
      <c r="B42">
        <v>11</v>
      </c>
      <c r="C42" t="s">
        <v>414</v>
      </c>
      <c r="D42" s="4">
        <v>0.7</v>
      </c>
      <c r="E42" s="4">
        <v>0.8</v>
      </c>
      <c r="F42" s="4">
        <v>0.95</v>
      </c>
    </row>
    <row r="43" spans="1:6" x14ac:dyDescent="0.35">
      <c r="A43">
        <v>3</v>
      </c>
      <c r="B43">
        <v>12</v>
      </c>
      <c r="C43" t="s">
        <v>415</v>
      </c>
      <c r="D43" s="4">
        <v>0.65</v>
      </c>
      <c r="E43" s="4">
        <v>0.75</v>
      </c>
      <c r="F43" s="4">
        <v>0.9</v>
      </c>
    </row>
    <row r="44" spans="1:6" x14ac:dyDescent="0.35">
      <c r="A44">
        <v>3</v>
      </c>
      <c r="B44">
        <v>13</v>
      </c>
      <c r="C44" t="s">
        <v>416</v>
      </c>
      <c r="D44" s="4">
        <v>0.5</v>
      </c>
      <c r="E44" s="4">
        <v>0.7</v>
      </c>
      <c r="F44" s="4">
        <v>0.9</v>
      </c>
    </row>
    <row r="45" spans="1:6" x14ac:dyDescent="0.35">
      <c r="A45">
        <v>3</v>
      </c>
      <c r="B45">
        <v>14</v>
      </c>
      <c r="C45" t="s">
        <v>417</v>
      </c>
      <c r="D45" s="4">
        <v>0.35</v>
      </c>
      <c r="E45" s="4">
        <v>0.6</v>
      </c>
      <c r="F45" s="4">
        <v>0.85</v>
      </c>
    </row>
    <row r="46" spans="1:6" x14ac:dyDescent="0.35">
      <c r="A46">
        <v>3</v>
      </c>
      <c r="B46">
        <v>15</v>
      </c>
      <c r="C46" t="s">
        <v>418</v>
      </c>
      <c r="D46" s="4">
        <v>0.8</v>
      </c>
      <c r="E46" s="4">
        <v>0.9</v>
      </c>
      <c r="F46" s="4">
        <v>0.95</v>
      </c>
    </row>
    <row r="47" spans="1:6" x14ac:dyDescent="0.35">
      <c r="A47">
        <v>4</v>
      </c>
      <c r="B47">
        <v>1</v>
      </c>
      <c r="C47" t="s">
        <v>404</v>
      </c>
      <c r="D47" s="4">
        <v>0.5</v>
      </c>
      <c r="E47" s="4">
        <v>0.6</v>
      </c>
      <c r="F47" s="4">
        <v>0.7</v>
      </c>
    </row>
    <row r="48" spans="1:6" x14ac:dyDescent="0.35">
      <c r="A48">
        <v>4</v>
      </c>
      <c r="B48">
        <v>2</v>
      </c>
      <c r="C48" t="s">
        <v>405</v>
      </c>
      <c r="D48" s="4">
        <v>1.1000000000000001</v>
      </c>
      <c r="E48" s="4">
        <v>1.3</v>
      </c>
      <c r="F48" s="4">
        <v>1.8</v>
      </c>
    </row>
    <row r="49" spans="1:6" x14ac:dyDescent="0.35">
      <c r="A49">
        <v>4</v>
      </c>
      <c r="B49">
        <v>3</v>
      </c>
      <c r="C49" t="s">
        <v>406</v>
      </c>
      <c r="D49" s="4">
        <v>0.55000000000000004</v>
      </c>
      <c r="E49" s="4">
        <v>0.62</v>
      </c>
      <c r="F49" s="4">
        <v>0.7</v>
      </c>
    </row>
    <row r="50" spans="1:6" x14ac:dyDescent="0.35">
      <c r="A50">
        <v>4</v>
      </c>
      <c r="B50">
        <v>4</v>
      </c>
      <c r="C50" t="s">
        <v>407</v>
      </c>
      <c r="D50" s="4">
        <v>1.05</v>
      </c>
      <c r="E50" s="4">
        <v>1.2</v>
      </c>
      <c r="F50" s="4">
        <v>1.4</v>
      </c>
    </row>
    <row r="51" spans="1:6" x14ac:dyDescent="0.35">
      <c r="A51">
        <v>4</v>
      </c>
      <c r="B51">
        <v>5</v>
      </c>
      <c r="C51" t="s">
        <v>408</v>
      </c>
      <c r="D51" s="4">
        <v>0.65</v>
      </c>
      <c r="E51" s="4">
        <v>0.75</v>
      </c>
      <c r="F51" s="4">
        <v>0.85</v>
      </c>
    </row>
    <row r="52" spans="1:6" x14ac:dyDescent="0.35">
      <c r="A52">
        <v>4</v>
      </c>
      <c r="B52">
        <v>6</v>
      </c>
      <c r="C52" t="s">
        <v>409</v>
      </c>
      <c r="D52" s="4">
        <v>2</v>
      </c>
      <c r="E52" s="4">
        <v>3</v>
      </c>
      <c r="F52" s="4">
        <v>5</v>
      </c>
    </row>
    <row r="53" spans="1:6" x14ac:dyDescent="0.35">
      <c r="A53">
        <v>4</v>
      </c>
      <c r="B53">
        <v>7</v>
      </c>
      <c r="C53" t="s">
        <v>410</v>
      </c>
      <c r="D53" s="4">
        <v>0.5</v>
      </c>
      <c r="E53" s="4">
        <v>0.6</v>
      </c>
      <c r="F53" s="4">
        <v>0.8</v>
      </c>
    </row>
    <row r="54" spans="1:6" x14ac:dyDescent="0.35">
      <c r="A54">
        <v>4</v>
      </c>
      <c r="B54">
        <v>8</v>
      </c>
      <c r="C54" t="s">
        <v>411</v>
      </c>
      <c r="D54" s="4">
        <v>1.5</v>
      </c>
      <c r="E54" s="4">
        <v>2</v>
      </c>
      <c r="F54" s="4">
        <v>3.5</v>
      </c>
    </row>
    <row r="55" spans="1:6" x14ac:dyDescent="0.35">
      <c r="A55">
        <v>4</v>
      </c>
      <c r="B55">
        <v>9</v>
      </c>
      <c r="C55" t="s">
        <v>412</v>
      </c>
      <c r="D55" s="4">
        <v>0.55000000000000004</v>
      </c>
      <c r="E55" s="4">
        <v>0.65</v>
      </c>
      <c r="F55" s="4">
        <v>1</v>
      </c>
    </row>
    <row r="56" spans="1:6" x14ac:dyDescent="0.35">
      <c r="A56">
        <v>4</v>
      </c>
      <c r="B56">
        <v>10</v>
      </c>
      <c r="C56" t="s">
        <v>413</v>
      </c>
      <c r="D56" s="4">
        <v>1.4</v>
      </c>
      <c r="E56" s="4">
        <v>1.9</v>
      </c>
      <c r="F56" s="4">
        <v>3.4</v>
      </c>
    </row>
    <row r="57" spans="1:6" x14ac:dyDescent="0.35">
      <c r="A57">
        <v>4</v>
      </c>
      <c r="B57">
        <v>11</v>
      </c>
      <c r="C57" t="s">
        <v>414</v>
      </c>
      <c r="D57" s="4">
        <v>0.05</v>
      </c>
      <c r="E57" s="4">
        <v>0.3</v>
      </c>
      <c r="F57" s="4">
        <v>0.5</v>
      </c>
    </row>
    <row r="58" spans="1:6" x14ac:dyDescent="0.35">
      <c r="A58">
        <v>4</v>
      </c>
      <c r="B58">
        <v>12</v>
      </c>
      <c r="C58" t="s">
        <v>415</v>
      </c>
      <c r="D58" s="4">
        <v>0.05</v>
      </c>
      <c r="E58" s="4">
        <v>0.3</v>
      </c>
      <c r="F58" s="4">
        <v>0.5</v>
      </c>
    </row>
    <row r="59" spans="1:6" x14ac:dyDescent="0.35">
      <c r="A59">
        <v>4</v>
      </c>
      <c r="B59">
        <v>13</v>
      </c>
      <c r="C59" t="s">
        <v>416</v>
      </c>
      <c r="D59" s="4">
        <v>0.05</v>
      </c>
      <c r="E59" s="4">
        <v>0.25</v>
      </c>
      <c r="F59" s="4">
        <v>0.4</v>
      </c>
    </row>
    <row r="60" spans="1:6" x14ac:dyDescent="0.35">
      <c r="A60">
        <v>4</v>
      </c>
      <c r="B60">
        <v>14</v>
      </c>
      <c r="C60" t="s">
        <v>417</v>
      </c>
      <c r="D60" s="4">
        <v>0.06</v>
      </c>
      <c r="E60" s="4">
        <v>0.35</v>
      </c>
      <c r="F60" s="4">
        <v>0.6</v>
      </c>
    </row>
    <row r="61" spans="1:6" x14ac:dyDescent="0.35">
      <c r="A61">
        <v>4</v>
      </c>
      <c r="B61">
        <v>15</v>
      </c>
      <c r="C61" t="s">
        <v>418</v>
      </c>
      <c r="D61" s="4">
        <v>0.04</v>
      </c>
      <c r="E61" s="4">
        <v>0.2</v>
      </c>
      <c r="F61" s="4">
        <v>0.35</v>
      </c>
    </row>
    <row r="62" spans="1:6" x14ac:dyDescent="0.35">
      <c r="A62">
        <v>5</v>
      </c>
      <c r="B62">
        <v>1</v>
      </c>
      <c r="C62" t="s">
        <v>404</v>
      </c>
      <c r="D62" s="4">
        <v>0.01</v>
      </c>
      <c r="E62" s="4">
        <v>0.11</v>
      </c>
      <c r="F62" s="4">
        <v>1</v>
      </c>
    </row>
    <row r="63" spans="1:6" x14ac:dyDescent="0.35">
      <c r="A63">
        <v>5</v>
      </c>
      <c r="B63">
        <v>2</v>
      </c>
      <c r="C63" t="s">
        <v>405</v>
      </c>
      <c r="D63" s="4">
        <v>1.05</v>
      </c>
      <c r="E63" s="4">
        <v>1.5</v>
      </c>
      <c r="F63" s="4">
        <v>2.5</v>
      </c>
    </row>
    <row r="64" spans="1:6" x14ac:dyDescent="0.35">
      <c r="A64">
        <v>5</v>
      </c>
      <c r="B64">
        <v>3</v>
      </c>
      <c r="C64" t="s">
        <v>406</v>
      </c>
      <c r="D64" s="4">
        <v>5.0000000000000001E-3</v>
      </c>
      <c r="E64" s="4">
        <v>0.05</v>
      </c>
      <c r="F64" s="4">
        <v>0.5</v>
      </c>
    </row>
    <row r="65" spans="1:6" x14ac:dyDescent="0.35">
      <c r="A65">
        <v>5</v>
      </c>
      <c r="B65">
        <v>4</v>
      </c>
      <c r="C65" t="s">
        <v>407</v>
      </c>
      <c r="D65" s="4">
        <v>1.1000000000000001</v>
      </c>
      <c r="E65" s="4">
        <v>1.6</v>
      </c>
      <c r="F65" s="4">
        <v>3</v>
      </c>
    </row>
    <row r="66" spans="1:6" x14ac:dyDescent="0.35">
      <c r="A66">
        <v>5</v>
      </c>
      <c r="B66">
        <v>5</v>
      </c>
      <c r="C66" t="s">
        <v>408</v>
      </c>
      <c r="D66" s="4">
        <v>0.01</v>
      </c>
      <c r="E66" s="4">
        <v>0.12</v>
      </c>
      <c r="F66" s="4">
        <v>1</v>
      </c>
    </row>
    <row r="67" spans="1:6" x14ac:dyDescent="0.35">
      <c r="A67">
        <v>5</v>
      </c>
      <c r="B67">
        <v>6</v>
      </c>
      <c r="C67" t="s">
        <v>409</v>
      </c>
      <c r="D67" s="4">
        <v>1.2</v>
      </c>
      <c r="E67" s="4">
        <v>1.7</v>
      </c>
      <c r="F67" s="4">
        <v>3</v>
      </c>
    </row>
    <row r="68" spans="1:6" x14ac:dyDescent="0.35">
      <c r="A68">
        <v>5</v>
      </c>
      <c r="B68">
        <v>7</v>
      </c>
      <c r="C68" t="s">
        <v>410</v>
      </c>
      <c r="D68" s="4">
        <v>0.01</v>
      </c>
      <c r="E68" s="4">
        <v>7.0000000000000007E-2</v>
      </c>
      <c r="F68" s="4">
        <v>0.5</v>
      </c>
    </row>
    <row r="69" spans="1:6" x14ac:dyDescent="0.35">
      <c r="A69">
        <v>5</v>
      </c>
      <c r="B69">
        <v>8</v>
      </c>
      <c r="C69" t="s">
        <v>411</v>
      </c>
      <c r="D69" s="4">
        <v>1.1000000000000001</v>
      </c>
      <c r="E69" s="4">
        <v>1.4</v>
      </c>
      <c r="F69" s="4">
        <v>2.4</v>
      </c>
    </row>
    <row r="70" spans="1:6" x14ac:dyDescent="0.35">
      <c r="A70">
        <v>5</v>
      </c>
      <c r="B70">
        <v>9</v>
      </c>
      <c r="C70" t="s">
        <v>412</v>
      </c>
      <c r="D70" s="4">
        <v>0.01</v>
      </c>
      <c r="E70" s="4">
        <v>0.1</v>
      </c>
      <c r="F70" s="4">
        <v>0.5</v>
      </c>
    </row>
    <row r="71" spans="1:6" x14ac:dyDescent="0.35">
      <c r="A71">
        <v>5</v>
      </c>
      <c r="B71">
        <v>10</v>
      </c>
      <c r="C71" t="s">
        <v>413</v>
      </c>
      <c r="D71" s="4">
        <v>1.1000000000000001</v>
      </c>
      <c r="E71" s="4">
        <v>1.5</v>
      </c>
      <c r="F71" s="4">
        <v>2.5</v>
      </c>
    </row>
    <row r="72" spans="1:6" x14ac:dyDescent="0.35">
      <c r="A72">
        <v>5</v>
      </c>
      <c r="B72">
        <v>11</v>
      </c>
      <c r="C72" t="s">
        <v>414</v>
      </c>
      <c r="D72" s="4">
        <v>1E-3</v>
      </c>
      <c r="E72" s="4">
        <v>5.0000000000000001E-3</v>
      </c>
      <c r="F72" s="4">
        <v>0.01</v>
      </c>
    </row>
    <row r="73" spans="1:6" x14ac:dyDescent="0.35">
      <c r="A73">
        <v>5</v>
      </c>
      <c r="B73">
        <v>12</v>
      </c>
      <c r="C73" t="s">
        <v>415</v>
      </c>
      <c r="D73" s="4">
        <v>1E-3</v>
      </c>
      <c r="E73" s="4">
        <v>6.0000000000000001E-3</v>
      </c>
      <c r="F73" s="4">
        <v>0.01</v>
      </c>
    </row>
    <row r="74" spans="1:6" x14ac:dyDescent="0.35">
      <c r="A74">
        <v>5</v>
      </c>
      <c r="B74">
        <v>13</v>
      </c>
      <c r="C74" t="s">
        <v>416</v>
      </c>
      <c r="D74" s="4">
        <v>1E-3</v>
      </c>
      <c r="E74" s="4">
        <v>3.0000000000000001E-3</v>
      </c>
      <c r="F74" s="4">
        <v>0.01</v>
      </c>
    </row>
    <row r="75" spans="1:6" x14ac:dyDescent="0.35">
      <c r="A75">
        <v>5</v>
      </c>
      <c r="B75">
        <v>14</v>
      </c>
      <c r="C75" t="s">
        <v>417</v>
      </c>
      <c r="D75" s="4">
        <v>5.0000000000000001E-3</v>
      </c>
      <c r="E75" s="4">
        <v>0.01</v>
      </c>
      <c r="F75" s="4">
        <v>0.1</v>
      </c>
    </row>
    <row r="76" spans="1:6" x14ac:dyDescent="0.35">
      <c r="A76">
        <v>5</v>
      </c>
      <c r="B76">
        <v>15</v>
      </c>
      <c r="C76" t="s">
        <v>418</v>
      </c>
      <c r="D76" s="4">
        <v>1E-3</v>
      </c>
      <c r="E76" s="4">
        <v>3.0000000000000001E-3</v>
      </c>
      <c r="F76" s="4">
        <v>0.1</v>
      </c>
    </row>
  </sheetData>
  <pageMargins left="0.7" right="0.7" top="0.75" bottom="0.75" header="0.3" footer="0.3"/>
  <legacy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45"/>
  <dimension ref="A1:H121"/>
  <sheetViews>
    <sheetView workbookViewId="0">
      <selection activeCell="M17" sqref="M17"/>
    </sheetView>
  </sheetViews>
  <sheetFormatPr defaultRowHeight="14.5" x14ac:dyDescent="0.35"/>
  <sheetData>
    <row r="1" spans="1:8" x14ac:dyDescent="0.35">
      <c r="A1" t="s">
        <v>474</v>
      </c>
      <c r="H1" t="s">
        <v>58</v>
      </c>
    </row>
    <row r="2" spans="1:8" x14ac:dyDescent="0.35">
      <c r="A2">
        <v>1</v>
      </c>
      <c r="B2">
        <v>1</v>
      </c>
      <c r="C2">
        <v>1</v>
      </c>
      <c r="D2" s="4">
        <v>1</v>
      </c>
      <c r="E2" s="4">
        <v>3</v>
      </c>
      <c r="F2" s="4">
        <v>5</v>
      </c>
      <c r="H2" s="4">
        <v>4.9000000000000004</v>
      </c>
    </row>
    <row r="3" spans="1:8" x14ac:dyDescent="0.35">
      <c r="A3">
        <v>1</v>
      </c>
      <c r="B3">
        <v>2</v>
      </c>
      <c r="C3">
        <v>2</v>
      </c>
      <c r="D3" s="4">
        <v>40</v>
      </c>
      <c r="E3" s="4">
        <v>65</v>
      </c>
      <c r="F3" s="4">
        <v>75</v>
      </c>
      <c r="H3" s="4">
        <v>68</v>
      </c>
    </row>
    <row r="4" spans="1:8" x14ac:dyDescent="0.35">
      <c r="A4">
        <v>1</v>
      </c>
      <c r="B4">
        <v>3</v>
      </c>
      <c r="C4">
        <v>3</v>
      </c>
      <c r="D4" s="4">
        <v>5</v>
      </c>
      <c r="E4" s="4">
        <v>35</v>
      </c>
      <c r="F4" s="4">
        <v>60</v>
      </c>
      <c r="H4" s="4">
        <v>103</v>
      </c>
    </row>
    <row r="5" spans="1:8" x14ac:dyDescent="0.35">
      <c r="A5">
        <v>1</v>
      </c>
      <c r="B5">
        <v>4</v>
      </c>
      <c r="C5">
        <v>4</v>
      </c>
      <c r="D5" s="4">
        <v>10</v>
      </c>
      <c r="E5" s="4">
        <v>40</v>
      </c>
      <c r="F5" s="4">
        <v>70</v>
      </c>
      <c r="H5" s="4">
        <v>2.8</v>
      </c>
    </row>
    <row r="6" spans="1:8" x14ac:dyDescent="0.35">
      <c r="A6">
        <v>1</v>
      </c>
      <c r="B6">
        <v>5</v>
      </c>
      <c r="C6">
        <v>5</v>
      </c>
      <c r="D6" s="4">
        <v>3</v>
      </c>
      <c r="E6" s="4">
        <v>6</v>
      </c>
      <c r="F6" s="4">
        <v>12</v>
      </c>
      <c r="H6" s="4">
        <v>10</v>
      </c>
    </row>
    <row r="7" spans="1:8" x14ac:dyDescent="0.35">
      <c r="A7">
        <v>1</v>
      </c>
      <c r="B7">
        <v>6</v>
      </c>
      <c r="C7">
        <v>6</v>
      </c>
      <c r="D7" s="4">
        <v>10000</v>
      </c>
      <c r="E7" s="4">
        <v>30000</v>
      </c>
      <c r="F7" s="4">
        <v>70000</v>
      </c>
      <c r="H7" s="4">
        <v>4000000</v>
      </c>
    </row>
    <row r="8" spans="1:8" x14ac:dyDescent="0.35">
      <c r="A8">
        <v>1</v>
      </c>
      <c r="B8">
        <v>7</v>
      </c>
      <c r="C8">
        <v>7</v>
      </c>
      <c r="D8" s="4">
        <v>1000</v>
      </c>
      <c r="E8" s="4">
        <v>10000</v>
      </c>
      <c r="F8" s="4">
        <v>100000</v>
      </c>
      <c r="H8" s="4">
        <v>300</v>
      </c>
    </row>
    <row r="9" spans="1:8" x14ac:dyDescent="0.35">
      <c r="A9">
        <v>1</v>
      </c>
      <c r="B9">
        <v>8</v>
      </c>
      <c r="C9">
        <v>8</v>
      </c>
      <c r="D9" s="4">
        <v>100000</v>
      </c>
      <c r="E9" s="4">
        <v>10000000</v>
      </c>
      <c r="F9" s="4">
        <v>1000000000</v>
      </c>
      <c r="H9" s="4">
        <v>157900</v>
      </c>
    </row>
    <row r="10" spans="1:8" x14ac:dyDescent="0.35">
      <c r="A10">
        <v>1</v>
      </c>
      <c r="B10">
        <v>9</v>
      </c>
      <c r="C10">
        <v>9</v>
      </c>
      <c r="D10" s="4">
        <v>40</v>
      </c>
      <c r="E10" s="4">
        <v>75</v>
      </c>
      <c r="F10" s="4">
        <v>90</v>
      </c>
      <c r="H10" s="4">
        <v>2.7</v>
      </c>
    </row>
    <row r="11" spans="1:8" x14ac:dyDescent="0.35">
      <c r="A11">
        <v>1</v>
      </c>
      <c r="B11">
        <v>10</v>
      </c>
      <c r="C11">
        <v>10</v>
      </c>
      <c r="D11" s="4">
        <v>10</v>
      </c>
      <c r="E11" s="4">
        <v>35</v>
      </c>
      <c r="F11" s="4">
        <v>65</v>
      </c>
      <c r="H11" s="4">
        <v>60</v>
      </c>
    </row>
    <row r="12" spans="1:8" x14ac:dyDescent="0.35">
      <c r="A12">
        <v>1</v>
      </c>
      <c r="B12">
        <v>11</v>
      </c>
      <c r="C12">
        <v>11</v>
      </c>
      <c r="D12" s="4">
        <v>5</v>
      </c>
      <c r="E12" s="4">
        <v>20</v>
      </c>
      <c r="F12" s="4">
        <v>40</v>
      </c>
      <c r="H12" s="4">
        <v>7</v>
      </c>
    </row>
    <row r="13" spans="1:8" x14ac:dyDescent="0.35">
      <c r="A13">
        <v>1</v>
      </c>
      <c r="B13">
        <v>12</v>
      </c>
      <c r="C13">
        <v>12</v>
      </c>
      <c r="D13" s="4">
        <v>10</v>
      </c>
      <c r="E13" s="4">
        <v>42</v>
      </c>
      <c r="F13" s="4">
        <v>51</v>
      </c>
      <c r="H13" s="4">
        <v>18</v>
      </c>
    </row>
    <row r="14" spans="1:8" x14ac:dyDescent="0.35">
      <c r="A14">
        <v>2</v>
      </c>
      <c r="B14">
        <v>1</v>
      </c>
      <c r="C14">
        <v>1</v>
      </c>
      <c r="D14" s="4">
        <v>3</v>
      </c>
      <c r="E14" s="4">
        <v>4</v>
      </c>
      <c r="F14" s="4">
        <v>6</v>
      </c>
    </row>
    <row r="15" spans="1:8" x14ac:dyDescent="0.35">
      <c r="A15">
        <v>2</v>
      </c>
      <c r="B15">
        <v>2</v>
      </c>
      <c r="C15">
        <v>2</v>
      </c>
      <c r="D15" s="4">
        <v>40</v>
      </c>
      <c r="E15" s="4">
        <v>58</v>
      </c>
      <c r="F15" s="4">
        <v>70</v>
      </c>
    </row>
    <row r="16" spans="1:8" x14ac:dyDescent="0.35">
      <c r="A16">
        <v>2</v>
      </c>
      <c r="B16">
        <v>3</v>
      </c>
      <c r="C16">
        <v>3</v>
      </c>
      <c r="D16" s="4">
        <v>180</v>
      </c>
      <c r="E16" s="4">
        <v>196</v>
      </c>
      <c r="F16" s="4">
        <v>199</v>
      </c>
    </row>
    <row r="17" spans="1:6" x14ac:dyDescent="0.35">
      <c r="A17">
        <v>2</v>
      </c>
      <c r="B17">
        <v>4</v>
      </c>
      <c r="C17">
        <v>4</v>
      </c>
      <c r="D17" s="4">
        <v>10</v>
      </c>
      <c r="E17" s="4">
        <v>35</v>
      </c>
      <c r="F17" s="4">
        <v>80</v>
      </c>
    </row>
    <row r="18" spans="1:6" x14ac:dyDescent="0.35">
      <c r="A18">
        <v>2</v>
      </c>
      <c r="B18">
        <v>5</v>
      </c>
      <c r="C18">
        <v>5</v>
      </c>
      <c r="D18" s="4">
        <v>0</v>
      </c>
      <c r="E18" s="4">
        <v>3</v>
      </c>
      <c r="F18" s="4">
        <v>6</v>
      </c>
    </row>
    <row r="19" spans="1:6" x14ac:dyDescent="0.35">
      <c r="A19">
        <v>2</v>
      </c>
      <c r="B19">
        <v>6</v>
      </c>
      <c r="C19">
        <v>6</v>
      </c>
      <c r="D19" s="4">
        <v>100000</v>
      </c>
      <c r="E19" s="4">
        <v>400000</v>
      </c>
      <c r="F19" s="4">
        <v>1200000</v>
      </c>
    </row>
    <row r="20" spans="1:6" x14ac:dyDescent="0.35">
      <c r="A20">
        <v>2</v>
      </c>
      <c r="B20">
        <v>7</v>
      </c>
      <c r="C20">
        <v>7</v>
      </c>
      <c r="D20" s="4">
        <v>250</v>
      </c>
      <c r="E20" s="4">
        <v>345</v>
      </c>
      <c r="F20" s="4">
        <v>400</v>
      </c>
    </row>
    <row r="21" spans="1:6" x14ac:dyDescent="0.35">
      <c r="A21">
        <v>2</v>
      </c>
      <c r="B21">
        <v>8</v>
      </c>
      <c r="C21">
        <v>8</v>
      </c>
      <c r="D21" s="4">
        <v>100</v>
      </c>
      <c r="E21" s="4">
        <v>1000</v>
      </c>
      <c r="F21" s="4">
        <v>100000</v>
      </c>
    </row>
    <row r="22" spans="1:6" x14ac:dyDescent="0.35">
      <c r="A22">
        <v>2</v>
      </c>
      <c r="B22">
        <v>9</v>
      </c>
      <c r="C22">
        <v>9</v>
      </c>
      <c r="D22" s="4">
        <v>50</v>
      </c>
      <c r="E22" s="4">
        <v>90</v>
      </c>
      <c r="F22" s="4">
        <v>100</v>
      </c>
    </row>
    <row r="23" spans="1:6" x14ac:dyDescent="0.35">
      <c r="A23">
        <v>2</v>
      </c>
      <c r="B23">
        <v>10</v>
      </c>
      <c r="C23">
        <v>10</v>
      </c>
      <c r="D23" s="4">
        <v>50</v>
      </c>
      <c r="E23" s="4">
        <v>90</v>
      </c>
      <c r="F23" s="4">
        <v>98</v>
      </c>
    </row>
    <row r="24" spans="1:6" x14ac:dyDescent="0.35">
      <c r="A24">
        <v>2</v>
      </c>
      <c r="B24">
        <v>11</v>
      </c>
      <c r="C24">
        <v>11</v>
      </c>
      <c r="D24" s="4">
        <v>3</v>
      </c>
      <c r="E24" s="4">
        <v>5</v>
      </c>
      <c r="F24" s="4">
        <v>12</v>
      </c>
    </row>
    <row r="25" spans="1:6" x14ac:dyDescent="0.35">
      <c r="A25">
        <v>2</v>
      </c>
      <c r="B25">
        <v>12</v>
      </c>
      <c r="C25">
        <v>12</v>
      </c>
      <c r="D25" s="4">
        <v>8</v>
      </c>
      <c r="E25" s="4">
        <v>12</v>
      </c>
      <c r="F25" s="4">
        <v>16</v>
      </c>
    </row>
    <row r="26" spans="1:6" x14ac:dyDescent="0.35">
      <c r="A26">
        <v>3</v>
      </c>
      <c r="B26">
        <v>1</v>
      </c>
      <c r="C26">
        <v>1</v>
      </c>
      <c r="D26" s="4">
        <v>0</v>
      </c>
      <c r="E26" s="4">
        <v>2</v>
      </c>
      <c r="F26" s="4">
        <v>6</v>
      </c>
    </row>
    <row r="27" spans="1:6" x14ac:dyDescent="0.35">
      <c r="A27">
        <v>3</v>
      </c>
      <c r="B27">
        <v>2</v>
      </c>
      <c r="C27">
        <v>2</v>
      </c>
      <c r="D27" s="4">
        <v>50</v>
      </c>
      <c r="E27" s="4">
        <v>60</v>
      </c>
      <c r="F27" s="4">
        <v>70</v>
      </c>
    </row>
    <row r="28" spans="1:6" x14ac:dyDescent="0.35">
      <c r="A28">
        <v>3</v>
      </c>
      <c r="B28">
        <v>3</v>
      </c>
      <c r="C28">
        <v>3</v>
      </c>
      <c r="D28" s="4">
        <v>50</v>
      </c>
      <c r="E28" s="4">
        <v>100</v>
      </c>
      <c r="F28" s="4">
        <v>150</v>
      </c>
    </row>
    <row r="29" spans="1:6" x14ac:dyDescent="0.35">
      <c r="A29">
        <v>3</v>
      </c>
      <c r="B29">
        <v>4</v>
      </c>
      <c r="C29">
        <v>4</v>
      </c>
      <c r="D29" s="4">
        <v>10</v>
      </c>
      <c r="E29" s="4">
        <v>20</v>
      </c>
      <c r="F29" s="4">
        <v>50</v>
      </c>
    </row>
    <row r="30" spans="1:6" x14ac:dyDescent="0.35">
      <c r="A30">
        <v>3</v>
      </c>
      <c r="B30">
        <v>5</v>
      </c>
      <c r="C30">
        <v>5</v>
      </c>
      <c r="D30" s="4">
        <v>1</v>
      </c>
      <c r="E30" s="4">
        <v>2</v>
      </c>
      <c r="F30" s="4">
        <v>5</v>
      </c>
    </row>
    <row r="31" spans="1:6" x14ac:dyDescent="0.35">
      <c r="A31">
        <v>3</v>
      </c>
      <c r="B31">
        <v>6</v>
      </c>
      <c r="C31">
        <v>6</v>
      </c>
      <c r="D31" s="4">
        <v>50000</v>
      </c>
      <c r="E31" s="4">
        <v>100000</v>
      </c>
      <c r="F31" s="4">
        <v>500000</v>
      </c>
    </row>
    <row r="32" spans="1:6" x14ac:dyDescent="0.35">
      <c r="A32">
        <v>3</v>
      </c>
      <c r="B32">
        <v>7</v>
      </c>
      <c r="C32">
        <v>7</v>
      </c>
      <c r="D32" s="4">
        <v>185</v>
      </c>
      <c r="E32" s="4">
        <v>200</v>
      </c>
      <c r="F32" s="4">
        <v>220</v>
      </c>
    </row>
    <row r="33" spans="1:6" x14ac:dyDescent="0.35">
      <c r="A33">
        <v>3</v>
      </c>
      <c r="B33">
        <v>8</v>
      </c>
      <c r="C33">
        <v>8</v>
      </c>
      <c r="D33" s="4">
        <v>200000</v>
      </c>
      <c r="E33" s="4">
        <v>500000</v>
      </c>
      <c r="F33" s="4">
        <v>2000000</v>
      </c>
    </row>
    <row r="34" spans="1:6" x14ac:dyDescent="0.35">
      <c r="A34">
        <v>3</v>
      </c>
      <c r="B34">
        <v>9</v>
      </c>
      <c r="C34">
        <v>9</v>
      </c>
      <c r="D34" s="4">
        <v>10</v>
      </c>
      <c r="E34" s="4">
        <v>20</v>
      </c>
      <c r="F34" s="4">
        <v>40</v>
      </c>
    </row>
    <row r="35" spans="1:6" x14ac:dyDescent="0.35">
      <c r="A35">
        <v>3</v>
      </c>
      <c r="B35">
        <v>10</v>
      </c>
      <c r="C35">
        <v>10</v>
      </c>
      <c r="D35" s="4">
        <v>20</v>
      </c>
      <c r="E35" s="4">
        <v>50</v>
      </c>
      <c r="F35" s="4">
        <v>70</v>
      </c>
    </row>
    <row r="36" spans="1:6" x14ac:dyDescent="0.35">
      <c r="A36">
        <v>3</v>
      </c>
      <c r="B36">
        <v>11</v>
      </c>
      <c r="C36">
        <v>11</v>
      </c>
      <c r="D36" s="4">
        <v>5</v>
      </c>
      <c r="E36" s="4">
        <v>9</v>
      </c>
      <c r="F36" s="4">
        <v>10</v>
      </c>
    </row>
    <row r="37" spans="1:6" x14ac:dyDescent="0.35">
      <c r="A37">
        <v>3</v>
      </c>
      <c r="B37">
        <v>12</v>
      </c>
      <c r="C37">
        <v>12</v>
      </c>
      <c r="D37" s="4">
        <v>5</v>
      </c>
      <c r="E37" s="4">
        <v>10</v>
      </c>
      <c r="F37" s="4">
        <v>20</v>
      </c>
    </row>
    <row r="38" spans="1:6" x14ac:dyDescent="0.35">
      <c r="A38">
        <v>4</v>
      </c>
      <c r="B38">
        <v>1</v>
      </c>
      <c r="C38">
        <v>1</v>
      </c>
      <c r="D38" s="4">
        <v>1</v>
      </c>
      <c r="E38" s="4">
        <v>3</v>
      </c>
      <c r="F38" s="4">
        <v>5</v>
      </c>
    </row>
    <row r="39" spans="1:6" x14ac:dyDescent="0.35">
      <c r="A39">
        <v>4</v>
      </c>
      <c r="B39">
        <v>2</v>
      </c>
      <c r="C39">
        <v>2</v>
      </c>
      <c r="D39" s="4">
        <v>30</v>
      </c>
      <c r="E39" s="4">
        <v>50</v>
      </c>
      <c r="F39" s="4">
        <v>70</v>
      </c>
    </row>
    <row r="40" spans="1:6" x14ac:dyDescent="0.35">
      <c r="A40">
        <v>4</v>
      </c>
      <c r="B40">
        <v>3</v>
      </c>
      <c r="C40">
        <v>3</v>
      </c>
      <c r="D40" s="4">
        <v>1</v>
      </c>
      <c r="E40" s="4">
        <v>22</v>
      </c>
      <c r="F40" s="4">
        <v>100</v>
      </c>
    </row>
    <row r="41" spans="1:6" x14ac:dyDescent="0.35">
      <c r="A41">
        <v>4</v>
      </c>
      <c r="B41">
        <v>4</v>
      </c>
      <c r="C41">
        <v>4</v>
      </c>
      <c r="D41" s="4">
        <v>5</v>
      </c>
      <c r="E41" s="4">
        <v>10</v>
      </c>
      <c r="F41" s="4">
        <v>15</v>
      </c>
    </row>
    <row r="42" spans="1:6" x14ac:dyDescent="0.35">
      <c r="A42">
        <v>4</v>
      </c>
      <c r="B42">
        <v>5</v>
      </c>
      <c r="C42">
        <v>5</v>
      </c>
      <c r="D42" s="4">
        <v>0</v>
      </c>
      <c r="E42" s="4">
        <v>2</v>
      </c>
      <c r="F42" s="4">
        <v>5</v>
      </c>
    </row>
    <row r="43" spans="1:6" x14ac:dyDescent="0.35">
      <c r="A43">
        <v>4</v>
      </c>
      <c r="B43">
        <v>6</v>
      </c>
      <c r="C43">
        <v>6</v>
      </c>
      <c r="D43" s="4">
        <v>100</v>
      </c>
      <c r="E43" s="4">
        <v>1000</v>
      </c>
      <c r="F43" s="4">
        <v>10000</v>
      </c>
    </row>
    <row r="44" spans="1:6" x14ac:dyDescent="0.35">
      <c r="A44">
        <v>4</v>
      </c>
      <c r="B44">
        <v>7</v>
      </c>
      <c r="C44">
        <v>7</v>
      </c>
      <c r="D44" s="4">
        <v>155</v>
      </c>
      <c r="E44" s="4">
        <v>180</v>
      </c>
      <c r="F44" s="4">
        <v>210</v>
      </c>
    </row>
    <row r="45" spans="1:6" x14ac:dyDescent="0.35">
      <c r="A45">
        <v>4</v>
      </c>
      <c r="B45">
        <v>8</v>
      </c>
      <c r="C45">
        <v>8</v>
      </c>
      <c r="D45" s="4">
        <v>100000</v>
      </c>
      <c r="E45" s="4">
        <v>1000000</v>
      </c>
      <c r="F45" s="4">
        <v>10000000</v>
      </c>
    </row>
    <row r="46" spans="1:6" x14ac:dyDescent="0.35">
      <c r="A46">
        <v>4</v>
      </c>
      <c r="B46">
        <v>9</v>
      </c>
      <c r="C46">
        <v>9</v>
      </c>
      <c r="D46" s="4">
        <v>0</v>
      </c>
      <c r="E46" s="4">
        <v>10</v>
      </c>
      <c r="F46" s="4">
        <v>20</v>
      </c>
    </row>
    <row r="47" spans="1:6" x14ac:dyDescent="0.35">
      <c r="A47">
        <v>4</v>
      </c>
      <c r="B47">
        <v>10</v>
      </c>
      <c r="C47">
        <v>10</v>
      </c>
      <c r="D47" s="4">
        <v>0</v>
      </c>
      <c r="E47" s="4">
        <v>25</v>
      </c>
      <c r="F47" s="4">
        <v>50</v>
      </c>
    </row>
    <row r="48" spans="1:6" x14ac:dyDescent="0.35">
      <c r="A48">
        <v>4</v>
      </c>
      <c r="B48">
        <v>11</v>
      </c>
      <c r="C48">
        <v>11</v>
      </c>
      <c r="D48" s="4">
        <v>1</v>
      </c>
      <c r="E48" s="4">
        <v>5</v>
      </c>
      <c r="F48" s="4">
        <v>10</v>
      </c>
    </row>
    <row r="49" spans="1:6" x14ac:dyDescent="0.35">
      <c r="A49">
        <v>4</v>
      </c>
      <c r="B49">
        <v>12</v>
      </c>
      <c r="C49">
        <v>12</v>
      </c>
      <c r="D49" s="4">
        <v>10</v>
      </c>
      <c r="E49" s="4">
        <v>25</v>
      </c>
      <c r="F49" s="4">
        <v>40</v>
      </c>
    </row>
    <row r="50" spans="1:6" x14ac:dyDescent="0.35">
      <c r="A50">
        <v>5</v>
      </c>
      <c r="B50">
        <v>1</v>
      </c>
      <c r="C50">
        <v>1</v>
      </c>
      <c r="D50" s="4">
        <v>2.1</v>
      </c>
      <c r="E50" s="4">
        <v>2.5</v>
      </c>
      <c r="F50" s="4">
        <v>3.3</v>
      </c>
    </row>
    <row r="51" spans="1:6" x14ac:dyDescent="0.35">
      <c r="A51">
        <v>5</v>
      </c>
      <c r="B51">
        <v>2</v>
      </c>
      <c r="C51">
        <v>2</v>
      </c>
      <c r="D51" s="4">
        <v>40</v>
      </c>
      <c r="E51" s="4">
        <v>60</v>
      </c>
      <c r="F51" s="4">
        <v>72</v>
      </c>
    </row>
    <row r="52" spans="1:6" x14ac:dyDescent="0.35">
      <c r="A52">
        <v>5</v>
      </c>
      <c r="B52">
        <v>3</v>
      </c>
      <c r="C52">
        <v>3</v>
      </c>
      <c r="D52" s="4">
        <v>35</v>
      </c>
      <c r="E52" s="4">
        <v>45</v>
      </c>
      <c r="F52" s="4">
        <v>60</v>
      </c>
    </row>
    <row r="53" spans="1:6" x14ac:dyDescent="0.35">
      <c r="A53">
        <v>5</v>
      </c>
      <c r="B53">
        <v>4</v>
      </c>
      <c r="C53">
        <v>4</v>
      </c>
      <c r="D53" s="4">
        <v>15</v>
      </c>
      <c r="E53" s="4">
        <v>30</v>
      </c>
      <c r="F53" s="4">
        <v>80</v>
      </c>
    </row>
    <row r="54" spans="1:6" x14ac:dyDescent="0.35">
      <c r="A54">
        <v>5</v>
      </c>
      <c r="B54">
        <v>5</v>
      </c>
      <c r="C54">
        <v>5</v>
      </c>
      <c r="D54" s="4">
        <v>2</v>
      </c>
      <c r="E54" s="4">
        <v>5</v>
      </c>
      <c r="F54" s="4">
        <v>8</v>
      </c>
    </row>
    <row r="55" spans="1:6" x14ac:dyDescent="0.35">
      <c r="A55">
        <v>5</v>
      </c>
      <c r="B55">
        <v>6</v>
      </c>
      <c r="C55">
        <v>6</v>
      </c>
      <c r="D55" s="4">
        <v>200000</v>
      </c>
      <c r="E55" s="4">
        <v>1000000</v>
      </c>
      <c r="F55" s="4">
        <v>5000000</v>
      </c>
    </row>
    <row r="56" spans="1:6" x14ac:dyDescent="0.35">
      <c r="A56">
        <v>5</v>
      </c>
      <c r="B56">
        <v>7</v>
      </c>
      <c r="C56">
        <v>7</v>
      </c>
      <c r="D56" s="4">
        <v>700</v>
      </c>
      <c r="E56" s="4">
        <v>1500</v>
      </c>
      <c r="F56" s="4">
        <v>4500</v>
      </c>
    </row>
    <row r="57" spans="1:6" x14ac:dyDescent="0.35">
      <c r="A57">
        <v>5</v>
      </c>
      <c r="B57">
        <v>8</v>
      </c>
      <c r="C57">
        <v>8</v>
      </c>
      <c r="D57" s="4">
        <v>3</v>
      </c>
      <c r="E57" s="4">
        <v>6</v>
      </c>
      <c r="F57" s="4">
        <v>20</v>
      </c>
    </row>
    <row r="58" spans="1:6" x14ac:dyDescent="0.35">
      <c r="A58">
        <v>5</v>
      </c>
      <c r="B58">
        <v>9</v>
      </c>
      <c r="C58">
        <v>9</v>
      </c>
      <c r="D58" s="4">
        <v>45</v>
      </c>
      <c r="E58" s="4">
        <v>60</v>
      </c>
      <c r="F58" s="4">
        <v>75</v>
      </c>
    </row>
    <row r="59" spans="1:6" x14ac:dyDescent="0.35">
      <c r="A59">
        <v>5</v>
      </c>
      <c r="B59">
        <v>10</v>
      </c>
      <c r="C59">
        <v>10</v>
      </c>
      <c r="D59" s="4">
        <v>65</v>
      </c>
      <c r="E59" s="4">
        <v>85</v>
      </c>
      <c r="F59" s="4">
        <v>92</v>
      </c>
    </row>
    <row r="60" spans="1:6" x14ac:dyDescent="0.35">
      <c r="A60">
        <v>5</v>
      </c>
      <c r="B60">
        <v>11</v>
      </c>
      <c r="C60">
        <v>11</v>
      </c>
      <c r="D60" s="4">
        <v>5</v>
      </c>
      <c r="E60" s="4">
        <v>8</v>
      </c>
      <c r="F60" s="4">
        <v>20</v>
      </c>
    </row>
    <row r="61" spans="1:6" x14ac:dyDescent="0.35">
      <c r="A61">
        <v>5</v>
      </c>
      <c r="B61">
        <v>12</v>
      </c>
      <c r="C61">
        <v>12</v>
      </c>
      <c r="D61" s="4">
        <v>12</v>
      </c>
      <c r="E61" s="4">
        <v>14</v>
      </c>
      <c r="F61" s="4">
        <v>16</v>
      </c>
    </row>
    <row r="62" spans="1:6" x14ac:dyDescent="0.35">
      <c r="A62">
        <v>6</v>
      </c>
      <c r="B62">
        <v>1</v>
      </c>
      <c r="C62">
        <v>1</v>
      </c>
      <c r="D62" s="4">
        <v>1</v>
      </c>
      <c r="E62" s="4">
        <v>2.5</v>
      </c>
      <c r="F62" s="4">
        <v>5</v>
      </c>
    </row>
    <row r="63" spans="1:6" x14ac:dyDescent="0.35">
      <c r="A63">
        <v>6</v>
      </c>
      <c r="B63">
        <v>2</v>
      </c>
      <c r="C63">
        <v>2</v>
      </c>
      <c r="D63" s="4">
        <v>40</v>
      </c>
      <c r="E63" s="4">
        <v>50</v>
      </c>
      <c r="F63" s="4">
        <v>65</v>
      </c>
    </row>
    <row r="64" spans="1:6" x14ac:dyDescent="0.35">
      <c r="A64">
        <v>6</v>
      </c>
      <c r="B64">
        <v>3</v>
      </c>
      <c r="C64">
        <v>3</v>
      </c>
      <c r="D64" s="4">
        <v>8</v>
      </c>
      <c r="E64" s="4">
        <v>12</v>
      </c>
      <c r="F64" s="4">
        <v>35</v>
      </c>
    </row>
    <row r="65" spans="1:6" x14ac:dyDescent="0.35">
      <c r="A65">
        <v>6</v>
      </c>
      <c r="B65">
        <v>4</v>
      </c>
      <c r="C65">
        <v>4</v>
      </c>
      <c r="D65" s="4">
        <v>40</v>
      </c>
      <c r="E65" s="4">
        <v>80</v>
      </c>
      <c r="F65" s="4">
        <v>95</v>
      </c>
    </row>
    <row r="66" spans="1:6" x14ac:dyDescent="0.35">
      <c r="A66">
        <v>6</v>
      </c>
      <c r="B66">
        <v>5</v>
      </c>
      <c r="C66">
        <v>5</v>
      </c>
      <c r="D66" s="4">
        <v>9</v>
      </c>
      <c r="E66" s="4">
        <v>18</v>
      </c>
      <c r="F66" s="4">
        <v>22</v>
      </c>
    </row>
    <row r="67" spans="1:6" x14ac:dyDescent="0.35">
      <c r="A67">
        <v>6</v>
      </c>
      <c r="B67">
        <v>6</v>
      </c>
      <c r="C67">
        <v>6</v>
      </c>
      <c r="D67" s="4">
        <v>5000000</v>
      </c>
      <c r="E67" s="4">
        <v>20000000</v>
      </c>
      <c r="F67" s="4">
        <v>50000000</v>
      </c>
    </row>
    <row r="68" spans="1:6" x14ac:dyDescent="0.35">
      <c r="A68">
        <v>6</v>
      </c>
      <c r="B68">
        <v>7</v>
      </c>
      <c r="C68">
        <v>7</v>
      </c>
      <c r="D68" s="4">
        <v>500</v>
      </c>
      <c r="E68" s="4">
        <v>1200</v>
      </c>
      <c r="F68" s="4">
        <v>5000</v>
      </c>
    </row>
    <row r="69" spans="1:6" x14ac:dyDescent="0.35">
      <c r="A69">
        <v>6</v>
      </c>
      <c r="B69">
        <v>8</v>
      </c>
      <c r="C69">
        <v>8</v>
      </c>
      <c r="D69" s="4">
        <v>10000</v>
      </c>
      <c r="E69" s="4">
        <v>100000</v>
      </c>
      <c r="F69" s="4">
        <v>1000000</v>
      </c>
    </row>
    <row r="70" spans="1:6" x14ac:dyDescent="0.35">
      <c r="A70">
        <v>6</v>
      </c>
      <c r="B70">
        <v>9</v>
      </c>
      <c r="C70">
        <v>9</v>
      </c>
      <c r="D70" s="4">
        <v>10</v>
      </c>
      <c r="E70" s="4">
        <v>30</v>
      </c>
      <c r="F70" s="4">
        <v>85</v>
      </c>
    </row>
    <row r="71" spans="1:6" x14ac:dyDescent="0.35">
      <c r="A71">
        <v>6</v>
      </c>
      <c r="B71">
        <v>10</v>
      </c>
      <c r="C71">
        <v>10</v>
      </c>
      <c r="D71" s="4">
        <v>25</v>
      </c>
      <c r="E71" s="4">
        <v>65</v>
      </c>
      <c r="F71" s="4">
        <v>90</v>
      </c>
    </row>
    <row r="72" spans="1:6" x14ac:dyDescent="0.35">
      <c r="A72">
        <v>6</v>
      </c>
      <c r="B72">
        <v>11</v>
      </c>
      <c r="C72">
        <v>11</v>
      </c>
      <c r="D72" s="4">
        <v>5</v>
      </c>
      <c r="E72" s="4">
        <v>15</v>
      </c>
      <c r="F72" s="4">
        <v>20</v>
      </c>
    </row>
    <row r="73" spans="1:6" x14ac:dyDescent="0.35">
      <c r="A73">
        <v>6</v>
      </c>
      <c r="B73">
        <v>12</v>
      </c>
      <c r="C73">
        <v>12</v>
      </c>
      <c r="D73" s="4">
        <v>5</v>
      </c>
      <c r="E73" s="4">
        <v>14</v>
      </c>
      <c r="F73" s="4">
        <v>18</v>
      </c>
    </row>
    <row r="74" spans="1:6" x14ac:dyDescent="0.35">
      <c r="A74">
        <v>7</v>
      </c>
      <c r="B74">
        <v>1</v>
      </c>
      <c r="C74">
        <v>1</v>
      </c>
      <c r="D74" s="4">
        <v>2</v>
      </c>
      <c r="E74" s="4">
        <v>4</v>
      </c>
      <c r="F74" s="4">
        <v>7</v>
      </c>
    </row>
    <row r="75" spans="1:6" x14ac:dyDescent="0.35">
      <c r="A75">
        <v>7</v>
      </c>
      <c r="B75">
        <v>2</v>
      </c>
      <c r="C75">
        <v>2</v>
      </c>
      <c r="D75" s="4">
        <v>50</v>
      </c>
      <c r="E75" s="4">
        <v>65</v>
      </c>
      <c r="F75" s="4">
        <v>80</v>
      </c>
    </row>
    <row r="76" spans="1:6" x14ac:dyDescent="0.35">
      <c r="A76">
        <v>7</v>
      </c>
      <c r="B76">
        <v>3</v>
      </c>
      <c r="C76">
        <v>3</v>
      </c>
      <c r="D76" s="4">
        <v>10</v>
      </c>
      <c r="E76" s="4">
        <v>50</v>
      </c>
      <c r="F76" s="4">
        <v>100</v>
      </c>
    </row>
    <row r="77" spans="1:6" x14ac:dyDescent="0.35">
      <c r="A77">
        <v>7</v>
      </c>
      <c r="B77">
        <v>4</v>
      </c>
      <c r="C77">
        <v>4</v>
      </c>
      <c r="D77" s="4">
        <v>30</v>
      </c>
      <c r="E77" s="4">
        <v>60</v>
      </c>
      <c r="F77" s="4">
        <v>80</v>
      </c>
    </row>
    <row r="78" spans="1:6" x14ac:dyDescent="0.35">
      <c r="A78">
        <v>7</v>
      </c>
      <c r="B78">
        <v>5</v>
      </c>
      <c r="C78">
        <v>5</v>
      </c>
      <c r="D78" s="4">
        <v>4</v>
      </c>
      <c r="E78" s="4">
        <v>9</v>
      </c>
      <c r="F78" s="4">
        <v>16</v>
      </c>
    </row>
    <row r="79" spans="1:6" x14ac:dyDescent="0.35">
      <c r="A79">
        <v>7</v>
      </c>
      <c r="B79">
        <v>6</v>
      </c>
      <c r="C79">
        <v>6</v>
      </c>
      <c r="D79" s="4">
        <v>100000</v>
      </c>
      <c r="E79" s="4">
        <v>250000</v>
      </c>
      <c r="F79" s="4">
        <v>1000000</v>
      </c>
    </row>
    <row r="80" spans="1:6" x14ac:dyDescent="0.35">
      <c r="A80">
        <v>7</v>
      </c>
      <c r="B80">
        <v>7</v>
      </c>
      <c r="C80">
        <v>7</v>
      </c>
      <c r="D80" s="4">
        <v>200</v>
      </c>
      <c r="E80" s="4">
        <v>500</v>
      </c>
      <c r="F80" s="4">
        <v>2000</v>
      </c>
    </row>
    <row r="81" spans="1:6" x14ac:dyDescent="0.35">
      <c r="A81">
        <v>7</v>
      </c>
      <c r="B81">
        <v>8</v>
      </c>
      <c r="C81">
        <v>8</v>
      </c>
      <c r="D81" s="4">
        <v>10000</v>
      </c>
      <c r="E81" s="4">
        <v>1500000</v>
      </c>
      <c r="F81" s="4">
        <v>10000000</v>
      </c>
    </row>
    <row r="82" spans="1:6" x14ac:dyDescent="0.35">
      <c r="A82">
        <v>7</v>
      </c>
      <c r="B82">
        <v>9</v>
      </c>
      <c r="C82">
        <v>9</v>
      </c>
      <c r="D82" s="4">
        <v>30</v>
      </c>
      <c r="E82" s="4">
        <v>50</v>
      </c>
      <c r="F82" s="4">
        <v>80</v>
      </c>
    </row>
    <row r="83" spans="1:6" x14ac:dyDescent="0.35">
      <c r="A83">
        <v>7</v>
      </c>
      <c r="B83">
        <v>10</v>
      </c>
      <c r="C83">
        <v>10</v>
      </c>
      <c r="D83" s="4">
        <v>30</v>
      </c>
      <c r="E83" s="4">
        <v>60</v>
      </c>
      <c r="F83" s="4">
        <v>75</v>
      </c>
    </row>
    <row r="84" spans="1:6" x14ac:dyDescent="0.35">
      <c r="A84">
        <v>7</v>
      </c>
      <c r="B84">
        <v>11</v>
      </c>
      <c r="C84">
        <v>11</v>
      </c>
      <c r="D84" s="4">
        <v>2</v>
      </c>
      <c r="E84" s="4">
        <v>10</v>
      </c>
      <c r="F84" s="4">
        <v>20</v>
      </c>
    </row>
    <row r="85" spans="1:6" x14ac:dyDescent="0.35">
      <c r="A85">
        <v>7</v>
      </c>
      <c r="B85">
        <v>12</v>
      </c>
      <c r="C85">
        <v>12</v>
      </c>
      <c r="D85" s="4">
        <v>33</v>
      </c>
      <c r="E85" s="4">
        <v>48</v>
      </c>
      <c r="F85" s="4">
        <v>60</v>
      </c>
    </row>
    <row r="86" spans="1:6" x14ac:dyDescent="0.35">
      <c r="A86">
        <v>8</v>
      </c>
      <c r="B86">
        <v>1</v>
      </c>
      <c r="C86">
        <v>1</v>
      </c>
      <c r="D86" s="4">
        <v>0</v>
      </c>
      <c r="E86" s="4">
        <v>2</v>
      </c>
      <c r="F86" s="4">
        <v>8</v>
      </c>
    </row>
    <row r="87" spans="1:6" x14ac:dyDescent="0.35">
      <c r="A87">
        <v>8</v>
      </c>
      <c r="B87">
        <v>2</v>
      </c>
      <c r="C87">
        <v>2</v>
      </c>
      <c r="D87" s="4">
        <v>60</v>
      </c>
      <c r="E87" s="4">
        <v>70</v>
      </c>
      <c r="F87" s="4">
        <v>90</v>
      </c>
    </row>
    <row r="88" spans="1:6" x14ac:dyDescent="0.35">
      <c r="A88">
        <v>8</v>
      </c>
      <c r="B88">
        <v>3</v>
      </c>
      <c r="C88">
        <v>3</v>
      </c>
      <c r="D88" s="4">
        <v>30</v>
      </c>
      <c r="E88" s="4">
        <v>100</v>
      </c>
      <c r="F88" s="4">
        <v>150</v>
      </c>
    </row>
    <row r="89" spans="1:6" x14ac:dyDescent="0.35">
      <c r="A89">
        <v>8</v>
      </c>
      <c r="B89">
        <v>4</v>
      </c>
      <c r="C89">
        <v>4</v>
      </c>
      <c r="D89" s="4">
        <v>5</v>
      </c>
      <c r="E89" s="4">
        <v>50</v>
      </c>
      <c r="F89" s="4">
        <v>95</v>
      </c>
    </row>
    <row r="90" spans="1:6" x14ac:dyDescent="0.35">
      <c r="A90">
        <v>8</v>
      </c>
      <c r="B90">
        <v>5</v>
      </c>
      <c r="C90">
        <v>5</v>
      </c>
      <c r="D90" s="4">
        <v>2</v>
      </c>
      <c r="E90" s="4">
        <v>18</v>
      </c>
      <c r="F90" s="4">
        <v>34</v>
      </c>
    </row>
    <row r="91" spans="1:6" x14ac:dyDescent="0.35">
      <c r="A91">
        <v>8</v>
      </c>
      <c r="B91">
        <v>6</v>
      </c>
      <c r="C91">
        <v>6</v>
      </c>
      <c r="D91" s="4">
        <v>10000</v>
      </c>
      <c r="E91" s="4">
        <v>100000</v>
      </c>
      <c r="F91" s="4">
        <v>1000000</v>
      </c>
    </row>
    <row r="92" spans="1:6" x14ac:dyDescent="0.35">
      <c r="A92">
        <v>8</v>
      </c>
      <c r="B92">
        <v>7</v>
      </c>
      <c r="C92">
        <v>7</v>
      </c>
      <c r="D92" s="4">
        <v>300</v>
      </c>
      <c r="E92" s="4">
        <v>500</v>
      </c>
      <c r="F92" s="4">
        <v>1500</v>
      </c>
    </row>
    <row r="93" spans="1:6" x14ac:dyDescent="0.35">
      <c r="A93">
        <v>8</v>
      </c>
      <c r="B93">
        <v>8</v>
      </c>
      <c r="C93">
        <v>8</v>
      </c>
      <c r="D93" s="4">
        <v>2000</v>
      </c>
      <c r="E93" s="4">
        <v>50000</v>
      </c>
      <c r="F93" s="4">
        <v>500000</v>
      </c>
    </row>
    <row r="94" spans="1:6" x14ac:dyDescent="0.35">
      <c r="A94">
        <v>8</v>
      </c>
      <c r="B94">
        <v>9</v>
      </c>
      <c r="C94">
        <v>9</v>
      </c>
      <c r="D94" s="4">
        <v>5</v>
      </c>
      <c r="E94" s="4">
        <v>50</v>
      </c>
      <c r="F94" s="4">
        <v>95</v>
      </c>
    </row>
    <row r="95" spans="1:6" x14ac:dyDescent="0.35">
      <c r="A95">
        <v>8</v>
      </c>
      <c r="B95">
        <v>10</v>
      </c>
      <c r="C95">
        <v>10</v>
      </c>
      <c r="D95" s="4">
        <v>50</v>
      </c>
      <c r="E95" s="4">
        <v>70</v>
      </c>
      <c r="F95" s="4">
        <v>95</v>
      </c>
    </row>
    <row r="96" spans="1:6" x14ac:dyDescent="0.35">
      <c r="A96">
        <v>8</v>
      </c>
      <c r="B96">
        <v>11</v>
      </c>
      <c r="C96">
        <v>11</v>
      </c>
      <c r="D96" s="4">
        <v>0</v>
      </c>
      <c r="E96" s="4">
        <v>2</v>
      </c>
      <c r="F96" s="4">
        <v>8</v>
      </c>
    </row>
    <row r="97" spans="1:6" x14ac:dyDescent="0.35">
      <c r="A97">
        <v>8</v>
      </c>
      <c r="B97">
        <v>12</v>
      </c>
      <c r="C97">
        <v>12</v>
      </c>
      <c r="D97" s="4">
        <v>19</v>
      </c>
      <c r="E97" s="4">
        <v>40</v>
      </c>
      <c r="F97" s="4">
        <v>66</v>
      </c>
    </row>
    <row r="98" spans="1:6" x14ac:dyDescent="0.35">
      <c r="A98">
        <v>9</v>
      </c>
      <c r="B98">
        <v>1</v>
      </c>
      <c r="C98">
        <v>1</v>
      </c>
      <c r="D98" s="4">
        <v>1.5</v>
      </c>
      <c r="E98" s="4">
        <v>3</v>
      </c>
      <c r="F98" s="4">
        <v>4.5</v>
      </c>
    </row>
    <row r="99" spans="1:6" x14ac:dyDescent="0.35">
      <c r="A99">
        <v>9</v>
      </c>
      <c r="B99">
        <v>2</v>
      </c>
      <c r="C99">
        <v>2</v>
      </c>
      <c r="D99" s="4">
        <v>40</v>
      </c>
      <c r="E99" s="4">
        <v>55</v>
      </c>
      <c r="F99" s="4">
        <v>65</v>
      </c>
    </row>
    <row r="100" spans="1:6" x14ac:dyDescent="0.35">
      <c r="A100">
        <v>9</v>
      </c>
      <c r="B100">
        <v>3</v>
      </c>
      <c r="C100">
        <v>3</v>
      </c>
      <c r="D100" s="4">
        <v>2</v>
      </c>
      <c r="E100" s="4">
        <v>3</v>
      </c>
      <c r="F100" s="4">
        <v>6</v>
      </c>
    </row>
    <row r="101" spans="1:6" x14ac:dyDescent="0.35">
      <c r="A101">
        <v>9</v>
      </c>
      <c r="B101">
        <v>4</v>
      </c>
      <c r="C101">
        <v>4</v>
      </c>
      <c r="D101" s="4">
        <v>30</v>
      </c>
      <c r="E101" s="4">
        <v>50</v>
      </c>
      <c r="F101" s="4">
        <v>70</v>
      </c>
    </row>
    <row r="102" spans="1:6" x14ac:dyDescent="0.35">
      <c r="A102">
        <v>9</v>
      </c>
      <c r="B102">
        <v>5</v>
      </c>
      <c r="C102">
        <v>5</v>
      </c>
      <c r="D102" s="4">
        <v>0</v>
      </c>
      <c r="E102" s="4">
        <v>1</v>
      </c>
      <c r="F102" s="4">
        <v>4</v>
      </c>
    </row>
    <row r="103" spans="1:6" x14ac:dyDescent="0.35">
      <c r="A103">
        <v>9</v>
      </c>
      <c r="B103">
        <v>6</v>
      </c>
      <c r="C103">
        <v>6</v>
      </c>
      <c r="D103" s="4">
        <v>500000</v>
      </c>
      <c r="E103" s="4">
        <v>1500000</v>
      </c>
      <c r="F103" s="4">
        <v>2000000</v>
      </c>
    </row>
    <row r="104" spans="1:6" x14ac:dyDescent="0.35">
      <c r="A104">
        <v>9</v>
      </c>
      <c r="B104">
        <v>7</v>
      </c>
      <c r="C104">
        <v>7</v>
      </c>
      <c r="D104" s="4">
        <v>300</v>
      </c>
      <c r="E104" s="4">
        <v>600</v>
      </c>
      <c r="F104" s="4">
        <v>1000</v>
      </c>
    </row>
    <row r="105" spans="1:6" x14ac:dyDescent="0.35">
      <c r="A105">
        <v>9</v>
      </c>
      <c r="B105">
        <v>8</v>
      </c>
      <c r="C105">
        <v>8</v>
      </c>
      <c r="D105" s="4">
        <v>1000</v>
      </c>
      <c r="E105" s="4">
        <v>10000</v>
      </c>
      <c r="F105" s="4">
        <v>100000</v>
      </c>
    </row>
    <row r="106" spans="1:6" x14ac:dyDescent="0.35">
      <c r="A106">
        <v>9</v>
      </c>
      <c r="B106">
        <v>9</v>
      </c>
      <c r="C106">
        <v>9</v>
      </c>
      <c r="D106" s="4">
        <v>20</v>
      </c>
      <c r="E106" s="4">
        <v>70</v>
      </c>
      <c r="F106" s="4">
        <v>90</v>
      </c>
    </row>
    <row r="107" spans="1:6" x14ac:dyDescent="0.35">
      <c r="A107">
        <v>9</v>
      </c>
      <c r="B107">
        <v>10</v>
      </c>
      <c r="C107">
        <v>10</v>
      </c>
      <c r="D107" s="4">
        <v>1</v>
      </c>
      <c r="E107" s="4">
        <v>10</v>
      </c>
      <c r="F107" s="4">
        <v>50</v>
      </c>
    </row>
    <row r="108" spans="1:6" x14ac:dyDescent="0.35">
      <c r="A108">
        <v>9</v>
      </c>
      <c r="B108">
        <v>11</v>
      </c>
      <c r="C108">
        <v>11</v>
      </c>
      <c r="D108" s="4">
        <v>1</v>
      </c>
      <c r="E108" s="4">
        <v>4</v>
      </c>
      <c r="F108" s="4">
        <v>6</v>
      </c>
    </row>
    <row r="109" spans="1:6" x14ac:dyDescent="0.35">
      <c r="A109">
        <v>9</v>
      </c>
      <c r="B109">
        <v>12</v>
      </c>
      <c r="C109">
        <v>12</v>
      </c>
      <c r="D109" s="4">
        <v>1</v>
      </c>
      <c r="E109" s="4">
        <v>10</v>
      </c>
      <c r="F109" s="4">
        <v>30</v>
      </c>
    </row>
    <row r="110" spans="1:6" x14ac:dyDescent="0.35">
      <c r="A110">
        <v>10</v>
      </c>
      <c r="B110">
        <v>1</v>
      </c>
      <c r="C110">
        <v>1</v>
      </c>
      <c r="D110" s="4">
        <v>0</v>
      </c>
      <c r="E110" s="4">
        <v>1.5</v>
      </c>
      <c r="F110" s="4">
        <v>3.5</v>
      </c>
    </row>
    <row r="111" spans="1:6" x14ac:dyDescent="0.35">
      <c r="A111">
        <v>10</v>
      </c>
      <c r="B111">
        <v>2</v>
      </c>
      <c r="C111">
        <v>2</v>
      </c>
      <c r="D111" s="4">
        <v>55</v>
      </c>
      <c r="E111" s="4">
        <v>68</v>
      </c>
      <c r="F111" s="4">
        <v>75</v>
      </c>
    </row>
    <row r="112" spans="1:6" x14ac:dyDescent="0.35">
      <c r="A112">
        <v>10</v>
      </c>
      <c r="B112">
        <v>3</v>
      </c>
      <c r="C112">
        <v>3</v>
      </c>
      <c r="D112" s="4">
        <v>50</v>
      </c>
      <c r="E112" s="4">
        <v>103</v>
      </c>
      <c r="F112" s="4">
        <v>115</v>
      </c>
    </row>
    <row r="113" spans="1:6" x14ac:dyDescent="0.35">
      <c r="A113">
        <v>10</v>
      </c>
      <c r="B113">
        <v>4</v>
      </c>
      <c r="C113">
        <v>4</v>
      </c>
      <c r="D113" s="4">
        <v>30</v>
      </c>
      <c r="E113" s="4">
        <v>70</v>
      </c>
      <c r="F113" s="4">
        <v>90</v>
      </c>
    </row>
    <row r="114" spans="1:6" x14ac:dyDescent="0.35">
      <c r="A114">
        <v>10</v>
      </c>
      <c r="B114">
        <v>5</v>
      </c>
      <c r="C114">
        <v>5</v>
      </c>
      <c r="D114" s="4">
        <v>0</v>
      </c>
      <c r="E114" s="4">
        <v>3</v>
      </c>
      <c r="F114" s="4">
        <v>5</v>
      </c>
    </row>
    <row r="115" spans="1:6" x14ac:dyDescent="0.35">
      <c r="A115">
        <v>10</v>
      </c>
      <c r="B115">
        <v>6</v>
      </c>
      <c r="C115">
        <v>6</v>
      </c>
      <c r="D115" s="4">
        <v>5000</v>
      </c>
      <c r="E115" s="4">
        <v>100000</v>
      </c>
      <c r="F115" s="4">
        <v>250000</v>
      </c>
    </row>
    <row r="116" spans="1:6" x14ac:dyDescent="0.35">
      <c r="A116">
        <v>10</v>
      </c>
      <c r="B116">
        <v>7</v>
      </c>
      <c r="C116">
        <v>7</v>
      </c>
      <c r="D116" s="4">
        <v>190</v>
      </c>
      <c r="E116" s="4">
        <v>300</v>
      </c>
      <c r="F116" s="4">
        <v>500</v>
      </c>
    </row>
    <row r="117" spans="1:6" x14ac:dyDescent="0.35">
      <c r="A117">
        <v>10</v>
      </c>
      <c r="B117">
        <v>8</v>
      </c>
      <c r="C117">
        <v>8</v>
      </c>
      <c r="D117" s="4">
        <v>1000000</v>
      </c>
      <c r="E117" s="4">
        <v>1000000000</v>
      </c>
      <c r="F117" s="4">
        <v>100000000000000</v>
      </c>
    </row>
    <row r="118" spans="1:6" x14ac:dyDescent="0.35">
      <c r="A118">
        <v>10</v>
      </c>
      <c r="B118">
        <v>9</v>
      </c>
      <c r="C118">
        <v>9</v>
      </c>
      <c r="D118" s="4">
        <v>5</v>
      </c>
      <c r="E118" s="4">
        <v>30</v>
      </c>
      <c r="F118" s="4">
        <v>60</v>
      </c>
    </row>
    <row r="119" spans="1:6" x14ac:dyDescent="0.35">
      <c r="A119">
        <v>10</v>
      </c>
      <c r="B119">
        <v>10</v>
      </c>
      <c r="C119">
        <v>10</v>
      </c>
      <c r="D119" s="4">
        <v>50</v>
      </c>
      <c r="E119" s="4">
        <v>70</v>
      </c>
      <c r="F119" s="4">
        <v>90</v>
      </c>
    </row>
    <row r="120" spans="1:6" x14ac:dyDescent="0.35">
      <c r="A120">
        <v>10</v>
      </c>
      <c r="B120">
        <v>11</v>
      </c>
      <c r="C120">
        <v>11</v>
      </c>
      <c r="D120" s="4">
        <v>0.1</v>
      </c>
      <c r="E120" s="4">
        <v>1</v>
      </c>
      <c r="F120" s="4">
        <v>5</v>
      </c>
    </row>
    <row r="121" spans="1:6" x14ac:dyDescent="0.35">
      <c r="A121">
        <v>10</v>
      </c>
      <c r="B121">
        <v>12</v>
      </c>
      <c r="C121">
        <v>12</v>
      </c>
      <c r="D121" s="4">
        <v>20</v>
      </c>
      <c r="E121" s="4">
        <v>26</v>
      </c>
      <c r="F121" s="4">
        <v>30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70"/>
  <dimension ref="A1:H41"/>
  <sheetViews>
    <sheetView workbookViewId="0"/>
  </sheetViews>
  <sheetFormatPr defaultRowHeight="14.5" x14ac:dyDescent="0.35"/>
  <sheetData>
    <row r="1" spans="1:8" x14ac:dyDescent="0.35">
      <c r="A1" t="s">
        <v>259</v>
      </c>
      <c r="H1" t="s">
        <v>58</v>
      </c>
    </row>
    <row r="2" spans="1:8" x14ac:dyDescent="0.35">
      <c r="A2">
        <v>1</v>
      </c>
      <c r="B2">
        <v>1</v>
      </c>
      <c r="D2" s="4">
        <v>5</v>
      </c>
      <c r="E2" s="4">
        <v>33</v>
      </c>
      <c r="F2" s="4">
        <v>75</v>
      </c>
      <c r="H2" s="4">
        <v>56.1</v>
      </c>
    </row>
    <row r="3" spans="1:8" x14ac:dyDescent="0.35">
      <c r="A3">
        <v>1</v>
      </c>
      <c r="B3">
        <v>2</v>
      </c>
      <c r="D3" s="4">
        <v>5</v>
      </c>
      <c r="E3" s="4">
        <v>20</v>
      </c>
      <c r="F3" s="4">
        <v>40</v>
      </c>
      <c r="H3" s="4">
        <v>24</v>
      </c>
    </row>
    <row r="4" spans="1:8" x14ac:dyDescent="0.35">
      <c r="A4">
        <v>1</v>
      </c>
      <c r="B4">
        <v>3</v>
      </c>
      <c r="D4" s="4">
        <v>5</v>
      </c>
      <c r="E4" s="4">
        <v>30</v>
      </c>
      <c r="F4" s="4">
        <v>80</v>
      </c>
      <c r="H4" s="4">
        <v>51.4</v>
      </c>
    </row>
    <row r="5" spans="1:8" x14ac:dyDescent="0.35">
      <c r="A5">
        <v>1</v>
      </c>
      <c r="B5">
        <v>4</v>
      </c>
      <c r="D5" s="4">
        <v>5</v>
      </c>
      <c r="E5" s="4">
        <v>40</v>
      </c>
      <c r="F5" s="4">
        <v>80</v>
      </c>
      <c r="H5" s="4">
        <v>31.7</v>
      </c>
    </row>
    <row r="6" spans="1:8" x14ac:dyDescent="0.35">
      <c r="A6">
        <v>1</v>
      </c>
      <c r="B6">
        <v>5</v>
      </c>
      <c r="D6" s="4">
        <v>5</v>
      </c>
      <c r="E6" s="4">
        <v>15</v>
      </c>
      <c r="F6" s="4">
        <v>40</v>
      </c>
      <c r="H6" s="4">
        <v>42.4</v>
      </c>
    </row>
    <row r="7" spans="1:8" x14ac:dyDescent="0.35">
      <c r="A7">
        <v>1</v>
      </c>
      <c r="B7">
        <v>6</v>
      </c>
      <c r="D7" s="4">
        <v>10</v>
      </c>
      <c r="E7" s="4">
        <v>50</v>
      </c>
      <c r="F7" s="4">
        <v>80</v>
      </c>
      <c r="H7" s="4">
        <v>63</v>
      </c>
    </row>
    <row r="8" spans="1:8" x14ac:dyDescent="0.35">
      <c r="A8">
        <v>1</v>
      </c>
      <c r="B8">
        <v>7</v>
      </c>
      <c r="D8" s="4">
        <v>2</v>
      </c>
      <c r="E8" s="4">
        <v>33</v>
      </c>
      <c r="F8" s="4">
        <v>60</v>
      </c>
      <c r="H8" s="4">
        <v>55</v>
      </c>
    </row>
    <row r="9" spans="1:8" x14ac:dyDescent="0.35">
      <c r="A9">
        <v>1</v>
      </c>
      <c r="B9">
        <v>8</v>
      </c>
      <c r="D9" s="4">
        <v>5</v>
      </c>
      <c r="E9" s="4">
        <v>40</v>
      </c>
      <c r="F9" s="4">
        <v>80</v>
      </c>
      <c r="H9" s="4">
        <v>9</v>
      </c>
    </row>
    <row r="10" spans="1:8" x14ac:dyDescent="0.35">
      <c r="A10">
        <v>1</v>
      </c>
      <c r="B10">
        <v>9</v>
      </c>
      <c r="D10" s="4">
        <v>-10</v>
      </c>
      <c r="E10" s="4">
        <v>0</v>
      </c>
      <c r="F10" s="4">
        <v>10</v>
      </c>
      <c r="H10" s="4">
        <v>11</v>
      </c>
    </row>
    <row r="11" spans="1:8" x14ac:dyDescent="0.35">
      <c r="A11">
        <v>1</v>
      </c>
      <c r="B11">
        <v>10</v>
      </c>
      <c r="D11" s="4">
        <v>-10</v>
      </c>
      <c r="E11" s="4">
        <v>0</v>
      </c>
      <c r="F11" s="4">
        <v>10</v>
      </c>
      <c r="H11" s="4">
        <v>-10.6</v>
      </c>
    </row>
    <row r="12" spans="1:8" x14ac:dyDescent="0.35">
      <c r="A12">
        <v>2</v>
      </c>
      <c r="B12">
        <v>1</v>
      </c>
      <c r="D12" s="4">
        <v>30</v>
      </c>
      <c r="E12" s="4">
        <v>80</v>
      </c>
      <c r="F12" s="4">
        <v>90</v>
      </c>
    </row>
    <row r="13" spans="1:8" x14ac:dyDescent="0.35">
      <c r="A13">
        <v>2</v>
      </c>
      <c r="B13">
        <v>2</v>
      </c>
      <c r="D13" s="4">
        <v>5</v>
      </c>
      <c r="E13" s="4">
        <v>30</v>
      </c>
      <c r="F13" s="4">
        <v>60</v>
      </c>
    </row>
    <row r="14" spans="1:8" x14ac:dyDescent="0.35">
      <c r="A14">
        <v>2</v>
      </c>
      <c r="B14">
        <v>3</v>
      </c>
      <c r="D14" s="4">
        <v>10</v>
      </c>
      <c r="E14" s="4">
        <v>40</v>
      </c>
      <c r="F14" s="4">
        <v>60</v>
      </c>
    </row>
    <row r="15" spans="1:8" x14ac:dyDescent="0.35">
      <c r="A15">
        <v>2</v>
      </c>
      <c r="B15">
        <v>4</v>
      </c>
      <c r="D15" s="4">
        <v>30</v>
      </c>
      <c r="E15" s="4">
        <v>60</v>
      </c>
      <c r="F15" s="4">
        <v>80</v>
      </c>
    </row>
    <row r="16" spans="1:8" x14ac:dyDescent="0.35">
      <c r="A16">
        <v>2</v>
      </c>
      <c r="B16">
        <v>5</v>
      </c>
      <c r="D16" s="4">
        <v>25</v>
      </c>
      <c r="E16" s="4">
        <v>40</v>
      </c>
      <c r="F16" s="4">
        <v>70</v>
      </c>
    </row>
    <row r="17" spans="1:6" x14ac:dyDescent="0.35">
      <c r="A17">
        <v>2</v>
      </c>
      <c r="B17">
        <v>6</v>
      </c>
      <c r="D17" s="4">
        <v>1</v>
      </c>
      <c r="E17" s="4">
        <v>5</v>
      </c>
      <c r="F17" s="4">
        <v>9</v>
      </c>
    </row>
    <row r="18" spans="1:6" x14ac:dyDescent="0.35">
      <c r="A18">
        <v>2</v>
      </c>
      <c r="B18">
        <v>7</v>
      </c>
      <c r="D18" s="4">
        <v>1</v>
      </c>
      <c r="E18" s="4">
        <v>5</v>
      </c>
      <c r="F18" s="4">
        <v>9</v>
      </c>
    </row>
    <row r="19" spans="1:6" x14ac:dyDescent="0.35">
      <c r="A19">
        <v>2</v>
      </c>
      <c r="B19">
        <v>8</v>
      </c>
      <c r="D19" s="4">
        <v>30</v>
      </c>
      <c r="E19" s="4">
        <v>60</v>
      </c>
      <c r="F19" s="4">
        <v>90</v>
      </c>
    </row>
    <row r="20" spans="1:6" x14ac:dyDescent="0.35">
      <c r="A20">
        <v>2</v>
      </c>
      <c r="B20">
        <v>9</v>
      </c>
      <c r="D20" s="4">
        <v>10</v>
      </c>
      <c r="E20" s="4">
        <v>30</v>
      </c>
      <c r="F20" s="4">
        <v>60</v>
      </c>
    </row>
    <row r="21" spans="1:6" x14ac:dyDescent="0.35">
      <c r="A21">
        <v>2</v>
      </c>
      <c r="B21">
        <v>10</v>
      </c>
      <c r="D21" s="4">
        <v>25</v>
      </c>
      <c r="E21" s="4">
        <v>50</v>
      </c>
      <c r="F21" s="4">
        <v>80</v>
      </c>
    </row>
    <row r="22" spans="1:6" x14ac:dyDescent="0.35">
      <c r="A22">
        <v>3</v>
      </c>
      <c r="B22">
        <v>1</v>
      </c>
      <c r="D22" s="4">
        <v>5</v>
      </c>
      <c r="E22" s="4">
        <v>15</v>
      </c>
      <c r="F22" s="4">
        <v>25</v>
      </c>
    </row>
    <row r="23" spans="1:6" x14ac:dyDescent="0.35">
      <c r="A23">
        <v>3</v>
      </c>
      <c r="B23">
        <v>2</v>
      </c>
      <c r="D23" s="4">
        <v>50</v>
      </c>
      <c r="E23" s="4">
        <v>60</v>
      </c>
      <c r="F23" s="4">
        <v>70</v>
      </c>
    </row>
    <row r="24" spans="1:6" x14ac:dyDescent="0.35">
      <c r="A24">
        <v>3</v>
      </c>
      <c r="B24">
        <v>3</v>
      </c>
      <c r="D24" s="4">
        <v>65</v>
      </c>
      <c r="E24" s="4">
        <v>75</v>
      </c>
      <c r="F24" s="4">
        <v>77</v>
      </c>
    </row>
    <row r="25" spans="1:6" x14ac:dyDescent="0.35">
      <c r="A25">
        <v>3</v>
      </c>
      <c r="B25">
        <v>4</v>
      </c>
      <c r="D25" s="4">
        <v>75</v>
      </c>
      <c r="E25" s="4">
        <v>85</v>
      </c>
      <c r="F25" s="4">
        <v>87</v>
      </c>
    </row>
    <row r="26" spans="1:6" x14ac:dyDescent="0.35">
      <c r="A26">
        <v>3</v>
      </c>
      <c r="B26">
        <v>5</v>
      </c>
      <c r="D26" s="4">
        <v>70</v>
      </c>
      <c r="E26" s="4">
        <v>78</v>
      </c>
      <c r="F26" s="4">
        <v>80</v>
      </c>
    </row>
    <row r="27" spans="1:6" x14ac:dyDescent="0.35">
      <c r="A27">
        <v>3</v>
      </c>
      <c r="B27">
        <v>6</v>
      </c>
      <c r="D27" s="4">
        <v>8</v>
      </c>
      <c r="E27" s="4">
        <v>10</v>
      </c>
      <c r="F27" s="4">
        <v>12</v>
      </c>
    </row>
    <row r="28" spans="1:6" x14ac:dyDescent="0.35">
      <c r="A28">
        <v>3</v>
      </c>
      <c r="B28">
        <v>7</v>
      </c>
      <c r="D28" s="4">
        <v>8</v>
      </c>
      <c r="E28" s="4">
        <v>10</v>
      </c>
      <c r="F28" s="4">
        <v>12</v>
      </c>
    </row>
    <row r="29" spans="1:6" x14ac:dyDescent="0.35">
      <c r="A29">
        <v>3</v>
      </c>
      <c r="B29">
        <v>8</v>
      </c>
      <c r="D29" s="4">
        <v>88</v>
      </c>
      <c r="E29" s="4">
        <v>90</v>
      </c>
      <c r="F29" s="4">
        <v>92</v>
      </c>
    </row>
    <row r="30" spans="1:6" x14ac:dyDescent="0.35">
      <c r="A30">
        <v>3</v>
      </c>
      <c r="B30">
        <v>9</v>
      </c>
      <c r="D30" s="4">
        <v>15</v>
      </c>
      <c r="E30" s="4">
        <v>25</v>
      </c>
      <c r="F30" s="4">
        <v>28</v>
      </c>
    </row>
    <row r="31" spans="1:6" x14ac:dyDescent="0.35">
      <c r="A31">
        <v>3</v>
      </c>
      <c r="B31">
        <v>10</v>
      </c>
      <c r="D31" s="4">
        <v>60</v>
      </c>
      <c r="E31" s="4">
        <v>65</v>
      </c>
      <c r="F31" s="4">
        <v>67</v>
      </c>
    </row>
    <row r="32" spans="1:6" x14ac:dyDescent="0.35">
      <c r="A32">
        <v>4</v>
      </c>
      <c r="B32">
        <v>1</v>
      </c>
      <c r="D32" s="4">
        <v>25</v>
      </c>
      <c r="E32" s="4">
        <v>50</v>
      </c>
      <c r="F32" s="4">
        <v>75</v>
      </c>
    </row>
    <row r="33" spans="1:6" x14ac:dyDescent="0.35">
      <c r="A33">
        <v>4</v>
      </c>
      <c r="B33">
        <v>2</v>
      </c>
      <c r="D33" s="4">
        <v>40</v>
      </c>
      <c r="E33" s="4">
        <v>55</v>
      </c>
      <c r="F33" s="4">
        <v>80</v>
      </c>
    </row>
    <row r="34" spans="1:6" x14ac:dyDescent="0.35">
      <c r="A34">
        <v>4</v>
      </c>
      <c r="B34">
        <v>3</v>
      </c>
      <c r="D34" s="4">
        <v>50</v>
      </c>
      <c r="E34" s="4">
        <v>70</v>
      </c>
      <c r="F34" s="4">
        <v>80</v>
      </c>
    </row>
    <row r="35" spans="1:6" x14ac:dyDescent="0.35">
      <c r="A35">
        <v>4</v>
      </c>
      <c r="B35">
        <v>4</v>
      </c>
      <c r="D35" s="4">
        <v>60</v>
      </c>
      <c r="E35" s="4">
        <v>75</v>
      </c>
      <c r="F35" s="4">
        <v>90</v>
      </c>
    </row>
    <row r="36" spans="1:6" x14ac:dyDescent="0.35">
      <c r="A36">
        <v>4</v>
      </c>
      <c r="B36">
        <v>5</v>
      </c>
      <c r="D36" s="4">
        <v>30</v>
      </c>
      <c r="E36" s="4">
        <v>40</v>
      </c>
      <c r="F36" s="4">
        <v>60</v>
      </c>
    </row>
    <row r="37" spans="1:6" x14ac:dyDescent="0.35">
      <c r="A37">
        <v>4</v>
      </c>
      <c r="B37">
        <v>6</v>
      </c>
      <c r="D37" s="4">
        <v>75</v>
      </c>
      <c r="E37" s="4">
        <v>90</v>
      </c>
      <c r="F37" s="4">
        <v>99</v>
      </c>
    </row>
    <row r="38" spans="1:6" x14ac:dyDescent="0.35">
      <c r="A38">
        <v>4</v>
      </c>
      <c r="B38">
        <v>7</v>
      </c>
      <c r="D38" s="4">
        <v>60</v>
      </c>
      <c r="E38" s="4">
        <v>75</v>
      </c>
      <c r="F38" s="4">
        <v>85</v>
      </c>
    </row>
    <row r="39" spans="1:6" x14ac:dyDescent="0.35">
      <c r="A39">
        <v>4</v>
      </c>
      <c r="B39">
        <v>8</v>
      </c>
      <c r="D39" s="4">
        <v>50</v>
      </c>
      <c r="E39" s="4">
        <v>70</v>
      </c>
      <c r="F39" s="4">
        <v>90</v>
      </c>
    </row>
    <row r="40" spans="1:6" x14ac:dyDescent="0.35">
      <c r="A40">
        <v>4</v>
      </c>
      <c r="B40">
        <v>9</v>
      </c>
      <c r="D40" s="4">
        <v>0.5</v>
      </c>
      <c r="E40" s="4">
        <v>2</v>
      </c>
      <c r="F40" s="4">
        <v>10</v>
      </c>
    </row>
    <row r="41" spans="1:6" x14ac:dyDescent="0.35">
      <c r="A41">
        <v>4</v>
      </c>
      <c r="B41">
        <v>10</v>
      </c>
      <c r="D41" s="4">
        <v>0.5</v>
      </c>
      <c r="E41" s="4">
        <v>2</v>
      </c>
      <c r="F41" s="4">
        <v>5</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82"/>
  <dimension ref="A1:H181"/>
  <sheetViews>
    <sheetView topLeftCell="A2" workbookViewId="0">
      <selection activeCell="I6" sqref="I6"/>
    </sheetView>
  </sheetViews>
  <sheetFormatPr defaultRowHeight="14.5" x14ac:dyDescent="0.35"/>
  <sheetData>
    <row r="1" spans="1:8" x14ac:dyDescent="0.35">
      <c r="A1" t="s">
        <v>342</v>
      </c>
    </row>
    <row r="2" spans="1:8" x14ac:dyDescent="0.35">
      <c r="A2">
        <v>1</v>
      </c>
      <c r="B2">
        <v>1</v>
      </c>
      <c r="D2">
        <v>1E-4</v>
      </c>
      <c r="E2">
        <v>0.01</v>
      </c>
      <c r="F2">
        <v>0.1</v>
      </c>
      <c r="H2">
        <v>0.41</v>
      </c>
    </row>
    <row r="3" spans="1:8" x14ac:dyDescent="0.35">
      <c r="A3">
        <v>1</v>
      </c>
      <c r="B3">
        <v>2</v>
      </c>
      <c r="D3">
        <v>1E-4</v>
      </c>
      <c r="E3">
        <v>1E-3</v>
      </c>
      <c r="F3">
        <v>0.01</v>
      </c>
      <c r="H3">
        <v>1.2999999999999999E-3</v>
      </c>
    </row>
    <row r="4" spans="1:8" x14ac:dyDescent="0.35">
      <c r="A4">
        <v>1</v>
      </c>
      <c r="B4">
        <v>3</v>
      </c>
      <c r="D4">
        <v>1.0000000000000001E-5</v>
      </c>
      <c r="E4">
        <v>1E-3</v>
      </c>
      <c r="F4">
        <v>0.01</v>
      </c>
      <c r="H4">
        <v>7.1000000000000005E-5</v>
      </c>
    </row>
    <row r="5" spans="1:8" x14ac:dyDescent="0.35">
      <c r="A5">
        <v>1</v>
      </c>
      <c r="B5">
        <v>4</v>
      </c>
      <c r="D5">
        <v>1E-4</v>
      </c>
      <c r="E5">
        <v>0.01</v>
      </c>
      <c r="F5">
        <v>0.1</v>
      </c>
      <c r="H5">
        <v>0.28000000000000003</v>
      </c>
    </row>
    <row r="6" spans="1:8" x14ac:dyDescent="0.35">
      <c r="A6">
        <v>1</v>
      </c>
      <c r="B6">
        <v>5</v>
      </c>
      <c r="D6">
        <v>1E-4</v>
      </c>
      <c r="E6">
        <v>1E-3</v>
      </c>
      <c r="F6">
        <v>0.01</v>
      </c>
      <c r="H6">
        <v>0.11</v>
      </c>
    </row>
    <row r="7" spans="1:8" x14ac:dyDescent="0.35">
      <c r="A7">
        <v>1</v>
      </c>
      <c r="B7">
        <v>6</v>
      </c>
      <c r="D7">
        <v>1E-3</v>
      </c>
      <c r="E7">
        <v>0.01</v>
      </c>
      <c r="F7">
        <v>0.1</v>
      </c>
      <c r="H7">
        <v>2.1000000000000001E-2</v>
      </c>
    </row>
    <row r="8" spans="1:8" x14ac:dyDescent="0.35">
      <c r="A8">
        <v>1</v>
      </c>
      <c r="B8">
        <v>7</v>
      </c>
      <c r="D8">
        <v>1E-4</v>
      </c>
      <c r="E8">
        <v>0.1</v>
      </c>
      <c r="F8">
        <v>0.9</v>
      </c>
      <c r="H8">
        <v>2.7000000000000001E-3</v>
      </c>
    </row>
    <row r="9" spans="1:8" x14ac:dyDescent="0.35">
      <c r="A9">
        <v>1</v>
      </c>
      <c r="B9">
        <v>8</v>
      </c>
      <c r="D9">
        <v>1E-3</v>
      </c>
      <c r="E9">
        <v>0.01</v>
      </c>
      <c r="F9">
        <v>0.5</v>
      </c>
      <c r="H9">
        <v>8.8299999999999995E-7</v>
      </c>
    </row>
    <row r="10" spans="1:8" x14ac:dyDescent="0.35">
      <c r="A10">
        <v>1</v>
      </c>
      <c r="B10">
        <v>9</v>
      </c>
      <c r="D10">
        <v>1.0000000000000001E-5</v>
      </c>
      <c r="E10">
        <v>1E-3</v>
      </c>
      <c r="F10">
        <v>0.01</v>
      </c>
      <c r="H10">
        <v>6.6199999999999996E-5</v>
      </c>
    </row>
    <row r="11" spans="1:8" x14ac:dyDescent="0.35">
      <c r="A11">
        <v>1</v>
      </c>
      <c r="B11">
        <v>10</v>
      </c>
      <c r="D11">
        <v>1.0000000000000001E-5</v>
      </c>
      <c r="E11">
        <v>1E-4</v>
      </c>
      <c r="F11">
        <v>1E-3</v>
      </c>
      <c r="H11">
        <v>1.4100000000000001E-5</v>
      </c>
    </row>
    <row r="12" spans="1:8" x14ac:dyDescent="0.35">
      <c r="A12">
        <v>1</v>
      </c>
      <c r="B12">
        <v>11</v>
      </c>
      <c r="D12">
        <v>1E-3</v>
      </c>
      <c r="E12">
        <v>0.01</v>
      </c>
      <c r="F12">
        <v>0.1</v>
      </c>
      <c r="H12">
        <v>1.4599999999999999E-3</v>
      </c>
    </row>
    <row r="13" spans="1:8" x14ac:dyDescent="0.35">
      <c r="A13">
        <v>1</v>
      </c>
      <c r="B13">
        <v>12</v>
      </c>
      <c r="D13">
        <v>1.0000000000000001E-5</v>
      </c>
      <c r="E13">
        <v>1E-3</v>
      </c>
      <c r="F13">
        <v>0.01</v>
      </c>
      <c r="H13">
        <v>5.5199999999999997E-6</v>
      </c>
    </row>
    <row r="14" spans="1:8" x14ac:dyDescent="0.35">
      <c r="A14">
        <v>1</v>
      </c>
      <c r="B14">
        <v>13</v>
      </c>
      <c r="D14">
        <v>1E-4</v>
      </c>
      <c r="E14">
        <v>1E-3</v>
      </c>
      <c r="F14">
        <v>0.01</v>
      </c>
      <c r="H14">
        <v>1.63E-4</v>
      </c>
    </row>
    <row r="15" spans="1:8" x14ac:dyDescent="0.35">
      <c r="A15">
        <v>1</v>
      </c>
      <c r="B15">
        <v>14</v>
      </c>
      <c r="D15">
        <v>1E-3</v>
      </c>
      <c r="E15">
        <v>0.01</v>
      </c>
      <c r="F15">
        <v>0.1</v>
      </c>
      <c r="H15">
        <v>1.6799999999999999E-4</v>
      </c>
    </row>
    <row r="16" spans="1:8" x14ac:dyDescent="0.35">
      <c r="A16">
        <v>1</v>
      </c>
      <c r="B16">
        <v>15</v>
      </c>
      <c r="D16">
        <v>1E-3</v>
      </c>
      <c r="E16">
        <v>0.05</v>
      </c>
      <c r="F16">
        <v>0.1</v>
      </c>
      <c r="H16">
        <v>1.01E-4</v>
      </c>
    </row>
    <row r="17" spans="1:8" x14ac:dyDescent="0.35">
      <c r="A17">
        <v>1</v>
      </c>
      <c r="B17">
        <v>16</v>
      </c>
      <c r="D17">
        <v>9.9999999999999995E-8</v>
      </c>
      <c r="E17">
        <v>1.0000000000000001E-5</v>
      </c>
      <c r="F17">
        <v>1E-4</v>
      </c>
      <c r="H17">
        <v>1.3200000000000001E-6</v>
      </c>
    </row>
    <row r="18" spans="1:8" x14ac:dyDescent="0.35">
      <c r="A18">
        <v>1</v>
      </c>
      <c r="B18">
        <v>17</v>
      </c>
      <c r="D18">
        <v>1.0000000000000001E-5</v>
      </c>
      <c r="E18">
        <v>1E-3</v>
      </c>
      <c r="F18">
        <v>0.01</v>
      </c>
      <c r="H18">
        <v>5.62E-3</v>
      </c>
    </row>
    <row r="19" spans="1:8" x14ac:dyDescent="0.35">
      <c r="A19">
        <v>1</v>
      </c>
      <c r="B19">
        <v>18</v>
      </c>
      <c r="D19">
        <v>1E-8</v>
      </c>
      <c r="E19">
        <v>9.9999999999999995E-8</v>
      </c>
      <c r="F19">
        <v>9.9999999999999995E-7</v>
      </c>
      <c r="H19">
        <v>1.3199999999999999E-7</v>
      </c>
    </row>
    <row r="20" spans="1:8" x14ac:dyDescent="0.35">
      <c r="A20">
        <v>1</v>
      </c>
      <c r="B20">
        <v>19</v>
      </c>
      <c r="D20">
        <v>1.0000000000000001E-5</v>
      </c>
      <c r="E20">
        <v>5.0000000000000001E-3</v>
      </c>
      <c r="F20">
        <v>0.05</v>
      </c>
      <c r="H20">
        <v>2.9E-4</v>
      </c>
    </row>
    <row r="21" spans="1:8" x14ac:dyDescent="0.35">
      <c r="A21">
        <v>1</v>
      </c>
      <c r="B21">
        <v>20</v>
      </c>
      <c r="D21">
        <v>1E-8</v>
      </c>
      <c r="E21">
        <v>9.9999999999999995E-8</v>
      </c>
      <c r="F21">
        <v>1.0000000000000001E-5</v>
      </c>
      <c r="H21">
        <v>4.58E-7</v>
      </c>
    </row>
    <row r="22" spans="1:8" x14ac:dyDescent="0.35">
      <c r="A22">
        <v>1</v>
      </c>
      <c r="B22">
        <v>21</v>
      </c>
      <c r="D22">
        <v>1.0000000000000001E-5</v>
      </c>
      <c r="E22">
        <v>5.0000000000000001E-3</v>
      </c>
      <c r="F22">
        <v>0.01</v>
      </c>
      <c r="H22">
        <v>3.9800000000000002E-4</v>
      </c>
    </row>
    <row r="23" spans="1:8" x14ac:dyDescent="0.35">
      <c r="A23">
        <v>1</v>
      </c>
      <c r="B23">
        <v>22</v>
      </c>
      <c r="D23">
        <v>9.9999999999999995E-7</v>
      </c>
      <c r="E23">
        <v>1E-3</v>
      </c>
      <c r="F23">
        <v>0.01</v>
      </c>
      <c r="H23">
        <v>7.1600000000000001E-7</v>
      </c>
    </row>
    <row r="24" spans="1:8" x14ac:dyDescent="0.35">
      <c r="A24">
        <v>1</v>
      </c>
      <c r="B24">
        <v>23</v>
      </c>
      <c r="D24">
        <v>1.0000000000000001E-5</v>
      </c>
      <c r="E24">
        <v>1E-4</v>
      </c>
      <c r="F24">
        <v>0.01</v>
      </c>
      <c r="H24">
        <v>3.6900000000000002E-4</v>
      </c>
    </row>
    <row r="25" spans="1:8" x14ac:dyDescent="0.35">
      <c r="A25">
        <v>1</v>
      </c>
      <c r="B25">
        <v>24</v>
      </c>
      <c r="D25">
        <v>1E-3</v>
      </c>
      <c r="E25">
        <v>0.01</v>
      </c>
      <c r="F25">
        <v>0.1</v>
      </c>
      <c r="H25">
        <v>2.0000000000000001E-4</v>
      </c>
    </row>
    <row r="26" spans="1:8" x14ac:dyDescent="0.35">
      <c r="A26">
        <v>1</v>
      </c>
      <c r="B26">
        <v>25</v>
      </c>
      <c r="D26">
        <v>1E-3</v>
      </c>
      <c r="E26">
        <v>0.05</v>
      </c>
      <c r="F26">
        <v>0.5</v>
      </c>
      <c r="H26">
        <v>6.4000000000000005E-4</v>
      </c>
    </row>
    <row r="27" spans="1:8" x14ac:dyDescent="0.35">
      <c r="A27">
        <v>1</v>
      </c>
      <c r="B27">
        <v>26</v>
      </c>
      <c r="D27">
        <v>9.9999999999999995E-7</v>
      </c>
      <c r="E27">
        <v>1.0000000000000001E-5</v>
      </c>
      <c r="F27">
        <v>1E-4</v>
      </c>
      <c r="H27">
        <v>6.8999999999999997E-5</v>
      </c>
    </row>
    <row r="28" spans="1:8" x14ac:dyDescent="0.35">
      <c r="A28">
        <v>1</v>
      </c>
      <c r="B28">
        <v>27</v>
      </c>
      <c r="D28">
        <v>0.01</v>
      </c>
      <c r="E28">
        <v>0.1</v>
      </c>
      <c r="F28">
        <v>0.9</v>
      </c>
      <c r="H28">
        <v>5.0000000000000001E-4</v>
      </c>
    </row>
    <row r="29" spans="1:8" x14ac:dyDescent="0.35">
      <c r="A29">
        <v>1</v>
      </c>
      <c r="B29">
        <v>28</v>
      </c>
      <c r="D29">
        <v>5.0000000000000001E-4</v>
      </c>
      <c r="E29">
        <v>5.0000000000000001E-3</v>
      </c>
      <c r="F29">
        <v>0.01</v>
      </c>
      <c r="H29">
        <v>1.6199999999999999E-3</v>
      </c>
    </row>
    <row r="30" spans="1:8" x14ac:dyDescent="0.35">
      <c r="A30">
        <v>1</v>
      </c>
      <c r="B30">
        <v>29</v>
      </c>
      <c r="D30">
        <v>0.01</v>
      </c>
      <c r="E30">
        <v>0.1</v>
      </c>
      <c r="F30">
        <v>0.9</v>
      </c>
      <c r="H30">
        <v>9.6000000000000002E-4</v>
      </c>
    </row>
    <row r="31" spans="1:8" x14ac:dyDescent="0.35">
      <c r="A31">
        <v>1</v>
      </c>
      <c r="B31">
        <v>30</v>
      </c>
      <c r="D31">
        <v>9.9999999999999995E-7</v>
      </c>
      <c r="E31">
        <v>1.0000000000000001E-5</v>
      </c>
      <c r="F31">
        <v>1E-4</v>
      </c>
      <c r="H31">
        <v>3.2200000000000001E-6</v>
      </c>
    </row>
    <row r="32" spans="1:8" x14ac:dyDescent="0.35">
      <c r="A32">
        <v>2</v>
      </c>
      <c r="B32">
        <v>1</v>
      </c>
      <c r="D32">
        <v>1E-3</v>
      </c>
      <c r="E32">
        <v>0.01</v>
      </c>
      <c r="F32">
        <v>0.5</v>
      </c>
    </row>
    <row r="33" spans="1:6" x14ac:dyDescent="0.35">
      <c r="A33">
        <v>2</v>
      </c>
      <c r="B33">
        <v>2</v>
      </c>
      <c r="D33">
        <v>1.0000000000000001E-5</v>
      </c>
      <c r="E33">
        <v>1E-3</v>
      </c>
      <c r="F33">
        <v>0.01</v>
      </c>
    </row>
    <row r="34" spans="1:6" x14ac:dyDescent="0.35">
      <c r="A34">
        <v>2</v>
      </c>
      <c r="B34">
        <v>3</v>
      </c>
      <c r="D34">
        <v>1.0000000000000001E-5</v>
      </c>
      <c r="E34">
        <v>0.01</v>
      </c>
      <c r="F34">
        <v>0.1</v>
      </c>
    </row>
    <row r="35" spans="1:6" x14ac:dyDescent="0.35">
      <c r="A35">
        <v>2</v>
      </c>
      <c r="B35">
        <v>4</v>
      </c>
      <c r="D35">
        <v>0.01</v>
      </c>
      <c r="E35">
        <v>0.05</v>
      </c>
      <c r="F35">
        <v>0.5</v>
      </c>
    </row>
    <row r="36" spans="1:6" x14ac:dyDescent="0.35">
      <c r="A36">
        <v>2</v>
      </c>
      <c r="B36">
        <v>5</v>
      </c>
      <c r="D36">
        <v>1E-3</v>
      </c>
      <c r="E36">
        <v>0.05</v>
      </c>
      <c r="F36">
        <v>0.5</v>
      </c>
    </row>
    <row r="37" spans="1:6" x14ac:dyDescent="0.35">
      <c r="A37">
        <v>2</v>
      </c>
      <c r="B37">
        <v>6</v>
      </c>
      <c r="D37">
        <v>1E-4</v>
      </c>
      <c r="E37">
        <v>0.01</v>
      </c>
      <c r="F37">
        <v>0.1</v>
      </c>
    </row>
    <row r="38" spans="1:6" x14ac:dyDescent="0.35">
      <c r="A38">
        <v>2</v>
      </c>
      <c r="B38">
        <v>7</v>
      </c>
      <c r="D38">
        <v>1E-4</v>
      </c>
      <c r="E38">
        <v>1E-3</v>
      </c>
      <c r="F38">
        <v>0.01</v>
      </c>
    </row>
    <row r="39" spans="1:6" x14ac:dyDescent="0.35">
      <c r="A39">
        <v>2</v>
      </c>
      <c r="B39">
        <v>8</v>
      </c>
      <c r="D39">
        <v>5.0000000000000004E-6</v>
      </c>
      <c r="E39">
        <v>5.0000000000000002E-5</v>
      </c>
      <c r="F39">
        <v>5.0000000000000001E-4</v>
      </c>
    </row>
    <row r="40" spans="1:6" x14ac:dyDescent="0.35">
      <c r="A40">
        <v>2</v>
      </c>
      <c r="B40">
        <v>9</v>
      </c>
      <c r="D40">
        <v>1E-3</v>
      </c>
      <c r="E40">
        <v>5.0000000000000001E-3</v>
      </c>
      <c r="F40">
        <v>0.01</v>
      </c>
    </row>
    <row r="41" spans="1:6" x14ac:dyDescent="0.35">
      <c r="A41">
        <v>2</v>
      </c>
      <c r="B41">
        <v>10</v>
      </c>
      <c r="D41">
        <v>9.9999999999999995E-7</v>
      </c>
      <c r="E41">
        <v>5.0000000000000002E-5</v>
      </c>
      <c r="F41">
        <v>5.0000000000000001E-4</v>
      </c>
    </row>
    <row r="42" spans="1:6" x14ac:dyDescent="0.35">
      <c r="A42">
        <v>2</v>
      </c>
      <c r="B42">
        <v>11</v>
      </c>
      <c r="D42">
        <v>1E-3</v>
      </c>
      <c r="E42">
        <v>7.0000000000000001E-3</v>
      </c>
      <c r="F42">
        <v>0.1</v>
      </c>
    </row>
    <row r="43" spans="1:6" x14ac:dyDescent="0.35">
      <c r="A43">
        <v>2</v>
      </c>
      <c r="B43">
        <v>12</v>
      </c>
      <c r="D43">
        <v>9.9999999999999995E-8</v>
      </c>
      <c r="E43">
        <v>9.9999999999999995E-7</v>
      </c>
      <c r="F43">
        <v>1.0000000000000001E-5</v>
      </c>
    </row>
    <row r="44" spans="1:6" x14ac:dyDescent="0.35">
      <c r="A44">
        <v>2</v>
      </c>
      <c r="B44">
        <v>13</v>
      </c>
      <c r="D44">
        <v>1E-3</v>
      </c>
      <c r="E44">
        <v>5.0000000000000001E-3</v>
      </c>
      <c r="F44">
        <v>0.01</v>
      </c>
    </row>
    <row r="45" spans="1:6" x14ac:dyDescent="0.35">
      <c r="A45">
        <v>2</v>
      </c>
      <c r="B45">
        <v>14</v>
      </c>
      <c r="D45">
        <v>1.0000000000000001E-5</v>
      </c>
      <c r="E45">
        <v>5.0000000000000001E-3</v>
      </c>
      <c r="F45">
        <v>0.05</v>
      </c>
    </row>
    <row r="46" spans="1:6" x14ac:dyDescent="0.35">
      <c r="A46">
        <v>2</v>
      </c>
      <c r="B46">
        <v>15</v>
      </c>
      <c r="D46">
        <v>0.01</v>
      </c>
      <c r="E46">
        <v>0.05</v>
      </c>
      <c r="F46">
        <v>0.1</v>
      </c>
    </row>
    <row r="47" spans="1:6" x14ac:dyDescent="0.35">
      <c r="A47">
        <v>2</v>
      </c>
      <c r="B47">
        <v>16</v>
      </c>
      <c r="D47">
        <v>1E-8</v>
      </c>
      <c r="E47">
        <v>9.9999999999999995E-7</v>
      </c>
      <c r="F47">
        <v>1E-4</v>
      </c>
    </row>
    <row r="48" spans="1:6" x14ac:dyDescent="0.35">
      <c r="A48">
        <v>2</v>
      </c>
      <c r="B48">
        <v>17</v>
      </c>
      <c r="D48">
        <v>1E-3</v>
      </c>
      <c r="E48">
        <v>5.0000000000000001E-3</v>
      </c>
      <c r="F48">
        <v>0.01</v>
      </c>
    </row>
    <row r="49" spans="1:6" x14ac:dyDescent="0.35">
      <c r="A49">
        <v>2</v>
      </c>
      <c r="B49">
        <v>18</v>
      </c>
      <c r="D49">
        <v>1E-4</v>
      </c>
      <c r="E49">
        <v>1E-3</v>
      </c>
      <c r="F49">
        <v>0.05</v>
      </c>
    </row>
    <row r="50" spans="1:6" x14ac:dyDescent="0.35">
      <c r="A50">
        <v>2</v>
      </c>
      <c r="B50">
        <v>19</v>
      </c>
      <c r="D50">
        <v>1E-4</v>
      </c>
      <c r="E50">
        <v>5.0000000000000001E-3</v>
      </c>
      <c r="F50">
        <v>0.01</v>
      </c>
    </row>
    <row r="51" spans="1:6" x14ac:dyDescent="0.35">
      <c r="A51">
        <v>2</v>
      </c>
      <c r="B51">
        <v>20</v>
      </c>
      <c r="D51">
        <v>9.9999999999999995E-8</v>
      </c>
      <c r="E51">
        <v>4.9999999999999998E-7</v>
      </c>
      <c r="F51">
        <v>5.0000000000000004E-6</v>
      </c>
    </row>
    <row r="52" spans="1:6" x14ac:dyDescent="0.35">
      <c r="A52">
        <v>2</v>
      </c>
      <c r="B52">
        <v>21</v>
      </c>
      <c r="D52">
        <v>1E-4</v>
      </c>
      <c r="E52">
        <v>1E-3</v>
      </c>
      <c r="F52">
        <v>0.01</v>
      </c>
    </row>
    <row r="53" spans="1:6" x14ac:dyDescent="0.35">
      <c r="A53">
        <v>2</v>
      </c>
      <c r="B53">
        <v>22</v>
      </c>
      <c r="D53">
        <v>9.9999999999999995E-7</v>
      </c>
      <c r="E53">
        <v>1.0000000000000001E-5</v>
      </c>
      <c r="F53">
        <v>1E-4</v>
      </c>
    </row>
    <row r="54" spans="1:6" x14ac:dyDescent="0.35">
      <c r="A54">
        <v>2</v>
      </c>
      <c r="B54">
        <v>23</v>
      </c>
      <c r="D54">
        <v>1E-4</v>
      </c>
      <c r="E54">
        <v>1E-3</v>
      </c>
      <c r="F54">
        <v>0.01</v>
      </c>
    </row>
    <row r="55" spans="1:6" x14ac:dyDescent="0.35">
      <c r="A55">
        <v>2</v>
      </c>
      <c r="B55">
        <v>24</v>
      </c>
      <c r="D55">
        <v>1.0000000000000001E-5</v>
      </c>
      <c r="E55">
        <v>5.0000000000000001E-3</v>
      </c>
      <c r="F55">
        <v>0.01</v>
      </c>
    </row>
    <row r="56" spans="1:6" x14ac:dyDescent="0.35">
      <c r="A56">
        <v>2</v>
      </c>
      <c r="B56">
        <v>25</v>
      </c>
      <c r="D56">
        <v>1.0000000000000001E-5</v>
      </c>
      <c r="E56">
        <v>1E-4</v>
      </c>
      <c r="F56">
        <v>1E-3</v>
      </c>
    </row>
    <row r="57" spans="1:6" x14ac:dyDescent="0.35">
      <c r="A57">
        <v>2</v>
      </c>
      <c r="B57">
        <v>26</v>
      </c>
      <c r="D57">
        <v>9.9999999999999995E-8</v>
      </c>
      <c r="E57">
        <v>9.9999999999999995E-7</v>
      </c>
      <c r="F57">
        <v>1.0000000000000001E-5</v>
      </c>
    </row>
    <row r="58" spans="1:6" x14ac:dyDescent="0.35">
      <c r="A58">
        <v>2</v>
      </c>
      <c r="B58">
        <v>27</v>
      </c>
      <c r="D58">
        <v>1E-4</v>
      </c>
      <c r="E58">
        <v>1E-3</v>
      </c>
      <c r="F58">
        <v>0.01</v>
      </c>
    </row>
    <row r="59" spans="1:6" x14ac:dyDescent="0.35">
      <c r="A59">
        <v>2</v>
      </c>
      <c r="B59">
        <v>28</v>
      </c>
      <c r="D59">
        <v>0.05</v>
      </c>
      <c r="E59">
        <v>0.1</v>
      </c>
      <c r="F59">
        <v>0.8</v>
      </c>
    </row>
    <row r="60" spans="1:6" x14ac:dyDescent="0.35">
      <c r="A60">
        <v>2</v>
      </c>
      <c r="B60">
        <v>29</v>
      </c>
      <c r="D60">
        <v>0.05</v>
      </c>
      <c r="E60">
        <v>0.1</v>
      </c>
      <c r="F60">
        <v>0.9</v>
      </c>
    </row>
    <row r="61" spans="1:6" x14ac:dyDescent="0.35">
      <c r="A61">
        <v>2</v>
      </c>
      <c r="B61">
        <v>30</v>
      </c>
      <c r="D61">
        <v>1E-4</v>
      </c>
      <c r="E61">
        <v>1E-3</v>
      </c>
      <c r="F61">
        <v>0.01</v>
      </c>
    </row>
    <row r="62" spans="1:6" x14ac:dyDescent="0.35">
      <c r="A62">
        <v>3</v>
      </c>
      <c r="B62">
        <v>1</v>
      </c>
      <c r="D62">
        <v>1E-3</v>
      </c>
      <c r="E62">
        <v>0.01</v>
      </c>
      <c r="F62">
        <v>0.1</v>
      </c>
    </row>
    <row r="63" spans="1:6" x14ac:dyDescent="0.35">
      <c r="A63">
        <v>3</v>
      </c>
      <c r="B63">
        <v>2</v>
      </c>
      <c r="D63">
        <v>1.0000000000000001E-5</v>
      </c>
      <c r="E63">
        <v>1E-3</v>
      </c>
      <c r="F63">
        <v>0.1</v>
      </c>
    </row>
    <row r="64" spans="1:6" x14ac:dyDescent="0.35">
      <c r="A64">
        <v>3</v>
      </c>
      <c r="B64">
        <v>3</v>
      </c>
      <c r="D64">
        <v>9.9999999999999995E-8</v>
      </c>
      <c r="E64">
        <v>9.9999999999999995E-7</v>
      </c>
      <c r="F64">
        <v>1E-4</v>
      </c>
    </row>
    <row r="65" spans="1:6" x14ac:dyDescent="0.35">
      <c r="A65">
        <v>3</v>
      </c>
      <c r="B65">
        <v>4</v>
      </c>
      <c r="D65">
        <v>1.0000000000000001E-5</v>
      </c>
      <c r="E65">
        <v>1E-3</v>
      </c>
      <c r="F65">
        <v>0.1</v>
      </c>
    </row>
    <row r="66" spans="1:6" x14ac:dyDescent="0.35">
      <c r="A66">
        <v>3</v>
      </c>
      <c r="B66">
        <v>5</v>
      </c>
      <c r="D66">
        <v>1E-4</v>
      </c>
      <c r="E66">
        <v>1E-3</v>
      </c>
      <c r="F66">
        <v>0.1</v>
      </c>
    </row>
    <row r="67" spans="1:6" x14ac:dyDescent="0.35">
      <c r="A67">
        <v>3</v>
      </c>
      <c r="B67">
        <v>6</v>
      </c>
      <c r="D67">
        <v>1E-4</v>
      </c>
      <c r="E67">
        <v>0.01</v>
      </c>
      <c r="F67">
        <v>0.1</v>
      </c>
    </row>
    <row r="68" spans="1:6" x14ac:dyDescent="0.35">
      <c r="A68">
        <v>3</v>
      </c>
      <c r="B68">
        <v>7</v>
      </c>
      <c r="D68">
        <v>1.0000000000000001E-5</v>
      </c>
      <c r="E68">
        <v>1E-4</v>
      </c>
      <c r="F68">
        <v>1E-3</v>
      </c>
    </row>
    <row r="69" spans="1:6" x14ac:dyDescent="0.35">
      <c r="A69">
        <v>3</v>
      </c>
      <c r="B69">
        <v>8</v>
      </c>
      <c r="D69">
        <v>9.9999999999999995E-7</v>
      </c>
      <c r="E69">
        <v>1E-4</v>
      </c>
      <c r="F69">
        <v>1E-3</v>
      </c>
    </row>
    <row r="70" spans="1:6" x14ac:dyDescent="0.35">
      <c r="A70">
        <v>3</v>
      </c>
      <c r="B70">
        <v>9</v>
      </c>
      <c r="D70">
        <v>2.5000000000000001E-5</v>
      </c>
      <c r="E70">
        <v>5.0000000000000001E-3</v>
      </c>
      <c r="F70">
        <v>0.01</v>
      </c>
    </row>
    <row r="71" spans="1:6" x14ac:dyDescent="0.35">
      <c r="A71">
        <v>3</v>
      </c>
      <c r="B71">
        <v>10</v>
      </c>
      <c r="D71">
        <v>1E-3</v>
      </c>
      <c r="E71">
        <v>0.01</v>
      </c>
      <c r="F71">
        <v>0.1</v>
      </c>
    </row>
    <row r="72" spans="1:6" x14ac:dyDescent="0.35">
      <c r="A72">
        <v>3</v>
      </c>
      <c r="B72">
        <v>11</v>
      </c>
      <c r="D72">
        <v>1.0000000000000001E-5</v>
      </c>
      <c r="E72">
        <v>1E-4</v>
      </c>
      <c r="F72">
        <v>1E-3</v>
      </c>
    </row>
    <row r="73" spans="1:6" x14ac:dyDescent="0.35">
      <c r="A73">
        <v>3</v>
      </c>
      <c r="B73">
        <v>12</v>
      </c>
      <c r="D73">
        <v>9.9999999999999995E-7</v>
      </c>
      <c r="E73">
        <v>1E-4</v>
      </c>
      <c r="F73">
        <v>0.01</v>
      </c>
    </row>
    <row r="74" spans="1:6" x14ac:dyDescent="0.35">
      <c r="A74">
        <v>3</v>
      </c>
      <c r="B74">
        <v>13</v>
      </c>
      <c r="D74">
        <v>7.5000000000000002E-7</v>
      </c>
      <c r="E74">
        <v>7.5000000000000002E-6</v>
      </c>
      <c r="F74">
        <v>7.4999999999999993E-5</v>
      </c>
    </row>
    <row r="75" spans="1:6" x14ac:dyDescent="0.35">
      <c r="A75">
        <v>3</v>
      </c>
      <c r="B75">
        <v>14</v>
      </c>
      <c r="D75">
        <v>2.5000000000000001E-3</v>
      </c>
      <c r="E75">
        <v>5.0000000000000001E-3</v>
      </c>
      <c r="F75">
        <v>0.01</v>
      </c>
    </row>
    <row r="76" spans="1:6" x14ac:dyDescent="0.35">
      <c r="A76">
        <v>3</v>
      </c>
      <c r="B76">
        <v>15</v>
      </c>
      <c r="D76">
        <v>5.0000000000000001E-4</v>
      </c>
      <c r="E76">
        <v>0.01</v>
      </c>
      <c r="F76">
        <v>0.02</v>
      </c>
    </row>
    <row r="77" spans="1:6" x14ac:dyDescent="0.35">
      <c r="A77">
        <v>3</v>
      </c>
      <c r="B77">
        <v>16</v>
      </c>
      <c r="D77">
        <v>7.4999999999999997E-8</v>
      </c>
      <c r="E77">
        <v>9.9999999999999995E-7</v>
      </c>
      <c r="F77">
        <v>7.5000000000000002E-4</v>
      </c>
    </row>
    <row r="78" spans="1:6" x14ac:dyDescent="0.35">
      <c r="A78">
        <v>3</v>
      </c>
      <c r="B78">
        <v>17</v>
      </c>
      <c r="D78">
        <v>9.9999999999999995E-7</v>
      </c>
      <c r="E78">
        <v>1.0000000000000001E-5</v>
      </c>
      <c r="F78">
        <v>1E-3</v>
      </c>
    </row>
    <row r="79" spans="1:6" x14ac:dyDescent="0.35">
      <c r="A79">
        <v>3</v>
      </c>
      <c r="B79">
        <v>18</v>
      </c>
      <c r="D79">
        <v>1E-8</v>
      </c>
      <c r="E79">
        <v>1.0000000000000001E-5</v>
      </c>
      <c r="F79">
        <v>2.5000000000000001E-3</v>
      </c>
    </row>
    <row r="80" spans="1:6" x14ac:dyDescent="0.35">
      <c r="A80">
        <v>3</v>
      </c>
      <c r="B80">
        <v>19</v>
      </c>
      <c r="D80">
        <v>7.4999999999999993E-5</v>
      </c>
      <c r="E80">
        <v>1E-4</v>
      </c>
      <c r="F80">
        <v>7.4999999999999997E-2</v>
      </c>
    </row>
    <row r="81" spans="1:6" x14ac:dyDescent="0.35">
      <c r="A81">
        <v>3</v>
      </c>
      <c r="B81">
        <v>20</v>
      </c>
      <c r="D81">
        <v>1E-4</v>
      </c>
      <c r="E81">
        <v>1E-3</v>
      </c>
      <c r="F81">
        <v>2.5000000000000001E-3</v>
      </c>
    </row>
    <row r="82" spans="1:6" x14ac:dyDescent="0.35">
      <c r="A82">
        <v>3</v>
      </c>
      <c r="B82">
        <v>21</v>
      </c>
      <c r="D82">
        <v>1E-3</v>
      </c>
      <c r="E82">
        <v>3.0000000000000001E-3</v>
      </c>
      <c r="F82">
        <v>7.4999999999999997E-3</v>
      </c>
    </row>
    <row r="83" spans="1:6" x14ac:dyDescent="0.35">
      <c r="A83">
        <v>3</v>
      </c>
      <c r="B83">
        <v>22</v>
      </c>
      <c r="D83">
        <v>9.9999999999999995E-7</v>
      </c>
      <c r="E83">
        <v>1E-3</v>
      </c>
      <c r="F83">
        <v>2.5000000000000001E-2</v>
      </c>
    </row>
    <row r="84" spans="1:6" x14ac:dyDescent="0.35">
      <c r="A84">
        <v>3</v>
      </c>
      <c r="B84">
        <v>23</v>
      </c>
      <c r="D84">
        <v>1E-4</v>
      </c>
      <c r="E84">
        <v>1.5E-3</v>
      </c>
      <c r="F84">
        <v>0.01</v>
      </c>
    </row>
    <row r="85" spans="1:6" x14ac:dyDescent="0.35">
      <c r="A85">
        <v>3</v>
      </c>
      <c r="B85">
        <v>24</v>
      </c>
      <c r="D85">
        <v>5.0000000000000001E-3</v>
      </c>
      <c r="E85">
        <v>0.01</v>
      </c>
      <c r="F85">
        <v>0.02</v>
      </c>
    </row>
    <row r="86" spans="1:6" x14ac:dyDescent="0.35">
      <c r="A86">
        <v>3</v>
      </c>
      <c r="B86">
        <v>25</v>
      </c>
      <c r="D86">
        <v>9.9999999999999995E-8</v>
      </c>
      <c r="E86">
        <v>1.0000000000000001E-5</v>
      </c>
      <c r="F86">
        <v>0.05</v>
      </c>
    </row>
    <row r="87" spans="1:6" x14ac:dyDescent="0.35">
      <c r="A87">
        <v>3</v>
      </c>
      <c r="B87">
        <v>26</v>
      </c>
      <c r="D87">
        <v>7.5000000000000002E-6</v>
      </c>
      <c r="E87">
        <v>1E-4</v>
      </c>
      <c r="F87">
        <v>7.4999999999999997E-2</v>
      </c>
    </row>
    <row r="88" spans="1:6" x14ac:dyDescent="0.35">
      <c r="A88">
        <v>3</v>
      </c>
      <c r="B88">
        <v>27</v>
      </c>
      <c r="D88">
        <v>7.5000000000000002E-6</v>
      </c>
      <c r="E88">
        <v>1E-4</v>
      </c>
      <c r="F88">
        <v>7.4999999999999997E-2</v>
      </c>
    </row>
    <row r="89" spans="1:6" x14ac:dyDescent="0.35">
      <c r="A89">
        <v>3</v>
      </c>
      <c r="B89">
        <v>28</v>
      </c>
      <c r="D89">
        <v>7.5000000000000002E-6</v>
      </c>
      <c r="E89">
        <v>1.0000000000000001E-5</v>
      </c>
      <c r="F89">
        <v>7.5000000000000002E-4</v>
      </c>
    </row>
    <row r="90" spans="1:6" x14ac:dyDescent="0.35">
      <c r="A90">
        <v>3</v>
      </c>
      <c r="B90">
        <v>29</v>
      </c>
      <c r="D90">
        <v>7.4999999999999997E-3</v>
      </c>
      <c r="E90">
        <v>0.02</v>
      </c>
      <c r="F90">
        <v>0.05</v>
      </c>
    </row>
    <row r="91" spans="1:6" x14ac:dyDescent="0.35">
      <c r="A91">
        <v>3</v>
      </c>
      <c r="B91">
        <v>30</v>
      </c>
      <c r="D91">
        <v>1.0000000000000001E-5</v>
      </c>
      <c r="E91">
        <v>2.5000000000000001E-3</v>
      </c>
      <c r="F91">
        <v>0.75</v>
      </c>
    </row>
    <row r="92" spans="1:6" x14ac:dyDescent="0.35">
      <c r="A92">
        <v>4</v>
      </c>
      <c r="B92">
        <v>1</v>
      </c>
      <c r="D92">
        <v>1E-3</v>
      </c>
      <c r="E92">
        <v>0.02</v>
      </c>
      <c r="F92">
        <v>0.1</v>
      </c>
    </row>
    <row r="93" spans="1:6" x14ac:dyDescent="0.35">
      <c r="A93">
        <v>4</v>
      </c>
      <c r="B93">
        <v>2</v>
      </c>
      <c r="D93">
        <v>1E-3</v>
      </c>
      <c r="E93">
        <v>2E-3</v>
      </c>
      <c r="F93">
        <v>0.01</v>
      </c>
    </row>
    <row r="94" spans="1:6" x14ac:dyDescent="0.35">
      <c r="A94">
        <v>4</v>
      </c>
      <c r="B94">
        <v>3</v>
      </c>
      <c r="D94">
        <v>1.0000000000000001E-5</v>
      </c>
      <c r="E94">
        <v>2.0000000000000001E-4</v>
      </c>
      <c r="F94">
        <v>0.01</v>
      </c>
    </row>
    <row r="95" spans="1:6" x14ac:dyDescent="0.35">
      <c r="A95">
        <v>4</v>
      </c>
      <c r="B95">
        <v>4</v>
      </c>
      <c r="D95">
        <v>1E-4</v>
      </c>
      <c r="E95">
        <v>2E-3</v>
      </c>
      <c r="F95">
        <v>0.01</v>
      </c>
    </row>
    <row r="96" spans="1:6" x14ac:dyDescent="0.35">
      <c r="A96">
        <v>4</v>
      </c>
      <c r="B96">
        <v>5</v>
      </c>
      <c r="D96">
        <v>1E-4</v>
      </c>
      <c r="E96">
        <v>2E-3</v>
      </c>
      <c r="F96">
        <v>0.01</v>
      </c>
    </row>
    <row r="97" spans="1:6" x14ac:dyDescent="0.35">
      <c r="A97">
        <v>4</v>
      </c>
      <c r="B97">
        <v>6</v>
      </c>
      <c r="D97">
        <v>1E-4</v>
      </c>
      <c r="E97">
        <v>2E-3</v>
      </c>
      <c r="F97">
        <v>0.01</v>
      </c>
    </row>
    <row r="98" spans="1:6" x14ac:dyDescent="0.35">
      <c r="A98">
        <v>4</v>
      </c>
      <c r="B98">
        <v>7</v>
      </c>
      <c r="D98">
        <v>1.0000000000000001E-5</v>
      </c>
      <c r="E98">
        <v>1E-3</v>
      </c>
      <c r="F98">
        <v>0.01</v>
      </c>
    </row>
    <row r="99" spans="1:6" x14ac:dyDescent="0.35">
      <c r="A99">
        <v>4</v>
      </c>
      <c r="B99">
        <v>8</v>
      </c>
      <c r="D99">
        <v>1.0000000000000001E-5</v>
      </c>
      <c r="E99">
        <v>1E-3</v>
      </c>
      <c r="F99">
        <v>0.01</v>
      </c>
    </row>
    <row r="100" spans="1:6" x14ac:dyDescent="0.35">
      <c r="A100">
        <v>4</v>
      </c>
      <c r="B100">
        <v>9</v>
      </c>
      <c r="D100">
        <v>9.9999999999999995E-8</v>
      </c>
      <c r="E100">
        <v>9.9999999999999995E-7</v>
      </c>
      <c r="F100">
        <v>1E-4</v>
      </c>
    </row>
    <row r="101" spans="1:6" x14ac:dyDescent="0.35">
      <c r="A101">
        <v>4</v>
      </c>
      <c r="B101">
        <v>10</v>
      </c>
      <c r="D101">
        <v>1.9999999999999999E-6</v>
      </c>
      <c r="E101">
        <v>5.0000000000000001E-4</v>
      </c>
      <c r="F101">
        <v>1E-3</v>
      </c>
    </row>
    <row r="102" spans="1:6" x14ac:dyDescent="0.35">
      <c r="A102">
        <v>4</v>
      </c>
      <c r="B102">
        <v>11</v>
      </c>
      <c r="D102">
        <v>5.0000000000000001E-4</v>
      </c>
      <c r="E102">
        <v>0.01</v>
      </c>
      <c r="F102">
        <v>0.2</v>
      </c>
    </row>
    <row r="103" spans="1:6" x14ac:dyDescent="0.35">
      <c r="A103">
        <v>4</v>
      </c>
      <c r="B103">
        <v>12</v>
      </c>
      <c r="D103">
        <v>9.9999999999999995E-8</v>
      </c>
      <c r="E103">
        <v>1.9999999999999999E-6</v>
      </c>
      <c r="F103">
        <v>1.0000000000000001E-5</v>
      </c>
    </row>
    <row r="104" spans="1:6" x14ac:dyDescent="0.35">
      <c r="A104">
        <v>4</v>
      </c>
      <c r="B104">
        <v>13</v>
      </c>
      <c r="D104">
        <v>1.0000000000000001E-5</v>
      </c>
      <c r="E104">
        <v>1E-4</v>
      </c>
      <c r="F104">
        <v>0.01</v>
      </c>
    </row>
    <row r="105" spans="1:6" x14ac:dyDescent="0.35">
      <c r="A105">
        <v>4</v>
      </c>
      <c r="B105">
        <v>14</v>
      </c>
      <c r="D105">
        <v>0.01</v>
      </c>
      <c r="E105">
        <v>0.05</v>
      </c>
      <c r="F105">
        <v>0.1</v>
      </c>
    </row>
    <row r="106" spans="1:6" x14ac:dyDescent="0.35">
      <c r="A106">
        <v>4</v>
      </c>
      <c r="B106">
        <v>15</v>
      </c>
      <c r="D106">
        <v>5.0000000000000002E-5</v>
      </c>
      <c r="E106">
        <v>1E-4</v>
      </c>
      <c r="F106">
        <v>5.0000000000000001E-3</v>
      </c>
    </row>
    <row r="107" spans="1:6" x14ac:dyDescent="0.35">
      <c r="A107">
        <v>4</v>
      </c>
      <c r="B107">
        <v>16</v>
      </c>
      <c r="D107">
        <v>9.9999999999999995E-8</v>
      </c>
      <c r="E107">
        <v>9.9999999999999995E-7</v>
      </c>
      <c r="F107">
        <v>5.0000000000000001E-3</v>
      </c>
    </row>
    <row r="108" spans="1:6" x14ac:dyDescent="0.35">
      <c r="A108">
        <v>4</v>
      </c>
      <c r="B108">
        <v>17</v>
      </c>
      <c r="D108">
        <v>1E-3</v>
      </c>
      <c r="E108">
        <v>0.01</v>
      </c>
      <c r="F108">
        <v>0.5</v>
      </c>
    </row>
    <row r="109" spans="1:6" x14ac:dyDescent="0.35">
      <c r="A109">
        <v>4</v>
      </c>
      <c r="B109">
        <v>18</v>
      </c>
      <c r="D109">
        <v>4.9999999999999998E-8</v>
      </c>
      <c r="E109">
        <v>9.9999999999999995E-8</v>
      </c>
      <c r="F109">
        <v>5.0000000000000004E-6</v>
      </c>
    </row>
    <row r="110" spans="1:6" x14ac:dyDescent="0.35">
      <c r="A110">
        <v>4</v>
      </c>
      <c r="B110">
        <v>19</v>
      </c>
      <c r="D110">
        <v>1E-4</v>
      </c>
      <c r="E110">
        <v>0.05</v>
      </c>
      <c r="F110">
        <v>0.1</v>
      </c>
    </row>
    <row r="111" spans="1:6" x14ac:dyDescent="0.35">
      <c r="A111">
        <v>4</v>
      </c>
      <c r="B111">
        <v>20</v>
      </c>
      <c r="D111">
        <v>1E-3</v>
      </c>
      <c r="E111">
        <v>0.01</v>
      </c>
      <c r="F111">
        <v>0.05</v>
      </c>
    </row>
    <row r="112" spans="1:6" x14ac:dyDescent="0.35">
      <c r="A112">
        <v>4</v>
      </c>
      <c r="B112">
        <v>21</v>
      </c>
      <c r="D112">
        <v>0.01</v>
      </c>
      <c r="E112">
        <v>0.05</v>
      </c>
      <c r="F112">
        <v>0.1</v>
      </c>
    </row>
    <row r="113" spans="1:6" x14ac:dyDescent="0.35">
      <c r="A113">
        <v>4</v>
      </c>
      <c r="B113">
        <v>22</v>
      </c>
      <c r="D113">
        <v>1E-3</v>
      </c>
      <c r="E113">
        <v>0.01</v>
      </c>
      <c r="F113">
        <v>0.05</v>
      </c>
    </row>
    <row r="114" spans="1:6" x14ac:dyDescent="0.35">
      <c r="A114">
        <v>4</v>
      </c>
      <c r="B114">
        <v>23</v>
      </c>
      <c r="D114">
        <v>1E-3</v>
      </c>
      <c r="E114">
        <v>0.01</v>
      </c>
      <c r="F114">
        <v>0.05</v>
      </c>
    </row>
    <row r="115" spans="1:6" x14ac:dyDescent="0.35">
      <c r="A115">
        <v>4</v>
      </c>
      <c r="B115">
        <v>24</v>
      </c>
      <c r="D115">
        <v>0.05</v>
      </c>
      <c r="E115">
        <v>0.15</v>
      </c>
      <c r="F115">
        <v>0.25</v>
      </c>
    </row>
    <row r="116" spans="1:6" x14ac:dyDescent="0.35">
      <c r="A116">
        <v>4</v>
      </c>
      <c r="B116">
        <v>25</v>
      </c>
      <c r="D116">
        <v>0.05</v>
      </c>
      <c r="E116">
        <v>0.15</v>
      </c>
      <c r="F116">
        <v>0.25</v>
      </c>
    </row>
    <row r="117" spans="1:6" x14ac:dyDescent="0.35">
      <c r="A117">
        <v>4</v>
      </c>
      <c r="B117">
        <v>26</v>
      </c>
      <c r="D117">
        <v>0.05</v>
      </c>
      <c r="E117">
        <v>0.1</v>
      </c>
      <c r="F117">
        <v>0.25</v>
      </c>
    </row>
    <row r="118" spans="1:6" x14ac:dyDescent="0.35">
      <c r="A118">
        <v>4</v>
      </c>
      <c r="B118">
        <v>27</v>
      </c>
      <c r="D118">
        <v>1E-4</v>
      </c>
      <c r="E118">
        <v>1.4999999999999999E-2</v>
      </c>
      <c r="F118">
        <v>0.5</v>
      </c>
    </row>
    <row r="119" spans="1:6" x14ac:dyDescent="0.35">
      <c r="A119">
        <v>4</v>
      </c>
      <c r="B119">
        <v>28</v>
      </c>
      <c r="D119">
        <v>1E-3</v>
      </c>
      <c r="E119">
        <v>0.15</v>
      </c>
      <c r="F119">
        <v>0.25</v>
      </c>
    </row>
    <row r="120" spans="1:6" x14ac:dyDescent="0.35">
      <c r="A120">
        <v>4</v>
      </c>
      <c r="B120">
        <v>29</v>
      </c>
      <c r="D120">
        <v>0.05</v>
      </c>
      <c r="E120">
        <v>0.15</v>
      </c>
      <c r="F120">
        <v>0.25</v>
      </c>
    </row>
    <row r="121" spans="1:6" x14ac:dyDescent="0.35">
      <c r="A121">
        <v>4</v>
      </c>
      <c r="B121">
        <v>30</v>
      </c>
      <c r="D121">
        <v>4.9999999999999998E-7</v>
      </c>
      <c r="E121">
        <v>9.9999999999999995E-7</v>
      </c>
      <c r="F121">
        <v>1.0000000000000001E-5</v>
      </c>
    </row>
    <row r="122" spans="1:6" x14ac:dyDescent="0.35">
      <c r="A122">
        <v>5</v>
      </c>
      <c r="B122">
        <v>1</v>
      </c>
      <c r="D122">
        <v>1.0000000000000001E-5</v>
      </c>
      <c r="E122">
        <v>1E-3</v>
      </c>
      <c r="F122">
        <v>0.1</v>
      </c>
    </row>
    <row r="123" spans="1:6" x14ac:dyDescent="0.35">
      <c r="A123">
        <v>5</v>
      </c>
      <c r="B123">
        <v>2</v>
      </c>
      <c r="D123">
        <v>1E-4</v>
      </c>
      <c r="E123">
        <v>0.01</v>
      </c>
      <c r="F123">
        <v>0.1</v>
      </c>
    </row>
    <row r="124" spans="1:6" x14ac:dyDescent="0.35">
      <c r="A124">
        <v>5</v>
      </c>
      <c r="B124">
        <v>3</v>
      </c>
      <c r="D124">
        <v>9.9999999999999995E-8</v>
      </c>
      <c r="E124">
        <v>1E-4</v>
      </c>
      <c r="F124">
        <v>1E-3</v>
      </c>
    </row>
    <row r="125" spans="1:6" x14ac:dyDescent="0.35">
      <c r="A125">
        <v>5</v>
      </c>
      <c r="B125">
        <v>4</v>
      </c>
      <c r="D125">
        <v>1.0000000000000001E-5</v>
      </c>
      <c r="E125">
        <v>1E-3</v>
      </c>
      <c r="F125">
        <v>0.1</v>
      </c>
    </row>
    <row r="126" spans="1:6" x14ac:dyDescent="0.35">
      <c r="A126">
        <v>5</v>
      </c>
      <c r="B126">
        <v>5</v>
      </c>
      <c r="D126">
        <v>1E-4</v>
      </c>
      <c r="E126">
        <v>1E-3</v>
      </c>
      <c r="F126">
        <v>0.1</v>
      </c>
    </row>
    <row r="127" spans="1:6" x14ac:dyDescent="0.35">
      <c r="A127">
        <v>5</v>
      </c>
      <c r="B127">
        <v>6</v>
      </c>
      <c r="D127">
        <v>1.0000000000000001E-5</v>
      </c>
      <c r="E127">
        <v>1E-3</v>
      </c>
      <c r="F127">
        <v>10</v>
      </c>
    </row>
    <row r="128" spans="1:6" x14ac:dyDescent="0.35">
      <c r="A128">
        <v>5</v>
      </c>
      <c r="B128">
        <v>7</v>
      </c>
      <c r="D128">
        <v>9.9999999999999995E-8</v>
      </c>
      <c r="E128">
        <v>1.0000000000000001E-5</v>
      </c>
      <c r="F128">
        <v>1E-4</v>
      </c>
    </row>
    <row r="129" spans="1:6" x14ac:dyDescent="0.35">
      <c r="A129">
        <v>5</v>
      </c>
      <c r="B129">
        <v>8</v>
      </c>
      <c r="D129">
        <v>1.0000000000000001E-9</v>
      </c>
      <c r="E129">
        <v>1E-8</v>
      </c>
      <c r="F129">
        <v>9.9999999999999995E-7</v>
      </c>
    </row>
    <row r="130" spans="1:6" x14ac:dyDescent="0.35">
      <c r="A130">
        <v>5</v>
      </c>
      <c r="B130">
        <v>9</v>
      </c>
      <c r="D130">
        <v>9.9999999999999995E-8</v>
      </c>
      <c r="E130">
        <v>1.0000000000000001E-5</v>
      </c>
      <c r="F130">
        <v>1E-3</v>
      </c>
    </row>
    <row r="131" spans="1:6" x14ac:dyDescent="0.35">
      <c r="A131">
        <v>5</v>
      </c>
      <c r="B131">
        <v>10</v>
      </c>
      <c r="D131">
        <v>1.0000000000000001E-9</v>
      </c>
      <c r="E131">
        <v>9.9999999999999995E-7</v>
      </c>
      <c r="F131">
        <v>5.0000000000000001E-4</v>
      </c>
    </row>
    <row r="132" spans="1:6" x14ac:dyDescent="0.35">
      <c r="A132">
        <v>5</v>
      </c>
      <c r="B132">
        <v>11</v>
      </c>
      <c r="D132">
        <v>9.9999999999999995E-8</v>
      </c>
      <c r="E132">
        <v>1.0000000000000001E-5</v>
      </c>
      <c r="F132">
        <v>1E-4</v>
      </c>
    </row>
    <row r="133" spans="1:6" x14ac:dyDescent="0.35">
      <c r="A133">
        <v>5</v>
      </c>
      <c r="B133">
        <v>12</v>
      </c>
      <c r="D133">
        <v>1.0000000000000001E-9</v>
      </c>
      <c r="E133">
        <v>1E-8</v>
      </c>
      <c r="F133">
        <v>1.0000000000000001E-5</v>
      </c>
    </row>
    <row r="134" spans="1:6" x14ac:dyDescent="0.35">
      <c r="A134">
        <v>5</v>
      </c>
      <c r="B134">
        <v>13</v>
      </c>
      <c r="D134">
        <v>1.0000000000000001E-9</v>
      </c>
      <c r="E134">
        <v>4.9999999999999998E-7</v>
      </c>
      <c r="F134">
        <v>9.9999999999999995E-7</v>
      </c>
    </row>
    <row r="135" spans="1:6" x14ac:dyDescent="0.35">
      <c r="A135">
        <v>5</v>
      </c>
      <c r="B135">
        <v>14</v>
      </c>
      <c r="D135">
        <v>9.9999999999999995E-7</v>
      </c>
      <c r="E135">
        <v>1.0000000000000001E-5</v>
      </c>
      <c r="F135">
        <v>0.01</v>
      </c>
    </row>
    <row r="136" spans="1:6" x14ac:dyDescent="0.35">
      <c r="A136">
        <v>5</v>
      </c>
      <c r="B136">
        <v>15</v>
      </c>
      <c r="D136">
        <v>9.9999999999999995E-7</v>
      </c>
      <c r="E136">
        <v>1E-4</v>
      </c>
      <c r="F136">
        <v>1E-3</v>
      </c>
    </row>
    <row r="137" spans="1:6" x14ac:dyDescent="0.35">
      <c r="A137">
        <v>5</v>
      </c>
      <c r="B137">
        <v>16</v>
      </c>
      <c r="D137">
        <v>1.0000000000000001E-9</v>
      </c>
      <c r="E137">
        <v>9.9999999999999995E-8</v>
      </c>
      <c r="F137">
        <v>1.0000000000000001E-5</v>
      </c>
    </row>
    <row r="138" spans="1:6" x14ac:dyDescent="0.35">
      <c r="A138">
        <v>5</v>
      </c>
      <c r="B138">
        <v>17</v>
      </c>
      <c r="D138">
        <v>9.9999999999999995E-8</v>
      </c>
      <c r="E138">
        <v>1E-4</v>
      </c>
      <c r="F138">
        <v>0.01</v>
      </c>
    </row>
    <row r="139" spans="1:6" x14ac:dyDescent="0.35">
      <c r="A139">
        <v>5</v>
      </c>
      <c r="B139">
        <v>18</v>
      </c>
      <c r="D139">
        <v>1E-8</v>
      </c>
      <c r="E139">
        <v>1E-4</v>
      </c>
      <c r="F139">
        <v>0.01</v>
      </c>
    </row>
    <row r="140" spans="1:6" x14ac:dyDescent="0.35">
      <c r="A140">
        <v>5</v>
      </c>
      <c r="B140">
        <v>19</v>
      </c>
      <c r="D140">
        <v>1E-8</v>
      </c>
      <c r="E140">
        <v>9.9999999999999995E-7</v>
      </c>
      <c r="F140">
        <v>1E-4</v>
      </c>
    </row>
    <row r="141" spans="1:6" x14ac:dyDescent="0.35">
      <c r="A141">
        <v>5</v>
      </c>
      <c r="B141">
        <v>20</v>
      </c>
      <c r="D141">
        <v>1.0000000000000001E-9</v>
      </c>
      <c r="E141">
        <v>9.9999999999999995E-8</v>
      </c>
      <c r="F141">
        <v>0.01</v>
      </c>
    </row>
    <row r="142" spans="1:6" x14ac:dyDescent="0.35">
      <c r="A142">
        <v>5</v>
      </c>
      <c r="B142">
        <v>21</v>
      </c>
      <c r="D142">
        <v>1.0000000000000001E-9</v>
      </c>
      <c r="E142">
        <v>9.9999999999999995E-8</v>
      </c>
      <c r="F142">
        <v>9.9999999999999995E-7</v>
      </c>
    </row>
    <row r="143" spans="1:6" x14ac:dyDescent="0.35">
      <c r="A143">
        <v>5</v>
      </c>
      <c r="B143">
        <v>22</v>
      </c>
      <c r="D143">
        <v>1E-8</v>
      </c>
      <c r="E143">
        <v>9.9999999999999995E-7</v>
      </c>
      <c r="F143">
        <v>1E-4</v>
      </c>
    </row>
    <row r="144" spans="1:6" x14ac:dyDescent="0.35">
      <c r="A144">
        <v>5</v>
      </c>
      <c r="B144">
        <v>23</v>
      </c>
      <c r="D144">
        <v>9.9999999999999995E-7</v>
      </c>
      <c r="E144">
        <v>1.0000000000000001E-5</v>
      </c>
      <c r="F144">
        <v>1E-3</v>
      </c>
    </row>
    <row r="145" spans="1:6" x14ac:dyDescent="0.35">
      <c r="A145">
        <v>5</v>
      </c>
      <c r="B145">
        <v>24</v>
      </c>
      <c r="D145">
        <v>9.9999999999999995E-7</v>
      </c>
      <c r="E145">
        <v>1.0000000000000001E-5</v>
      </c>
      <c r="F145">
        <v>1E-3</v>
      </c>
    </row>
    <row r="146" spans="1:6" x14ac:dyDescent="0.35">
      <c r="A146">
        <v>5</v>
      </c>
      <c r="B146">
        <v>25</v>
      </c>
      <c r="D146">
        <v>1E-8</v>
      </c>
      <c r="E146">
        <v>9.9999999999999995E-7</v>
      </c>
      <c r="F146">
        <v>0.01</v>
      </c>
    </row>
    <row r="147" spans="1:6" x14ac:dyDescent="0.35">
      <c r="A147">
        <v>5</v>
      </c>
      <c r="B147">
        <v>26</v>
      </c>
      <c r="D147">
        <v>9.9999999999999995E-7</v>
      </c>
      <c r="E147">
        <v>1.0000000000000001E-5</v>
      </c>
      <c r="F147">
        <v>1E-4</v>
      </c>
    </row>
    <row r="148" spans="1:6" x14ac:dyDescent="0.35">
      <c r="A148">
        <v>5</v>
      </c>
      <c r="B148">
        <v>27</v>
      </c>
      <c r="D148">
        <v>9.9999999999999995E-7</v>
      </c>
      <c r="E148">
        <v>1E-4</v>
      </c>
      <c r="F148">
        <v>1E-3</v>
      </c>
    </row>
    <row r="149" spans="1:6" x14ac:dyDescent="0.35">
      <c r="A149">
        <v>5</v>
      </c>
      <c r="B149">
        <v>28</v>
      </c>
      <c r="D149">
        <v>9.9999999999999995E-8</v>
      </c>
      <c r="E149">
        <v>5.0000000000000002E-5</v>
      </c>
      <c r="F149">
        <v>1E-3</v>
      </c>
    </row>
    <row r="150" spans="1:6" x14ac:dyDescent="0.35">
      <c r="A150">
        <v>5</v>
      </c>
      <c r="B150">
        <v>29</v>
      </c>
      <c r="D150">
        <v>9.9999999999999995E-7</v>
      </c>
      <c r="E150">
        <v>5.0000000000000002E-5</v>
      </c>
      <c r="F150">
        <v>1E-4</v>
      </c>
    </row>
    <row r="151" spans="1:6" x14ac:dyDescent="0.35">
      <c r="A151">
        <v>5</v>
      </c>
      <c r="B151">
        <v>30</v>
      </c>
      <c r="D151">
        <v>1.0000000000000001E-9</v>
      </c>
      <c r="E151">
        <v>9.9999999999999995E-8</v>
      </c>
      <c r="F151">
        <v>9.9999999999999995E-7</v>
      </c>
    </row>
    <row r="152" spans="1:6" x14ac:dyDescent="0.35">
      <c r="A152">
        <v>6</v>
      </c>
      <c r="B152">
        <v>1</v>
      </c>
      <c r="D152">
        <v>1E-3</v>
      </c>
      <c r="E152">
        <v>0.05</v>
      </c>
      <c r="F152">
        <v>0.1</v>
      </c>
    </row>
    <row r="153" spans="1:6" x14ac:dyDescent="0.35">
      <c r="A153">
        <v>6</v>
      </c>
      <c r="B153">
        <v>2</v>
      </c>
      <c r="D153">
        <v>1E-3</v>
      </c>
      <c r="E153">
        <v>0.01</v>
      </c>
      <c r="F153">
        <v>0.1</v>
      </c>
    </row>
    <row r="154" spans="1:6" x14ac:dyDescent="0.35">
      <c r="A154">
        <v>6</v>
      </c>
      <c r="B154">
        <v>3</v>
      </c>
      <c r="D154">
        <v>9.9999999999999995E-7</v>
      </c>
      <c r="E154">
        <v>1E-3</v>
      </c>
      <c r="F154">
        <v>0.1</v>
      </c>
    </row>
    <row r="155" spans="1:6" x14ac:dyDescent="0.35">
      <c r="A155">
        <v>6</v>
      </c>
      <c r="B155">
        <v>4</v>
      </c>
      <c r="D155">
        <v>1E-4</v>
      </c>
      <c r="E155">
        <v>0.05</v>
      </c>
      <c r="F155">
        <v>0.1</v>
      </c>
    </row>
    <row r="156" spans="1:6" x14ac:dyDescent="0.35">
      <c r="A156">
        <v>6</v>
      </c>
      <c r="B156">
        <v>5</v>
      </c>
      <c r="D156">
        <v>1E-3</v>
      </c>
      <c r="E156">
        <v>0.05</v>
      </c>
      <c r="F156">
        <v>0.1</v>
      </c>
    </row>
    <row r="157" spans="1:6" x14ac:dyDescent="0.35">
      <c r="A157">
        <v>6</v>
      </c>
      <c r="B157">
        <v>6</v>
      </c>
      <c r="D157">
        <v>1E-3</v>
      </c>
      <c r="E157">
        <v>0.05</v>
      </c>
      <c r="F157">
        <v>0.1</v>
      </c>
    </row>
    <row r="158" spans="1:6" x14ac:dyDescent="0.35">
      <c r="A158">
        <v>6</v>
      </c>
      <c r="B158">
        <v>7</v>
      </c>
      <c r="D158">
        <v>5.0000000000000001E-3</v>
      </c>
      <c r="E158">
        <v>0.01</v>
      </c>
      <c r="F158">
        <v>0.5</v>
      </c>
    </row>
    <row r="159" spans="1:6" x14ac:dyDescent="0.35">
      <c r="A159">
        <v>6</v>
      </c>
      <c r="B159">
        <v>8</v>
      </c>
      <c r="D159">
        <v>1.0000000000000001E-5</v>
      </c>
      <c r="E159">
        <v>1E-4</v>
      </c>
      <c r="F159">
        <v>5.0000000000000001E-3</v>
      </c>
    </row>
    <row r="160" spans="1:6" x14ac:dyDescent="0.35">
      <c r="A160">
        <v>6</v>
      </c>
      <c r="B160">
        <v>9</v>
      </c>
      <c r="D160">
        <v>9.9999999999999995E-8</v>
      </c>
      <c r="E160">
        <v>1.0000000000000001E-5</v>
      </c>
      <c r="F160">
        <v>1E-3</v>
      </c>
    </row>
    <row r="161" spans="1:6" x14ac:dyDescent="0.35">
      <c r="A161">
        <v>6</v>
      </c>
      <c r="B161">
        <v>10</v>
      </c>
      <c r="D161">
        <v>5.0000000000000002E-5</v>
      </c>
      <c r="E161">
        <v>5.0000000000000001E-4</v>
      </c>
      <c r="F161">
        <v>5.0000000000000001E-3</v>
      </c>
    </row>
    <row r="162" spans="1:6" x14ac:dyDescent="0.35">
      <c r="A162">
        <v>6</v>
      </c>
      <c r="B162">
        <v>11</v>
      </c>
      <c r="D162">
        <v>9.9999999999999995E-8</v>
      </c>
      <c r="E162">
        <v>9.9999999999999995E-7</v>
      </c>
      <c r="F162">
        <v>1E-4</v>
      </c>
    </row>
    <row r="163" spans="1:6" x14ac:dyDescent="0.35">
      <c r="A163">
        <v>6</v>
      </c>
      <c r="B163">
        <v>12</v>
      </c>
      <c r="D163">
        <v>1.0000000000000001E-5</v>
      </c>
      <c r="E163">
        <v>5.0000000000000001E-4</v>
      </c>
      <c r="F163">
        <v>5.0000000000000001E-3</v>
      </c>
    </row>
    <row r="164" spans="1:6" x14ac:dyDescent="0.35">
      <c r="A164">
        <v>6</v>
      </c>
      <c r="B164">
        <v>13</v>
      </c>
      <c r="D164">
        <v>9.9999999999999995E-8</v>
      </c>
      <c r="E164">
        <v>1.0000000000000001E-5</v>
      </c>
      <c r="F164">
        <v>1E-3</v>
      </c>
    </row>
    <row r="165" spans="1:6" x14ac:dyDescent="0.35">
      <c r="A165">
        <v>6</v>
      </c>
      <c r="B165">
        <v>14</v>
      </c>
      <c r="D165">
        <v>9.9999999999999995E-8</v>
      </c>
      <c r="E165">
        <v>5.0000000000000004E-6</v>
      </c>
      <c r="F165">
        <v>1E-4</v>
      </c>
    </row>
    <row r="166" spans="1:6" x14ac:dyDescent="0.35">
      <c r="A166">
        <v>6</v>
      </c>
      <c r="B166">
        <v>15</v>
      </c>
      <c r="D166">
        <v>1.0000000000000001E-5</v>
      </c>
      <c r="E166">
        <v>1E-4</v>
      </c>
      <c r="F166">
        <v>0.05</v>
      </c>
    </row>
    <row r="167" spans="1:6" x14ac:dyDescent="0.35">
      <c r="A167">
        <v>6</v>
      </c>
      <c r="B167">
        <v>16</v>
      </c>
      <c r="D167">
        <v>1.0000000000000001E-9</v>
      </c>
      <c r="E167">
        <v>9.9999999999999995E-7</v>
      </c>
      <c r="F167">
        <v>5.0000000000000002E-5</v>
      </c>
    </row>
    <row r="168" spans="1:6" x14ac:dyDescent="0.35">
      <c r="A168">
        <v>6</v>
      </c>
      <c r="B168">
        <v>17</v>
      </c>
      <c r="D168">
        <v>1E-8</v>
      </c>
      <c r="E168">
        <v>9.9999999999999995E-7</v>
      </c>
      <c r="F168">
        <v>1E-4</v>
      </c>
    </row>
    <row r="169" spans="1:6" x14ac:dyDescent="0.35">
      <c r="A169">
        <v>6</v>
      </c>
      <c r="B169">
        <v>18</v>
      </c>
      <c r="D169">
        <v>1E-8</v>
      </c>
      <c r="E169">
        <v>4.9999999999999998E-7</v>
      </c>
      <c r="F169">
        <v>5.0000000000000001E-4</v>
      </c>
    </row>
    <row r="170" spans="1:6" x14ac:dyDescent="0.35">
      <c r="A170">
        <v>6</v>
      </c>
      <c r="B170">
        <v>19</v>
      </c>
      <c r="D170">
        <v>9.9999999999999995E-8</v>
      </c>
      <c r="E170">
        <v>1.0000000000000001E-5</v>
      </c>
      <c r="F170">
        <v>5.0000000000000001E-3</v>
      </c>
    </row>
    <row r="171" spans="1:6" x14ac:dyDescent="0.35">
      <c r="A171">
        <v>6</v>
      </c>
      <c r="B171">
        <v>20</v>
      </c>
      <c r="D171">
        <v>9.9999999999999995E-7</v>
      </c>
      <c r="E171">
        <v>1E-4</v>
      </c>
      <c r="F171">
        <v>0.05</v>
      </c>
    </row>
    <row r="172" spans="1:6" x14ac:dyDescent="0.35">
      <c r="A172">
        <v>6</v>
      </c>
      <c r="B172">
        <v>21</v>
      </c>
      <c r="D172">
        <v>1E-8</v>
      </c>
      <c r="E172">
        <v>1.0000000000000001E-5</v>
      </c>
      <c r="F172">
        <v>1E-4</v>
      </c>
    </row>
    <row r="173" spans="1:6" x14ac:dyDescent="0.35">
      <c r="A173">
        <v>6</v>
      </c>
      <c r="B173">
        <v>22</v>
      </c>
      <c r="D173">
        <v>1E-8</v>
      </c>
      <c r="E173">
        <v>9.9999999999999995E-7</v>
      </c>
      <c r="F173">
        <v>1E-4</v>
      </c>
    </row>
    <row r="174" spans="1:6" x14ac:dyDescent="0.35">
      <c r="A174">
        <v>6</v>
      </c>
      <c r="B174">
        <v>23</v>
      </c>
      <c r="D174">
        <v>9.9999999999999995E-7</v>
      </c>
      <c r="E174">
        <v>1.0000000000000001E-5</v>
      </c>
      <c r="F174">
        <v>1E-4</v>
      </c>
    </row>
    <row r="175" spans="1:6" x14ac:dyDescent="0.35">
      <c r="A175">
        <v>6</v>
      </c>
      <c r="B175">
        <v>24</v>
      </c>
      <c r="D175">
        <v>1.0000000000000001E-5</v>
      </c>
      <c r="E175">
        <v>5.0000000000000001E-4</v>
      </c>
      <c r="F175">
        <v>0.05</v>
      </c>
    </row>
    <row r="176" spans="1:6" x14ac:dyDescent="0.35">
      <c r="A176">
        <v>6</v>
      </c>
      <c r="B176">
        <v>25</v>
      </c>
      <c r="D176">
        <v>1E-3</v>
      </c>
      <c r="E176">
        <v>0.01</v>
      </c>
      <c r="F176">
        <v>0.5</v>
      </c>
    </row>
    <row r="177" spans="1:6" x14ac:dyDescent="0.35">
      <c r="A177">
        <v>6</v>
      </c>
      <c r="B177">
        <v>26</v>
      </c>
      <c r="D177">
        <v>1E-4</v>
      </c>
      <c r="E177">
        <v>0.01</v>
      </c>
      <c r="F177">
        <v>0.1</v>
      </c>
    </row>
    <row r="178" spans="1:6" x14ac:dyDescent="0.35">
      <c r="A178">
        <v>6</v>
      </c>
      <c r="B178">
        <v>27</v>
      </c>
      <c r="D178">
        <v>1.0000000000000001E-5</v>
      </c>
      <c r="E178">
        <v>1E-3</v>
      </c>
      <c r="F178">
        <v>0.5</v>
      </c>
    </row>
    <row r="179" spans="1:6" x14ac:dyDescent="0.35">
      <c r="A179">
        <v>6</v>
      </c>
      <c r="B179">
        <v>28</v>
      </c>
      <c r="D179">
        <v>1.0000000000000001E-5</v>
      </c>
      <c r="E179">
        <v>1E-3</v>
      </c>
      <c r="F179">
        <v>0.5</v>
      </c>
    </row>
    <row r="180" spans="1:6" x14ac:dyDescent="0.35">
      <c r="A180">
        <v>6</v>
      </c>
      <c r="B180">
        <v>29</v>
      </c>
      <c r="D180">
        <v>1.0000000000000001E-5</v>
      </c>
      <c r="E180">
        <v>5.0000000000000001E-3</v>
      </c>
      <c r="F180">
        <v>0.5</v>
      </c>
    </row>
    <row r="181" spans="1:6" x14ac:dyDescent="0.35">
      <c r="A181">
        <v>6</v>
      </c>
      <c r="B181">
        <v>30</v>
      </c>
      <c r="D181">
        <v>1.0000000000000001E-5</v>
      </c>
      <c r="E181">
        <v>5.0000000000000001E-3</v>
      </c>
      <c r="F181">
        <v>0.1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6B054-C923-453B-8A02-BB1596FFEFED}">
  <sheetPr codeName="Sheet185"/>
  <dimension ref="A1:J757"/>
  <sheetViews>
    <sheetView workbookViewId="0">
      <selection activeCell="C1" sqref="C1"/>
    </sheetView>
  </sheetViews>
  <sheetFormatPr defaultRowHeight="14.5" x14ac:dyDescent="0.35"/>
  <sheetData>
    <row r="1" spans="1:10" x14ac:dyDescent="0.35">
      <c r="A1" t="s">
        <v>1058</v>
      </c>
    </row>
    <row r="2" spans="1:10" x14ac:dyDescent="0.35">
      <c r="A2">
        <v>1</v>
      </c>
      <c r="B2">
        <v>1</v>
      </c>
      <c r="C2" t="s">
        <v>318</v>
      </c>
      <c r="D2" s="4">
        <v>1978</v>
      </c>
      <c r="E2" s="4">
        <v>1979</v>
      </c>
      <c r="F2" s="4">
        <v>1980</v>
      </c>
      <c r="I2" s="4">
        <v>1979</v>
      </c>
      <c r="J2" t="s">
        <v>740</v>
      </c>
    </row>
    <row r="3" spans="1:10" x14ac:dyDescent="0.35">
      <c r="A3">
        <v>1</v>
      </c>
      <c r="B3">
        <v>2</v>
      </c>
      <c r="C3" t="s">
        <v>319</v>
      </c>
      <c r="D3" s="4">
        <v>8500</v>
      </c>
      <c r="E3" s="4">
        <v>9000</v>
      </c>
      <c r="F3" s="4">
        <v>11000</v>
      </c>
      <c r="I3" s="4">
        <v>9365</v>
      </c>
      <c r="J3" t="s">
        <v>740</v>
      </c>
    </row>
    <row r="4" spans="1:10" x14ac:dyDescent="0.35">
      <c r="A4">
        <v>1</v>
      </c>
      <c r="B4">
        <v>3</v>
      </c>
      <c r="C4" t="s">
        <v>320</v>
      </c>
      <c r="D4" s="4">
        <v>2990</v>
      </c>
      <c r="E4" s="4">
        <v>3000</v>
      </c>
      <c r="F4" s="4">
        <v>3100</v>
      </c>
      <c r="I4" s="4">
        <v>3070</v>
      </c>
      <c r="J4" t="s">
        <v>740</v>
      </c>
    </row>
    <row r="5" spans="1:10" x14ac:dyDescent="0.35">
      <c r="A5">
        <v>1</v>
      </c>
      <c r="B5">
        <v>4</v>
      </c>
      <c r="C5" t="s">
        <v>321</v>
      </c>
      <c r="D5" s="4">
        <v>80</v>
      </c>
      <c r="E5" s="4">
        <v>95</v>
      </c>
      <c r="F5" s="4">
        <v>100</v>
      </c>
      <c r="I5" s="4">
        <v>28</v>
      </c>
      <c r="J5" t="s">
        <v>740</v>
      </c>
    </row>
    <row r="6" spans="1:10" x14ac:dyDescent="0.35">
      <c r="A6">
        <v>1</v>
      </c>
      <c r="B6">
        <v>5</v>
      </c>
      <c r="C6" t="s">
        <v>322</v>
      </c>
      <c r="D6" s="4">
        <v>1</v>
      </c>
      <c r="E6" s="4">
        <v>2</v>
      </c>
      <c r="F6" s="4">
        <v>3</v>
      </c>
      <c r="I6" s="4">
        <v>2</v>
      </c>
      <c r="J6" t="s">
        <v>740</v>
      </c>
    </row>
    <row r="7" spans="1:10" x14ac:dyDescent="0.35">
      <c r="A7">
        <v>1</v>
      </c>
      <c r="B7">
        <v>6</v>
      </c>
      <c r="C7" t="s">
        <v>323</v>
      </c>
      <c r="D7" s="4">
        <v>5</v>
      </c>
      <c r="E7" s="4">
        <v>6</v>
      </c>
      <c r="F7" s="4">
        <v>7</v>
      </c>
      <c r="I7" s="4">
        <v>12</v>
      </c>
      <c r="J7" t="s">
        <v>740</v>
      </c>
    </row>
    <row r="8" spans="1:10" x14ac:dyDescent="0.35">
      <c r="A8">
        <v>1</v>
      </c>
      <c r="B8">
        <v>7</v>
      </c>
      <c r="C8" t="s">
        <v>324</v>
      </c>
      <c r="D8" s="4">
        <v>3</v>
      </c>
      <c r="E8" s="4">
        <v>4</v>
      </c>
      <c r="F8" s="4">
        <v>5</v>
      </c>
      <c r="I8" s="4">
        <v>4</v>
      </c>
      <c r="J8" t="s">
        <v>740</v>
      </c>
    </row>
    <row r="9" spans="1:10" x14ac:dyDescent="0.35">
      <c r="A9">
        <v>1</v>
      </c>
      <c r="B9">
        <v>8</v>
      </c>
      <c r="C9" t="s">
        <v>325</v>
      </c>
      <c r="D9" s="4">
        <v>500000</v>
      </c>
      <c r="E9" s="4">
        <v>5000000</v>
      </c>
      <c r="F9" s="4">
        <v>10000000</v>
      </c>
      <c r="I9" s="4">
        <v>18000000</v>
      </c>
      <c r="J9" t="s">
        <v>419</v>
      </c>
    </row>
    <row r="10" spans="1:10" x14ac:dyDescent="0.35">
      <c r="A10">
        <v>1</v>
      </c>
      <c r="B10">
        <v>9</v>
      </c>
      <c r="C10" t="s">
        <v>326</v>
      </c>
      <c r="D10" s="4">
        <v>480</v>
      </c>
      <c r="E10" s="4">
        <v>600</v>
      </c>
      <c r="F10" s="4">
        <v>960</v>
      </c>
      <c r="I10" s="4">
        <v>607</v>
      </c>
      <c r="J10" t="s">
        <v>740</v>
      </c>
    </row>
    <row r="11" spans="1:10" x14ac:dyDescent="0.35">
      <c r="A11">
        <v>1</v>
      </c>
      <c r="B11">
        <v>10</v>
      </c>
      <c r="C11" t="s">
        <v>327</v>
      </c>
      <c r="D11" s="4">
        <v>80</v>
      </c>
      <c r="E11" s="4">
        <v>100</v>
      </c>
      <c r="F11" s="4">
        <v>150</v>
      </c>
      <c r="I11" s="4">
        <v>200</v>
      </c>
      <c r="J11" t="s">
        <v>740</v>
      </c>
    </row>
    <row r="12" spans="1:10" x14ac:dyDescent="0.35">
      <c r="A12">
        <v>1</v>
      </c>
      <c r="B12">
        <v>11</v>
      </c>
      <c r="C12" t="s">
        <v>1046</v>
      </c>
      <c r="D12" s="4">
        <v>40</v>
      </c>
      <c r="E12" s="4">
        <v>50</v>
      </c>
      <c r="F12" s="4">
        <v>80</v>
      </c>
      <c r="I12" s="4">
        <v>60</v>
      </c>
      <c r="J12" t="s">
        <v>740</v>
      </c>
    </row>
    <row r="13" spans="1:10" x14ac:dyDescent="0.35">
      <c r="A13">
        <v>1</v>
      </c>
      <c r="B13">
        <v>12</v>
      </c>
      <c r="C13" t="s">
        <v>328</v>
      </c>
      <c r="D13" s="4">
        <v>1</v>
      </c>
      <c r="E13" s="4">
        <v>2</v>
      </c>
      <c r="F13" s="4">
        <v>2.5</v>
      </c>
      <c r="I13" s="4">
        <v>11.5</v>
      </c>
      <c r="J13" t="s">
        <v>740</v>
      </c>
    </row>
    <row r="14" spans="1:10" x14ac:dyDescent="0.35">
      <c r="A14">
        <v>1</v>
      </c>
      <c r="B14">
        <v>13</v>
      </c>
      <c r="C14" t="s">
        <v>329</v>
      </c>
      <c r="D14" s="4">
        <v>7500</v>
      </c>
      <c r="E14" s="4">
        <v>8500</v>
      </c>
      <c r="F14" s="4">
        <v>8700</v>
      </c>
      <c r="I14" s="4">
        <v>9200</v>
      </c>
      <c r="J14" t="s">
        <v>740</v>
      </c>
    </row>
    <row r="15" spans="1:10" x14ac:dyDescent="0.35">
      <c r="A15">
        <v>1</v>
      </c>
      <c r="B15">
        <v>14</v>
      </c>
      <c r="C15" t="s">
        <v>1059</v>
      </c>
      <c r="D15" s="4">
        <v>2</v>
      </c>
      <c r="E15" s="4">
        <v>3</v>
      </c>
      <c r="F15" s="4">
        <v>4</v>
      </c>
      <c r="I15" s="4">
        <v>15.8</v>
      </c>
      <c r="J15" t="s">
        <v>740</v>
      </c>
    </row>
    <row r="16" spans="1:10" x14ac:dyDescent="0.35">
      <c r="A16">
        <v>1</v>
      </c>
      <c r="B16">
        <v>15</v>
      </c>
      <c r="C16" t="s">
        <v>1060</v>
      </c>
      <c r="D16" s="4">
        <v>1940</v>
      </c>
      <c r="E16" s="4">
        <v>1950</v>
      </c>
      <c r="F16" s="4">
        <v>1970</v>
      </c>
      <c r="I16" s="4">
        <v>1840</v>
      </c>
      <c r="J16" t="s">
        <v>740</v>
      </c>
    </row>
    <row r="17" spans="1:9" x14ac:dyDescent="0.35">
      <c r="A17">
        <v>1</v>
      </c>
      <c r="B17">
        <v>16</v>
      </c>
      <c r="C17" t="s">
        <v>1061</v>
      </c>
      <c r="D17" s="4">
        <v>20</v>
      </c>
      <c r="E17" s="4">
        <v>50</v>
      </c>
      <c r="F17" s="4">
        <v>60</v>
      </c>
      <c r="I17" s="4"/>
    </row>
    <row r="18" spans="1:9" x14ac:dyDescent="0.35">
      <c r="A18">
        <v>1</v>
      </c>
      <c r="B18">
        <v>17</v>
      </c>
      <c r="C18" t="s">
        <v>1062</v>
      </c>
      <c r="D18" s="4">
        <v>60</v>
      </c>
      <c r="E18" s="4">
        <v>80</v>
      </c>
      <c r="F18" s="4">
        <v>85</v>
      </c>
      <c r="I18" s="4"/>
    </row>
    <row r="19" spans="1:9" x14ac:dyDescent="0.35">
      <c r="A19">
        <v>1</v>
      </c>
      <c r="B19">
        <v>18</v>
      </c>
      <c r="C19" t="s">
        <v>1063</v>
      </c>
      <c r="D19" s="4">
        <v>5</v>
      </c>
      <c r="E19" s="4">
        <v>30</v>
      </c>
      <c r="F19" s="4">
        <v>50</v>
      </c>
      <c r="I19" s="4"/>
    </row>
    <row r="20" spans="1:9" x14ac:dyDescent="0.35">
      <c r="A20">
        <v>1</v>
      </c>
      <c r="B20">
        <v>19</v>
      </c>
      <c r="C20" t="s">
        <v>1064</v>
      </c>
      <c r="D20" s="4">
        <v>100</v>
      </c>
      <c r="E20" s="4">
        <v>300</v>
      </c>
      <c r="F20" s="4">
        <v>1000</v>
      </c>
      <c r="I20" s="4"/>
    </row>
    <row r="21" spans="1:9" x14ac:dyDescent="0.35">
      <c r="A21">
        <v>1</v>
      </c>
      <c r="B21">
        <v>20</v>
      </c>
      <c r="C21" t="s">
        <v>1065</v>
      </c>
      <c r="D21" s="4">
        <v>50</v>
      </c>
      <c r="E21" s="4">
        <v>100</v>
      </c>
      <c r="F21" s="4">
        <v>200</v>
      </c>
      <c r="I21" s="4"/>
    </row>
    <row r="22" spans="1:9" x14ac:dyDescent="0.35">
      <c r="A22">
        <v>1</v>
      </c>
      <c r="B22">
        <v>21</v>
      </c>
      <c r="C22" t="s">
        <v>1066</v>
      </c>
      <c r="D22" s="4">
        <v>120</v>
      </c>
      <c r="E22" s="4">
        <v>240</v>
      </c>
      <c r="F22" s="4">
        <v>1440</v>
      </c>
      <c r="I22" s="4"/>
    </row>
    <row r="23" spans="1:9" x14ac:dyDescent="0.35">
      <c r="A23">
        <v>1</v>
      </c>
      <c r="B23">
        <v>22</v>
      </c>
      <c r="C23" t="s">
        <v>1067</v>
      </c>
      <c r="D23" s="4">
        <v>0.17</v>
      </c>
      <c r="E23" s="4">
        <v>0.42</v>
      </c>
      <c r="F23" s="4">
        <v>0.5</v>
      </c>
      <c r="I23" s="4"/>
    </row>
    <row r="24" spans="1:9" x14ac:dyDescent="0.35">
      <c r="A24">
        <v>1</v>
      </c>
      <c r="B24">
        <v>23</v>
      </c>
      <c r="C24" t="s">
        <v>1068</v>
      </c>
      <c r="D24" s="4">
        <v>50</v>
      </c>
      <c r="E24" s="4">
        <v>200</v>
      </c>
      <c r="F24" s="4">
        <v>400</v>
      </c>
      <c r="I24" s="4"/>
    </row>
    <row r="25" spans="1:9" x14ac:dyDescent="0.35">
      <c r="A25">
        <v>1</v>
      </c>
      <c r="B25">
        <v>24</v>
      </c>
      <c r="C25" t="s">
        <v>1069</v>
      </c>
      <c r="D25" s="4">
        <v>50</v>
      </c>
      <c r="E25" s="4">
        <v>250</v>
      </c>
      <c r="F25" s="4">
        <v>500</v>
      </c>
      <c r="I25" s="4"/>
    </row>
    <row r="26" spans="1:9" x14ac:dyDescent="0.35">
      <c r="A26">
        <v>1</v>
      </c>
      <c r="B26">
        <v>25</v>
      </c>
      <c r="C26" t="s">
        <v>1070</v>
      </c>
      <c r="D26" s="4">
        <v>24</v>
      </c>
      <c r="E26" s="4">
        <v>240</v>
      </c>
      <c r="F26" s="4">
        <v>960</v>
      </c>
      <c r="I26" s="4"/>
    </row>
    <row r="27" spans="1:9" x14ac:dyDescent="0.35">
      <c r="A27">
        <v>1</v>
      </c>
      <c r="B27">
        <v>26</v>
      </c>
      <c r="C27" t="s">
        <v>1071</v>
      </c>
      <c r="D27" s="4">
        <v>80</v>
      </c>
      <c r="E27" s="4">
        <v>90</v>
      </c>
      <c r="F27" s="4">
        <v>99.9</v>
      </c>
      <c r="I27" s="4"/>
    </row>
    <row r="28" spans="1:9" x14ac:dyDescent="0.35">
      <c r="A28">
        <v>1</v>
      </c>
      <c r="B28">
        <v>27</v>
      </c>
      <c r="C28" t="s">
        <v>1072</v>
      </c>
      <c r="D28" s="4">
        <v>24</v>
      </c>
      <c r="E28" s="4">
        <v>36</v>
      </c>
      <c r="F28" s="4">
        <v>48</v>
      </c>
      <c r="I28" s="4"/>
    </row>
    <row r="29" spans="1:9" x14ac:dyDescent="0.35">
      <c r="A29">
        <v>2</v>
      </c>
      <c r="B29">
        <v>1</v>
      </c>
      <c r="C29" t="s">
        <v>318</v>
      </c>
      <c r="D29" s="4">
        <v>1978</v>
      </c>
      <c r="E29" s="4">
        <v>1979</v>
      </c>
      <c r="F29" s="4">
        <v>1980</v>
      </c>
    </row>
    <row r="30" spans="1:9" x14ac:dyDescent="0.35">
      <c r="A30">
        <v>2</v>
      </c>
      <c r="B30">
        <v>2</v>
      </c>
      <c r="C30" t="s">
        <v>319</v>
      </c>
      <c r="D30" s="4">
        <v>9305</v>
      </c>
      <c r="E30" s="4">
        <v>9308</v>
      </c>
      <c r="F30" s="4">
        <v>9320</v>
      </c>
    </row>
    <row r="31" spans="1:9" x14ac:dyDescent="0.35">
      <c r="A31">
        <v>2</v>
      </c>
      <c r="B31">
        <v>3</v>
      </c>
      <c r="C31" t="s">
        <v>320</v>
      </c>
      <c r="D31" s="4">
        <v>3070</v>
      </c>
      <c r="E31" s="4">
        <v>3071</v>
      </c>
      <c r="F31" s="4">
        <v>3072</v>
      </c>
    </row>
    <row r="32" spans="1:9" x14ac:dyDescent="0.35">
      <c r="A32">
        <v>2</v>
      </c>
      <c r="B32">
        <v>4</v>
      </c>
      <c r="C32" t="s">
        <v>321</v>
      </c>
      <c r="D32" s="4">
        <v>28</v>
      </c>
      <c r="E32" s="4">
        <v>30</v>
      </c>
      <c r="F32" s="4">
        <v>35</v>
      </c>
    </row>
    <row r="33" spans="1:6" x14ac:dyDescent="0.35">
      <c r="A33">
        <v>2</v>
      </c>
      <c r="B33">
        <v>5</v>
      </c>
      <c r="C33" t="s">
        <v>322</v>
      </c>
      <c r="D33" s="4">
        <v>1</v>
      </c>
      <c r="E33" s="4">
        <v>2</v>
      </c>
      <c r="F33" s="4">
        <v>3</v>
      </c>
    </row>
    <row r="34" spans="1:6" x14ac:dyDescent="0.35">
      <c r="A34">
        <v>2</v>
      </c>
      <c r="B34">
        <v>6</v>
      </c>
      <c r="C34" t="s">
        <v>323</v>
      </c>
      <c r="D34" s="4">
        <v>7</v>
      </c>
      <c r="E34" s="4">
        <v>9</v>
      </c>
      <c r="F34" s="4">
        <v>11</v>
      </c>
    </row>
    <row r="35" spans="1:6" x14ac:dyDescent="0.35">
      <c r="A35">
        <v>2</v>
      </c>
      <c r="B35">
        <v>7</v>
      </c>
      <c r="C35" t="s">
        <v>324</v>
      </c>
      <c r="D35" s="4">
        <v>0</v>
      </c>
      <c r="E35" s="4">
        <v>1</v>
      </c>
      <c r="F35" s="4">
        <v>2</v>
      </c>
    </row>
    <row r="36" spans="1:6" x14ac:dyDescent="0.35">
      <c r="A36">
        <v>2</v>
      </c>
      <c r="B36">
        <v>8</v>
      </c>
      <c r="C36" t="s">
        <v>325</v>
      </c>
      <c r="D36" s="4">
        <v>11000000</v>
      </c>
      <c r="E36" s="4">
        <v>12000000</v>
      </c>
      <c r="F36" s="4">
        <v>13000000</v>
      </c>
    </row>
    <row r="37" spans="1:6" x14ac:dyDescent="0.35">
      <c r="A37">
        <v>2</v>
      </c>
      <c r="B37">
        <v>9</v>
      </c>
      <c r="C37" t="s">
        <v>326</v>
      </c>
      <c r="D37" s="4">
        <v>432</v>
      </c>
      <c r="E37" s="4">
        <v>480</v>
      </c>
      <c r="F37" s="4">
        <v>600</v>
      </c>
    </row>
    <row r="38" spans="1:6" x14ac:dyDescent="0.35">
      <c r="A38">
        <v>2</v>
      </c>
      <c r="B38">
        <v>10</v>
      </c>
      <c r="C38" t="s">
        <v>327</v>
      </c>
      <c r="D38" s="4">
        <v>295</v>
      </c>
      <c r="E38" s="4">
        <v>300</v>
      </c>
      <c r="F38" s="4">
        <v>310</v>
      </c>
    </row>
    <row r="39" spans="1:6" x14ac:dyDescent="0.35">
      <c r="A39">
        <v>2</v>
      </c>
      <c r="B39">
        <v>11</v>
      </c>
      <c r="C39" t="s">
        <v>1046</v>
      </c>
      <c r="D39" s="4">
        <v>55</v>
      </c>
      <c r="E39" s="4">
        <v>60</v>
      </c>
      <c r="F39" s="4">
        <v>65</v>
      </c>
    </row>
    <row r="40" spans="1:6" x14ac:dyDescent="0.35">
      <c r="A40">
        <v>2</v>
      </c>
      <c r="B40">
        <v>12</v>
      </c>
      <c r="C40" t="s">
        <v>328</v>
      </c>
      <c r="D40" s="4">
        <v>7</v>
      </c>
      <c r="E40" s="4">
        <v>8</v>
      </c>
      <c r="F40" s="4">
        <v>9</v>
      </c>
    </row>
    <row r="41" spans="1:6" x14ac:dyDescent="0.35">
      <c r="A41">
        <v>2</v>
      </c>
      <c r="B41">
        <v>13</v>
      </c>
      <c r="C41" t="s">
        <v>329</v>
      </c>
      <c r="D41" s="4">
        <v>8000</v>
      </c>
      <c r="E41" s="4">
        <v>9000</v>
      </c>
      <c r="F41" s="4">
        <v>10000</v>
      </c>
    </row>
    <row r="42" spans="1:6" x14ac:dyDescent="0.35">
      <c r="A42">
        <v>2</v>
      </c>
      <c r="B42">
        <v>14</v>
      </c>
      <c r="C42" t="s">
        <v>1059</v>
      </c>
      <c r="D42" s="4">
        <v>30</v>
      </c>
      <c r="E42" s="4">
        <v>35</v>
      </c>
      <c r="F42" s="4">
        <v>36</v>
      </c>
    </row>
    <row r="43" spans="1:6" x14ac:dyDescent="0.35">
      <c r="A43">
        <v>2</v>
      </c>
      <c r="B43">
        <v>15</v>
      </c>
      <c r="C43" t="s">
        <v>1060</v>
      </c>
      <c r="D43" s="4">
        <v>1830</v>
      </c>
      <c r="E43" s="4">
        <v>1850</v>
      </c>
      <c r="F43" s="4">
        <v>1855</v>
      </c>
    </row>
    <row r="44" spans="1:6" x14ac:dyDescent="0.35">
      <c r="A44">
        <v>2</v>
      </c>
      <c r="B44">
        <v>16</v>
      </c>
      <c r="C44" t="s">
        <v>1061</v>
      </c>
      <c r="D44" s="4">
        <v>40</v>
      </c>
      <c r="E44" s="4">
        <v>50</v>
      </c>
      <c r="F44" s="4">
        <v>60</v>
      </c>
    </row>
    <row r="45" spans="1:6" x14ac:dyDescent="0.35">
      <c r="A45">
        <v>2</v>
      </c>
      <c r="B45">
        <v>17</v>
      </c>
      <c r="C45" t="s">
        <v>1062</v>
      </c>
      <c r="D45" s="4">
        <v>60</v>
      </c>
      <c r="E45" s="4">
        <v>80</v>
      </c>
      <c r="F45" s="4">
        <v>85</v>
      </c>
    </row>
    <row r="46" spans="1:6" x14ac:dyDescent="0.35">
      <c r="A46">
        <v>2</v>
      </c>
      <c r="B46">
        <v>18</v>
      </c>
      <c r="C46" t="s">
        <v>1063</v>
      </c>
      <c r="D46" s="4">
        <v>5</v>
      </c>
      <c r="E46" s="4">
        <v>10</v>
      </c>
      <c r="F46" s="4">
        <v>11</v>
      </c>
    </row>
    <row r="47" spans="1:6" x14ac:dyDescent="0.35">
      <c r="A47">
        <v>2</v>
      </c>
      <c r="B47">
        <v>19</v>
      </c>
      <c r="C47" t="s">
        <v>1064</v>
      </c>
      <c r="D47" s="4">
        <v>300</v>
      </c>
      <c r="E47" s="4">
        <v>400</v>
      </c>
      <c r="F47" s="4">
        <v>500</v>
      </c>
    </row>
    <row r="48" spans="1:6" x14ac:dyDescent="0.35">
      <c r="A48">
        <v>2</v>
      </c>
      <c r="B48">
        <v>20</v>
      </c>
      <c r="C48" t="s">
        <v>1065</v>
      </c>
      <c r="D48" s="4">
        <v>115</v>
      </c>
      <c r="E48" s="4">
        <v>120</v>
      </c>
      <c r="F48" s="4">
        <v>125</v>
      </c>
    </row>
    <row r="49" spans="1:6" x14ac:dyDescent="0.35">
      <c r="A49">
        <v>2</v>
      </c>
      <c r="B49">
        <v>21</v>
      </c>
      <c r="C49" t="s">
        <v>1066</v>
      </c>
      <c r="D49" s="4">
        <v>1200</v>
      </c>
      <c r="E49" s="4">
        <v>1440</v>
      </c>
      <c r="F49" s="4">
        <v>1680</v>
      </c>
    </row>
    <row r="50" spans="1:6" x14ac:dyDescent="0.35">
      <c r="A50">
        <v>2</v>
      </c>
      <c r="B50">
        <v>22</v>
      </c>
      <c r="C50" t="s">
        <v>1067</v>
      </c>
      <c r="D50" s="4">
        <v>25</v>
      </c>
      <c r="E50" s="4">
        <v>30</v>
      </c>
      <c r="F50" s="4">
        <v>35</v>
      </c>
    </row>
    <row r="51" spans="1:6" x14ac:dyDescent="0.35">
      <c r="A51">
        <v>2</v>
      </c>
      <c r="B51">
        <v>23</v>
      </c>
      <c r="C51" t="s">
        <v>1068</v>
      </c>
      <c r="D51" s="4">
        <v>100</v>
      </c>
      <c r="E51" s="4">
        <v>120</v>
      </c>
      <c r="F51" s="4">
        <v>200</v>
      </c>
    </row>
    <row r="52" spans="1:6" x14ac:dyDescent="0.35">
      <c r="A52">
        <v>2</v>
      </c>
      <c r="B52">
        <v>24</v>
      </c>
      <c r="C52" t="s">
        <v>1069</v>
      </c>
      <c r="D52" s="4">
        <v>40</v>
      </c>
      <c r="E52" s="4">
        <v>50</v>
      </c>
      <c r="F52" s="4">
        <v>75</v>
      </c>
    </row>
    <row r="53" spans="1:6" x14ac:dyDescent="0.35">
      <c r="A53">
        <v>2</v>
      </c>
      <c r="B53">
        <v>25</v>
      </c>
      <c r="C53" t="s">
        <v>1070</v>
      </c>
      <c r="D53" s="4">
        <v>1200</v>
      </c>
      <c r="E53" s="4">
        <v>1440</v>
      </c>
      <c r="F53" s="4">
        <v>1560</v>
      </c>
    </row>
    <row r="54" spans="1:6" x14ac:dyDescent="0.35">
      <c r="A54">
        <v>2</v>
      </c>
      <c r="B54">
        <v>26</v>
      </c>
      <c r="C54" t="s">
        <v>1071</v>
      </c>
      <c r="D54" s="4">
        <v>70</v>
      </c>
      <c r="E54" s="4">
        <v>75</v>
      </c>
      <c r="F54" s="4">
        <v>80</v>
      </c>
    </row>
    <row r="55" spans="1:6" x14ac:dyDescent="0.35">
      <c r="A55">
        <v>2</v>
      </c>
      <c r="B55">
        <v>27</v>
      </c>
      <c r="C55" t="s">
        <v>1072</v>
      </c>
      <c r="D55" s="4">
        <v>15</v>
      </c>
      <c r="E55" s="4">
        <v>19</v>
      </c>
      <c r="F55" s="4">
        <v>21</v>
      </c>
    </row>
    <row r="56" spans="1:6" x14ac:dyDescent="0.35">
      <c r="A56">
        <v>3</v>
      </c>
      <c r="B56">
        <v>1</v>
      </c>
      <c r="C56" t="s">
        <v>318</v>
      </c>
      <c r="D56" s="4">
        <v>1970</v>
      </c>
      <c r="E56" s="4">
        <v>1971</v>
      </c>
      <c r="F56" s="4">
        <v>1985</v>
      </c>
    </row>
    <row r="57" spans="1:6" x14ac:dyDescent="0.35">
      <c r="A57">
        <v>3</v>
      </c>
      <c r="B57">
        <v>2</v>
      </c>
      <c r="C57" t="s">
        <v>319</v>
      </c>
      <c r="D57" s="4">
        <v>11000</v>
      </c>
      <c r="E57" s="4">
        <v>15000</v>
      </c>
      <c r="F57" s="4">
        <v>16500</v>
      </c>
    </row>
    <row r="58" spans="1:6" x14ac:dyDescent="0.35">
      <c r="A58">
        <v>3</v>
      </c>
      <c r="B58">
        <v>3</v>
      </c>
      <c r="C58" t="s">
        <v>320</v>
      </c>
      <c r="D58" s="4">
        <v>3300</v>
      </c>
      <c r="E58" s="4">
        <v>3850</v>
      </c>
      <c r="F58" s="4">
        <v>4100</v>
      </c>
    </row>
    <row r="59" spans="1:6" x14ac:dyDescent="0.35">
      <c r="A59">
        <v>3</v>
      </c>
      <c r="B59">
        <v>4</v>
      </c>
      <c r="C59" t="s">
        <v>321</v>
      </c>
      <c r="D59" s="4">
        <v>5</v>
      </c>
      <c r="E59" s="4">
        <v>10</v>
      </c>
      <c r="F59" s="4">
        <v>25</v>
      </c>
    </row>
    <row r="60" spans="1:6" x14ac:dyDescent="0.35">
      <c r="A60">
        <v>3</v>
      </c>
      <c r="B60">
        <v>5</v>
      </c>
      <c r="C60" t="s">
        <v>322</v>
      </c>
      <c r="D60" s="4">
        <v>2</v>
      </c>
      <c r="E60" s="4">
        <v>3</v>
      </c>
      <c r="F60" s="4">
        <v>5</v>
      </c>
    </row>
    <row r="61" spans="1:6" x14ac:dyDescent="0.35">
      <c r="A61">
        <v>3</v>
      </c>
      <c r="B61">
        <v>6</v>
      </c>
      <c r="C61" t="s">
        <v>323</v>
      </c>
      <c r="D61" s="4">
        <v>2</v>
      </c>
      <c r="E61" s="4">
        <v>5</v>
      </c>
      <c r="F61" s="4">
        <v>8</v>
      </c>
    </row>
    <row r="62" spans="1:6" x14ac:dyDescent="0.35">
      <c r="A62">
        <v>3</v>
      </c>
      <c r="B62">
        <v>7</v>
      </c>
      <c r="C62" t="s">
        <v>324</v>
      </c>
      <c r="D62" s="4">
        <v>8</v>
      </c>
      <c r="E62" s="4">
        <v>10</v>
      </c>
      <c r="F62" s="4">
        <v>15</v>
      </c>
    </row>
    <row r="63" spans="1:6" x14ac:dyDescent="0.35">
      <c r="A63">
        <v>3</v>
      </c>
      <c r="B63">
        <v>8</v>
      </c>
      <c r="C63" t="s">
        <v>325</v>
      </c>
      <c r="D63" s="4">
        <v>800000</v>
      </c>
      <c r="E63" s="4">
        <v>1000000</v>
      </c>
      <c r="F63" s="4">
        <v>1000000000</v>
      </c>
    </row>
    <row r="64" spans="1:6" x14ac:dyDescent="0.35">
      <c r="A64">
        <v>3</v>
      </c>
      <c r="B64">
        <v>9</v>
      </c>
      <c r="C64" t="s">
        <v>326</v>
      </c>
      <c r="D64" s="4">
        <v>336</v>
      </c>
      <c r="E64" s="4">
        <v>504</v>
      </c>
      <c r="F64" s="4">
        <v>1344</v>
      </c>
    </row>
    <row r="65" spans="1:6" x14ac:dyDescent="0.35">
      <c r="A65">
        <v>3</v>
      </c>
      <c r="B65">
        <v>10</v>
      </c>
      <c r="C65" t="s">
        <v>327</v>
      </c>
      <c r="D65" s="4">
        <v>25</v>
      </c>
      <c r="E65" s="4">
        <v>32</v>
      </c>
      <c r="F65" s="4">
        <v>50</v>
      </c>
    </row>
    <row r="66" spans="1:6" x14ac:dyDescent="0.35">
      <c r="A66">
        <v>3</v>
      </c>
      <c r="B66">
        <v>11</v>
      </c>
      <c r="C66" t="s">
        <v>1046</v>
      </c>
      <c r="D66" s="4">
        <v>1.5</v>
      </c>
      <c r="E66" s="4">
        <v>3</v>
      </c>
      <c r="F66" s="4">
        <v>6</v>
      </c>
    </row>
    <row r="67" spans="1:6" x14ac:dyDescent="0.35">
      <c r="A67">
        <v>3</v>
      </c>
      <c r="B67">
        <v>12</v>
      </c>
      <c r="C67" t="s">
        <v>328</v>
      </c>
      <c r="D67" s="4">
        <v>12</v>
      </c>
      <c r="E67" s="4">
        <v>72</v>
      </c>
      <c r="F67" s="4">
        <v>168</v>
      </c>
    </row>
    <row r="68" spans="1:6" x14ac:dyDescent="0.35">
      <c r="A68">
        <v>3</v>
      </c>
      <c r="B68">
        <v>13</v>
      </c>
      <c r="C68" t="s">
        <v>329</v>
      </c>
      <c r="D68" s="4">
        <v>4500</v>
      </c>
      <c r="E68" s="4">
        <v>5000</v>
      </c>
      <c r="F68" s="4">
        <v>6000</v>
      </c>
    </row>
    <row r="69" spans="1:6" x14ac:dyDescent="0.35">
      <c r="A69">
        <v>3</v>
      </c>
      <c r="B69">
        <v>14</v>
      </c>
      <c r="C69" t="s">
        <v>1059</v>
      </c>
      <c r="D69" s="4">
        <v>3</v>
      </c>
      <c r="E69" s="4">
        <v>7</v>
      </c>
      <c r="F69" s="4">
        <v>12</v>
      </c>
    </row>
    <row r="70" spans="1:6" x14ac:dyDescent="0.35">
      <c r="A70">
        <v>3</v>
      </c>
      <c r="B70">
        <v>15</v>
      </c>
      <c r="C70" t="s">
        <v>1060</v>
      </c>
      <c r="D70" s="4">
        <v>1760</v>
      </c>
      <c r="E70" s="4">
        <v>1795</v>
      </c>
      <c r="F70" s="4">
        <v>1810</v>
      </c>
    </row>
    <row r="71" spans="1:6" x14ac:dyDescent="0.35">
      <c r="A71">
        <v>3</v>
      </c>
      <c r="B71">
        <v>16</v>
      </c>
      <c r="C71" t="s">
        <v>1061</v>
      </c>
      <c r="D71" s="4">
        <v>40</v>
      </c>
      <c r="E71" s="4">
        <v>45</v>
      </c>
      <c r="F71" s="4">
        <v>65</v>
      </c>
    </row>
    <row r="72" spans="1:6" x14ac:dyDescent="0.35">
      <c r="A72">
        <v>3</v>
      </c>
      <c r="B72">
        <v>17</v>
      </c>
      <c r="C72" t="s">
        <v>1062</v>
      </c>
      <c r="D72" s="4">
        <v>10</v>
      </c>
      <c r="E72" s="4">
        <v>15</v>
      </c>
      <c r="F72" s="4">
        <v>20</v>
      </c>
    </row>
    <row r="73" spans="1:6" x14ac:dyDescent="0.35">
      <c r="A73">
        <v>3</v>
      </c>
      <c r="B73">
        <v>18</v>
      </c>
      <c r="C73" t="s">
        <v>1063</v>
      </c>
      <c r="D73" s="4">
        <v>10</v>
      </c>
      <c r="E73" s="4">
        <v>25</v>
      </c>
      <c r="F73" s="4">
        <v>26</v>
      </c>
    </row>
    <row r="74" spans="1:6" x14ac:dyDescent="0.35">
      <c r="A74">
        <v>3</v>
      </c>
      <c r="B74">
        <v>19</v>
      </c>
      <c r="C74" t="s">
        <v>1064</v>
      </c>
      <c r="D74" s="4">
        <v>50</v>
      </c>
      <c r="E74" s="4">
        <v>150</v>
      </c>
      <c r="F74" s="4">
        <v>400</v>
      </c>
    </row>
    <row r="75" spans="1:6" x14ac:dyDescent="0.35">
      <c r="A75">
        <v>3</v>
      </c>
      <c r="B75">
        <v>20</v>
      </c>
      <c r="C75" t="s">
        <v>1065</v>
      </c>
      <c r="D75" s="4">
        <v>115</v>
      </c>
      <c r="E75" s="4">
        <v>130</v>
      </c>
      <c r="F75" s="4">
        <v>150</v>
      </c>
    </row>
    <row r="76" spans="1:6" x14ac:dyDescent="0.35">
      <c r="A76">
        <v>3</v>
      </c>
      <c r="B76">
        <v>21</v>
      </c>
      <c r="C76" t="s">
        <v>1066</v>
      </c>
      <c r="D76" s="4">
        <v>12</v>
      </c>
      <c r="E76" s="4">
        <v>48</v>
      </c>
      <c r="F76" s="4">
        <v>720</v>
      </c>
    </row>
    <row r="77" spans="1:6" x14ac:dyDescent="0.35">
      <c r="A77">
        <v>3</v>
      </c>
      <c r="B77">
        <v>22</v>
      </c>
      <c r="C77" t="s">
        <v>1067</v>
      </c>
      <c r="D77" s="4">
        <v>1.58</v>
      </c>
      <c r="E77" s="4">
        <v>1.75</v>
      </c>
      <c r="F77" s="4">
        <v>2.25</v>
      </c>
    </row>
    <row r="78" spans="1:6" x14ac:dyDescent="0.35">
      <c r="A78">
        <v>3</v>
      </c>
      <c r="B78">
        <v>23</v>
      </c>
      <c r="C78" t="s">
        <v>1068</v>
      </c>
      <c r="D78" s="4">
        <v>18</v>
      </c>
      <c r="E78" s="4">
        <v>20</v>
      </c>
      <c r="F78" s="4">
        <v>35</v>
      </c>
    </row>
    <row r="79" spans="1:6" x14ac:dyDescent="0.35">
      <c r="A79">
        <v>3</v>
      </c>
      <c r="B79">
        <v>24</v>
      </c>
      <c r="C79" t="s">
        <v>1069</v>
      </c>
      <c r="D79" s="4">
        <v>100</v>
      </c>
      <c r="E79" s="4">
        <v>200</v>
      </c>
      <c r="F79" s="4">
        <v>300</v>
      </c>
    </row>
    <row r="80" spans="1:6" x14ac:dyDescent="0.35">
      <c r="A80">
        <v>3</v>
      </c>
      <c r="B80">
        <v>25</v>
      </c>
      <c r="C80" t="s">
        <v>1070</v>
      </c>
      <c r="D80" s="4">
        <v>504</v>
      </c>
      <c r="E80" s="4">
        <v>672</v>
      </c>
      <c r="F80" s="4">
        <v>1008</v>
      </c>
    </row>
    <row r="81" spans="1:6" x14ac:dyDescent="0.35">
      <c r="A81">
        <v>3</v>
      </c>
      <c r="B81">
        <v>26</v>
      </c>
      <c r="C81" t="s">
        <v>1071</v>
      </c>
      <c r="D81" s="4">
        <v>5</v>
      </c>
      <c r="E81" s="4">
        <v>25</v>
      </c>
      <c r="F81" s="4">
        <v>30</v>
      </c>
    </row>
    <row r="82" spans="1:6" x14ac:dyDescent="0.35">
      <c r="A82">
        <v>3</v>
      </c>
      <c r="B82">
        <v>27</v>
      </c>
      <c r="C82" t="s">
        <v>1072</v>
      </c>
      <c r="D82" s="4">
        <v>12</v>
      </c>
      <c r="E82" s="4">
        <v>15</v>
      </c>
      <c r="F82" s="4">
        <v>20</v>
      </c>
    </row>
    <row r="83" spans="1:6" x14ac:dyDescent="0.35">
      <c r="A83">
        <v>4</v>
      </c>
      <c r="B83">
        <v>1</v>
      </c>
      <c r="C83" t="s">
        <v>318</v>
      </c>
      <c r="D83" s="4">
        <v>1978</v>
      </c>
      <c r="E83" s="4">
        <v>1979</v>
      </c>
      <c r="F83" s="4">
        <v>1980</v>
      </c>
    </row>
    <row r="84" spans="1:6" x14ac:dyDescent="0.35">
      <c r="A84">
        <v>4</v>
      </c>
      <c r="B84">
        <v>2</v>
      </c>
      <c r="C84" t="s">
        <v>319</v>
      </c>
      <c r="D84" s="4">
        <v>9000</v>
      </c>
      <c r="E84" s="4">
        <v>9500</v>
      </c>
      <c r="F84" s="4">
        <v>10000</v>
      </c>
    </row>
    <row r="85" spans="1:6" x14ac:dyDescent="0.35">
      <c r="A85">
        <v>4</v>
      </c>
      <c r="B85">
        <v>3</v>
      </c>
      <c r="C85" t="s">
        <v>320</v>
      </c>
      <c r="D85" s="4">
        <v>3000</v>
      </c>
      <c r="E85" s="4">
        <v>3069</v>
      </c>
      <c r="F85" s="4">
        <v>3100</v>
      </c>
    </row>
    <row r="86" spans="1:6" x14ac:dyDescent="0.35">
      <c r="A86">
        <v>4</v>
      </c>
      <c r="B86">
        <v>4</v>
      </c>
      <c r="C86" t="s">
        <v>321</v>
      </c>
      <c r="D86" s="4">
        <v>20</v>
      </c>
      <c r="E86" s="4">
        <v>25</v>
      </c>
      <c r="F86" s="4">
        <v>30</v>
      </c>
    </row>
    <row r="87" spans="1:6" x14ac:dyDescent="0.35">
      <c r="A87">
        <v>4</v>
      </c>
      <c r="B87">
        <v>5</v>
      </c>
      <c r="C87" t="s">
        <v>322</v>
      </c>
      <c r="D87" s="4">
        <v>1</v>
      </c>
      <c r="E87" s="4">
        <v>2</v>
      </c>
      <c r="F87" s="4">
        <v>3</v>
      </c>
    </row>
    <row r="88" spans="1:6" x14ac:dyDescent="0.35">
      <c r="A88">
        <v>4</v>
      </c>
      <c r="B88">
        <v>6</v>
      </c>
      <c r="C88" t="s">
        <v>323</v>
      </c>
      <c r="D88" s="4">
        <v>5</v>
      </c>
      <c r="E88" s="4">
        <v>10</v>
      </c>
      <c r="F88" s="4">
        <v>15</v>
      </c>
    </row>
    <row r="89" spans="1:6" x14ac:dyDescent="0.35">
      <c r="A89">
        <v>4</v>
      </c>
      <c r="B89">
        <v>7</v>
      </c>
      <c r="C89" t="s">
        <v>324</v>
      </c>
      <c r="D89" s="4">
        <v>0</v>
      </c>
      <c r="E89" s="4">
        <v>1</v>
      </c>
      <c r="F89" s="4">
        <v>2</v>
      </c>
    </row>
    <row r="90" spans="1:6" x14ac:dyDescent="0.35">
      <c r="A90">
        <v>4</v>
      </c>
      <c r="B90">
        <v>8</v>
      </c>
      <c r="C90" t="s">
        <v>325</v>
      </c>
      <c r="D90" s="4">
        <v>2000000</v>
      </c>
      <c r="E90" s="4">
        <v>10000000</v>
      </c>
      <c r="F90" s="4">
        <v>20000000</v>
      </c>
    </row>
    <row r="91" spans="1:6" x14ac:dyDescent="0.35">
      <c r="A91">
        <v>4</v>
      </c>
      <c r="B91">
        <v>9</v>
      </c>
      <c r="C91" t="s">
        <v>326</v>
      </c>
      <c r="D91" s="4">
        <v>240</v>
      </c>
      <c r="E91" s="4">
        <v>480</v>
      </c>
      <c r="F91" s="4">
        <v>720</v>
      </c>
    </row>
    <row r="92" spans="1:6" x14ac:dyDescent="0.35">
      <c r="A92">
        <v>4</v>
      </c>
      <c r="B92">
        <v>10</v>
      </c>
      <c r="C92" t="s">
        <v>327</v>
      </c>
      <c r="D92" s="4">
        <v>200</v>
      </c>
      <c r="E92" s="4">
        <v>300</v>
      </c>
      <c r="F92" s="4">
        <v>400</v>
      </c>
    </row>
    <row r="93" spans="1:6" x14ac:dyDescent="0.35">
      <c r="A93">
        <v>4</v>
      </c>
      <c r="B93">
        <v>11</v>
      </c>
      <c r="C93" t="s">
        <v>1046</v>
      </c>
      <c r="D93" s="4">
        <v>20</v>
      </c>
      <c r="E93" s="4">
        <v>30</v>
      </c>
      <c r="F93" s="4">
        <v>40</v>
      </c>
    </row>
    <row r="94" spans="1:6" x14ac:dyDescent="0.35">
      <c r="A94">
        <v>4</v>
      </c>
      <c r="B94">
        <v>12</v>
      </c>
      <c r="C94" t="s">
        <v>328</v>
      </c>
      <c r="D94" s="4">
        <v>120</v>
      </c>
      <c r="E94" s="4">
        <v>240</v>
      </c>
      <c r="F94" s="4">
        <v>360</v>
      </c>
    </row>
    <row r="95" spans="1:6" x14ac:dyDescent="0.35">
      <c r="A95">
        <v>4</v>
      </c>
      <c r="B95">
        <v>13</v>
      </c>
      <c r="C95" t="s">
        <v>329</v>
      </c>
      <c r="D95" s="4">
        <v>8000</v>
      </c>
      <c r="E95" s="4">
        <v>10000</v>
      </c>
      <c r="F95" s="4">
        <v>15000</v>
      </c>
    </row>
    <row r="96" spans="1:6" x14ac:dyDescent="0.35">
      <c r="A96">
        <v>4</v>
      </c>
      <c r="B96">
        <v>14</v>
      </c>
      <c r="C96" t="s">
        <v>1059</v>
      </c>
      <c r="D96" s="4">
        <v>7</v>
      </c>
      <c r="E96" s="4">
        <v>10</v>
      </c>
      <c r="F96" s="4">
        <v>15</v>
      </c>
    </row>
    <row r="97" spans="1:6" x14ac:dyDescent="0.35">
      <c r="A97">
        <v>4</v>
      </c>
      <c r="B97">
        <v>15</v>
      </c>
      <c r="C97" t="s">
        <v>1060</v>
      </c>
      <c r="D97" s="4">
        <v>1760</v>
      </c>
      <c r="E97" s="4">
        <v>1820</v>
      </c>
      <c r="F97" s="4">
        <v>1880</v>
      </c>
    </row>
    <row r="98" spans="1:6" x14ac:dyDescent="0.35">
      <c r="A98">
        <v>4</v>
      </c>
      <c r="B98">
        <v>16</v>
      </c>
      <c r="C98" t="s">
        <v>1061</v>
      </c>
      <c r="D98" s="4">
        <v>10</v>
      </c>
      <c r="E98" s="4">
        <v>25</v>
      </c>
      <c r="F98" s="4">
        <v>40</v>
      </c>
    </row>
    <row r="99" spans="1:6" x14ac:dyDescent="0.35">
      <c r="A99">
        <v>4</v>
      </c>
      <c r="B99">
        <v>17</v>
      </c>
      <c r="C99" t="s">
        <v>1062</v>
      </c>
      <c r="D99" s="4">
        <v>0</v>
      </c>
      <c r="E99" s="4">
        <v>25</v>
      </c>
      <c r="F99" s="4">
        <v>50</v>
      </c>
    </row>
    <row r="100" spans="1:6" x14ac:dyDescent="0.35">
      <c r="A100">
        <v>4</v>
      </c>
      <c r="B100">
        <v>18</v>
      </c>
      <c r="C100" t="s">
        <v>1063</v>
      </c>
      <c r="D100" s="4">
        <v>0</v>
      </c>
      <c r="E100" s="4">
        <v>25</v>
      </c>
      <c r="F100" s="4">
        <v>50</v>
      </c>
    </row>
    <row r="101" spans="1:6" x14ac:dyDescent="0.35">
      <c r="A101">
        <v>4</v>
      </c>
      <c r="B101">
        <v>19</v>
      </c>
      <c r="C101" t="s">
        <v>1064</v>
      </c>
      <c r="D101" s="4">
        <v>300</v>
      </c>
      <c r="E101" s="4">
        <v>750</v>
      </c>
      <c r="F101" s="4">
        <v>1500</v>
      </c>
    </row>
    <row r="102" spans="1:6" x14ac:dyDescent="0.35">
      <c r="A102">
        <v>4</v>
      </c>
      <c r="B102">
        <v>20</v>
      </c>
      <c r="C102" t="s">
        <v>1065</v>
      </c>
      <c r="D102" s="4">
        <v>100</v>
      </c>
      <c r="E102" s="4">
        <v>200</v>
      </c>
      <c r="F102" s="4">
        <v>400</v>
      </c>
    </row>
    <row r="103" spans="1:6" x14ac:dyDescent="0.35">
      <c r="A103">
        <v>4</v>
      </c>
      <c r="B103">
        <v>21</v>
      </c>
      <c r="C103" t="s">
        <v>1066</v>
      </c>
      <c r="D103" s="4">
        <v>240</v>
      </c>
      <c r="E103" s="4">
        <v>504</v>
      </c>
      <c r="F103" s="4">
        <v>1440</v>
      </c>
    </row>
    <row r="104" spans="1:6" x14ac:dyDescent="0.35">
      <c r="A104">
        <v>4</v>
      </c>
      <c r="B104">
        <v>22</v>
      </c>
      <c r="C104" t="s">
        <v>1067</v>
      </c>
      <c r="D104" s="4">
        <v>6</v>
      </c>
      <c r="E104" s="4">
        <v>9</v>
      </c>
      <c r="F104" s="4">
        <v>12</v>
      </c>
    </row>
    <row r="105" spans="1:6" x14ac:dyDescent="0.35">
      <c r="A105">
        <v>4</v>
      </c>
      <c r="B105">
        <v>23</v>
      </c>
      <c r="C105" t="s">
        <v>1068</v>
      </c>
      <c r="D105" s="4">
        <v>25</v>
      </c>
      <c r="E105" s="4">
        <v>50</v>
      </c>
      <c r="F105" s="4">
        <v>100</v>
      </c>
    </row>
    <row r="106" spans="1:6" x14ac:dyDescent="0.35">
      <c r="A106">
        <v>4</v>
      </c>
      <c r="B106">
        <v>24</v>
      </c>
      <c r="C106" t="s">
        <v>1069</v>
      </c>
      <c r="D106" s="4">
        <v>100</v>
      </c>
      <c r="E106" s="4">
        <v>200</v>
      </c>
      <c r="F106" s="4">
        <v>400</v>
      </c>
    </row>
    <row r="107" spans="1:6" x14ac:dyDescent="0.35">
      <c r="A107">
        <v>4</v>
      </c>
      <c r="B107">
        <v>25</v>
      </c>
      <c r="C107" t="s">
        <v>1070</v>
      </c>
      <c r="D107" s="4">
        <v>48</v>
      </c>
      <c r="E107" s="4">
        <v>120</v>
      </c>
      <c r="F107" s="4">
        <v>240</v>
      </c>
    </row>
    <row r="108" spans="1:6" x14ac:dyDescent="0.35">
      <c r="A108">
        <v>4</v>
      </c>
      <c r="B108">
        <v>26</v>
      </c>
      <c r="C108" t="s">
        <v>1071</v>
      </c>
      <c r="D108" s="4">
        <v>30</v>
      </c>
      <c r="E108" s="4">
        <v>60</v>
      </c>
      <c r="F108" s="4">
        <v>90</v>
      </c>
    </row>
    <row r="109" spans="1:6" x14ac:dyDescent="0.35">
      <c r="A109">
        <v>4</v>
      </c>
      <c r="B109">
        <v>27</v>
      </c>
      <c r="C109" t="s">
        <v>1072</v>
      </c>
      <c r="D109" s="4">
        <v>24</v>
      </c>
      <c r="E109" s="4">
        <v>48</v>
      </c>
      <c r="F109" s="4">
        <v>72</v>
      </c>
    </row>
    <row r="110" spans="1:6" x14ac:dyDescent="0.35">
      <c r="A110">
        <v>5</v>
      </c>
      <c r="B110">
        <v>1</v>
      </c>
      <c r="C110" t="s">
        <v>318</v>
      </c>
      <c r="D110" s="4">
        <v>1975</v>
      </c>
      <c r="E110" s="4">
        <v>1985</v>
      </c>
      <c r="F110" s="4">
        <v>1990</v>
      </c>
    </row>
    <row r="111" spans="1:6" x14ac:dyDescent="0.35">
      <c r="A111">
        <v>5</v>
      </c>
      <c r="B111">
        <v>2</v>
      </c>
      <c r="C111" t="s">
        <v>319</v>
      </c>
      <c r="D111" s="4">
        <v>9000</v>
      </c>
      <c r="E111" s="4">
        <v>11000</v>
      </c>
      <c r="F111" s="4">
        <v>13000</v>
      </c>
    </row>
    <row r="112" spans="1:6" x14ac:dyDescent="0.35">
      <c r="A112">
        <v>5</v>
      </c>
      <c r="B112">
        <v>3</v>
      </c>
      <c r="C112" t="s">
        <v>320</v>
      </c>
      <c r="D112" s="4">
        <v>2000</v>
      </c>
      <c r="E112" s="4">
        <v>3500</v>
      </c>
      <c r="F112" s="4">
        <v>4000</v>
      </c>
    </row>
    <row r="113" spans="1:6" x14ac:dyDescent="0.35">
      <c r="A113">
        <v>5</v>
      </c>
      <c r="B113">
        <v>4</v>
      </c>
      <c r="C113" t="s">
        <v>321</v>
      </c>
      <c r="D113" s="4">
        <v>12</v>
      </c>
      <c r="E113" s="4">
        <v>20</v>
      </c>
      <c r="F113" s="4">
        <v>50</v>
      </c>
    </row>
    <row r="114" spans="1:6" x14ac:dyDescent="0.35">
      <c r="A114">
        <v>5</v>
      </c>
      <c r="B114">
        <v>5</v>
      </c>
      <c r="C114" t="s">
        <v>322</v>
      </c>
      <c r="D114" s="4">
        <v>2</v>
      </c>
      <c r="E114" s="4">
        <v>10</v>
      </c>
      <c r="F114" s="4">
        <v>25</v>
      </c>
    </row>
    <row r="115" spans="1:6" x14ac:dyDescent="0.35">
      <c r="A115">
        <v>5</v>
      </c>
      <c r="B115">
        <v>6</v>
      </c>
      <c r="C115" t="s">
        <v>323</v>
      </c>
      <c r="D115" s="4">
        <v>10</v>
      </c>
      <c r="E115" s="4">
        <v>25</v>
      </c>
      <c r="F115" s="4">
        <v>35</v>
      </c>
    </row>
    <row r="116" spans="1:6" x14ac:dyDescent="0.35">
      <c r="A116">
        <v>5</v>
      </c>
      <c r="B116">
        <v>7</v>
      </c>
      <c r="C116" t="s">
        <v>324</v>
      </c>
      <c r="D116" s="4">
        <v>25</v>
      </c>
      <c r="E116" s="4">
        <v>35</v>
      </c>
      <c r="F116" s="4">
        <v>45</v>
      </c>
    </row>
    <row r="117" spans="1:6" x14ac:dyDescent="0.35">
      <c r="A117">
        <v>5</v>
      </c>
      <c r="B117">
        <v>8</v>
      </c>
      <c r="C117" t="s">
        <v>325</v>
      </c>
      <c r="D117" s="4">
        <v>1000</v>
      </c>
      <c r="E117" s="4">
        <v>5000</v>
      </c>
      <c r="F117" s="4">
        <v>12000</v>
      </c>
    </row>
    <row r="118" spans="1:6" x14ac:dyDescent="0.35">
      <c r="A118">
        <v>5</v>
      </c>
      <c r="B118">
        <v>9</v>
      </c>
      <c r="C118" t="s">
        <v>326</v>
      </c>
      <c r="D118" s="4">
        <v>360</v>
      </c>
      <c r="E118" s="4">
        <v>528</v>
      </c>
      <c r="F118" s="4">
        <v>840</v>
      </c>
    </row>
    <row r="119" spans="1:6" x14ac:dyDescent="0.35">
      <c r="A119">
        <v>5</v>
      </c>
      <c r="B119">
        <v>10</v>
      </c>
      <c r="C119" t="s">
        <v>327</v>
      </c>
      <c r="D119" s="4">
        <v>4</v>
      </c>
      <c r="E119" s="4">
        <v>8</v>
      </c>
      <c r="F119" s="4">
        <v>20</v>
      </c>
    </row>
    <row r="120" spans="1:6" x14ac:dyDescent="0.35">
      <c r="A120">
        <v>5</v>
      </c>
      <c r="B120">
        <v>11</v>
      </c>
      <c r="C120" t="s">
        <v>1046</v>
      </c>
      <c r="D120" s="4">
        <v>8</v>
      </c>
      <c r="E120" s="4">
        <v>10</v>
      </c>
      <c r="F120" s="4">
        <v>25</v>
      </c>
    </row>
    <row r="121" spans="1:6" x14ac:dyDescent="0.35">
      <c r="A121">
        <v>5</v>
      </c>
      <c r="B121">
        <v>12</v>
      </c>
      <c r="C121" t="s">
        <v>328</v>
      </c>
      <c r="D121" s="4">
        <v>600</v>
      </c>
      <c r="E121" s="4">
        <v>960</v>
      </c>
      <c r="F121" s="4">
        <v>1440</v>
      </c>
    </row>
    <row r="122" spans="1:6" x14ac:dyDescent="0.35">
      <c r="A122">
        <v>5</v>
      </c>
      <c r="B122">
        <v>13</v>
      </c>
      <c r="C122" t="s">
        <v>329</v>
      </c>
      <c r="D122" s="4">
        <v>5000</v>
      </c>
      <c r="E122" s="4">
        <v>12000</v>
      </c>
      <c r="F122" s="4">
        <v>20000</v>
      </c>
    </row>
    <row r="123" spans="1:6" x14ac:dyDescent="0.35">
      <c r="A123">
        <v>5</v>
      </c>
      <c r="B123">
        <v>14</v>
      </c>
      <c r="C123" t="s">
        <v>1059</v>
      </c>
      <c r="D123" s="4">
        <v>22</v>
      </c>
      <c r="E123" s="4">
        <v>30</v>
      </c>
      <c r="F123" s="4">
        <v>40</v>
      </c>
    </row>
    <row r="124" spans="1:6" x14ac:dyDescent="0.35">
      <c r="A124">
        <v>5</v>
      </c>
      <c r="B124">
        <v>15</v>
      </c>
      <c r="C124" t="s">
        <v>1060</v>
      </c>
      <c r="D124" s="4">
        <v>1830</v>
      </c>
      <c r="E124" s="4">
        <v>1890</v>
      </c>
      <c r="F124" s="4">
        <v>1920</v>
      </c>
    </row>
    <row r="125" spans="1:6" x14ac:dyDescent="0.35">
      <c r="A125">
        <v>5</v>
      </c>
      <c r="B125">
        <v>16</v>
      </c>
      <c r="C125" t="s">
        <v>1061</v>
      </c>
      <c r="D125" s="4">
        <v>2</v>
      </c>
      <c r="E125" s="4">
        <v>10</v>
      </c>
      <c r="F125" s="4">
        <v>25</v>
      </c>
    </row>
    <row r="126" spans="1:6" x14ac:dyDescent="0.35">
      <c r="A126">
        <v>5</v>
      </c>
      <c r="B126">
        <v>17</v>
      </c>
      <c r="C126" t="s">
        <v>1062</v>
      </c>
      <c r="D126" s="4">
        <v>30</v>
      </c>
      <c r="E126" s="4">
        <v>45</v>
      </c>
      <c r="F126" s="4">
        <v>60</v>
      </c>
    </row>
    <row r="127" spans="1:6" x14ac:dyDescent="0.35">
      <c r="A127">
        <v>5</v>
      </c>
      <c r="B127">
        <v>18</v>
      </c>
      <c r="C127" t="s">
        <v>1063</v>
      </c>
      <c r="D127" s="4">
        <v>5</v>
      </c>
      <c r="E127" s="4">
        <v>10</v>
      </c>
      <c r="F127" s="4">
        <v>15</v>
      </c>
    </row>
    <row r="128" spans="1:6" x14ac:dyDescent="0.35">
      <c r="A128">
        <v>5</v>
      </c>
      <c r="B128">
        <v>19</v>
      </c>
      <c r="C128" t="s">
        <v>1064</v>
      </c>
      <c r="D128" s="4">
        <v>1000</v>
      </c>
      <c r="E128" s="4">
        <v>2000</v>
      </c>
      <c r="F128" s="4">
        <v>5000</v>
      </c>
    </row>
    <row r="129" spans="1:6" x14ac:dyDescent="0.35">
      <c r="A129">
        <v>5</v>
      </c>
      <c r="B129">
        <v>20</v>
      </c>
      <c r="C129" t="s">
        <v>1065</v>
      </c>
      <c r="D129" s="4">
        <v>80</v>
      </c>
      <c r="E129" s="4">
        <v>100</v>
      </c>
      <c r="F129" s="4">
        <v>130</v>
      </c>
    </row>
    <row r="130" spans="1:6" x14ac:dyDescent="0.35">
      <c r="A130">
        <v>5</v>
      </c>
      <c r="B130">
        <v>21</v>
      </c>
      <c r="C130" t="s">
        <v>1066</v>
      </c>
      <c r="D130" s="4">
        <v>24</v>
      </c>
      <c r="E130" s="4">
        <v>120</v>
      </c>
      <c r="F130" s="4">
        <v>1440</v>
      </c>
    </row>
    <row r="131" spans="1:6" x14ac:dyDescent="0.35">
      <c r="A131">
        <v>5</v>
      </c>
      <c r="B131">
        <v>22</v>
      </c>
      <c r="C131" t="s">
        <v>1067</v>
      </c>
      <c r="D131" s="4">
        <v>10</v>
      </c>
      <c r="E131" s="4">
        <v>16</v>
      </c>
      <c r="F131" s="4">
        <v>24</v>
      </c>
    </row>
    <row r="132" spans="1:6" x14ac:dyDescent="0.35">
      <c r="A132">
        <v>5</v>
      </c>
      <c r="B132">
        <v>23</v>
      </c>
      <c r="C132" t="s">
        <v>1068</v>
      </c>
      <c r="D132" s="4">
        <v>25</v>
      </c>
      <c r="E132" s="4">
        <v>35</v>
      </c>
      <c r="F132" s="4">
        <v>50</v>
      </c>
    </row>
    <row r="133" spans="1:6" x14ac:dyDescent="0.35">
      <c r="A133">
        <v>5</v>
      </c>
      <c r="B133">
        <v>24</v>
      </c>
      <c r="C133" t="s">
        <v>1069</v>
      </c>
      <c r="D133" s="4">
        <v>500</v>
      </c>
      <c r="E133" s="4">
        <v>1000</v>
      </c>
      <c r="F133" s="4">
        <v>1500</v>
      </c>
    </row>
    <row r="134" spans="1:6" x14ac:dyDescent="0.35">
      <c r="A134">
        <v>5</v>
      </c>
      <c r="B134">
        <v>25</v>
      </c>
      <c r="C134" t="s">
        <v>1070</v>
      </c>
      <c r="D134" s="4">
        <v>24</v>
      </c>
      <c r="E134" s="4">
        <v>48</v>
      </c>
      <c r="F134" s="4">
        <v>192</v>
      </c>
    </row>
    <row r="135" spans="1:6" x14ac:dyDescent="0.35">
      <c r="A135">
        <v>5</v>
      </c>
      <c r="B135">
        <v>26</v>
      </c>
      <c r="C135" t="s">
        <v>1071</v>
      </c>
      <c r="D135" s="4">
        <v>50</v>
      </c>
      <c r="E135" s="4">
        <v>75</v>
      </c>
      <c r="F135" s="4">
        <v>99.9</v>
      </c>
    </row>
    <row r="136" spans="1:6" x14ac:dyDescent="0.35">
      <c r="A136">
        <v>5</v>
      </c>
      <c r="B136">
        <v>27</v>
      </c>
      <c r="C136" t="s">
        <v>1072</v>
      </c>
      <c r="D136" s="4">
        <v>6</v>
      </c>
      <c r="E136" s="4">
        <v>10</v>
      </c>
      <c r="F136" s="4">
        <v>18</v>
      </c>
    </row>
    <row r="137" spans="1:6" x14ac:dyDescent="0.35">
      <c r="A137">
        <v>6</v>
      </c>
      <c r="B137">
        <v>1</v>
      </c>
      <c r="C137" t="s">
        <v>318</v>
      </c>
      <c r="D137" s="4">
        <v>1980</v>
      </c>
      <c r="E137" s="4">
        <v>1990</v>
      </c>
      <c r="F137" s="4">
        <v>1995</v>
      </c>
    </row>
    <row r="138" spans="1:6" x14ac:dyDescent="0.35">
      <c r="A138">
        <v>6</v>
      </c>
      <c r="B138">
        <v>2</v>
      </c>
      <c r="C138" t="s">
        <v>319</v>
      </c>
      <c r="D138" s="4">
        <v>9000</v>
      </c>
      <c r="E138" s="4">
        <v>9100</v>
      </c>
      <c r="F138" s="4">
        <v>9200</v>
      </c>
    </row>
    <row r="139" spans="1:6" x14ac:dyDescent="0.35">
      <c r="A139">
        <v>6</v>
      </c>
      <c r="B139">
        <v>3</v>
      </c>
      <c r="C139" t="s">
        <v>320</v>
      </c>
      <c r="D139" s="4">
        <v>2700</v>
      </c>
      <c r="E139" s="4">
        <v>2900</v>
      </c>
      <c r="F139" s="4">
        <v>3000</v>
      </c>
    </row>
    <row r="140" spans="1:6" x14ac:dyDescent="0.35">
      <c r="A140">
        <v>6</v>
      </c>
      <c r="B140">
        <v>4</v>
      </c>
      <c r="C140" t="s">
        <v>321</v>
      </c>
      <c r="D140" s="4">
        <v>20</v>
      </c>
      <c r="E140" s="4">
        <v>35</v>
      </c>
      <c r="F140" s="4">
        <v>45</v>
      </c>
    </row>
    <row r="141" spans="1:6" x14ac:dyDescent="0.35">
      <c r="A141">
        <v>6</v>
      </c>
      <c r="B141">
        <v>5</v>
      </c>
      <c r="C141" t="s">
        <v>322</v>
      </c>
      <c r="D141" s="4">
        <v>1</v>
      </c>
      <c r="E141" s="4">
        <v>3</v>
      </c>
      <c r="F141" s="4">
        <v>5</v>
      </c>
    </row>
    <row r="142" spans="1:6" x14ac:dyDescent="0.35">
      <c r="A142">
        <v>6</v>
      </c>
      <c r="B142">
        <v>6</v>
      </c>
      <c r="C142" t="s">
        <v>323</v>
      </c>
      <c r="D142" s="4">
        <v>2</v>
      </c>
      <c r="E142" s="4">
        <v>3</v>
      </c>
      <c r="F142" s="4">
        <v>5</v>
      </c>
    </row>
    <row r="143" spans="1:6" x14ac:dyDescent="0.35">
      <c r="A143">
        <v>6</v>
      </c>
      <c r="B143">
        <v>7</v>
      </c>
      <c r="C143" t="s">
        <v>324</v>
      </c>
      <c r="D143" s="4">
        <v>1</v>
      </c>
      <c r="E143" s="4">
        <v>3</v>
      </c>
      <c r="F143" s="4">
        <v>5</v>
      </c>
    </row>
    <row r="144" spans="1:6" x14ac:dyDescent="0.35">
      <c r="A144">
        <v>6</v>
      </c>
      <c r="B144">
        <v>8</v>
      </c>
      <c r="C144" t="s">
        <v>325</v>
      </c>
      <c r="D144" s="4">
        <v>10000000</v>
      </c>
      <c r="E144" s="4">
        <v>50000000</v>
      </c>
      <c r="F144" s="4">
        <v>100000000</v>
      </c>
    </row>
    <row r="145" spans="1:6" x14ac:dyDescent="0.35">
      <c r="A145">
        <v>6</v>
      </c>
      <c r="B145">
        <v>9</v>
      </c>
      <c r="C145" t="s">
        <v>326</v>
      </c>
      <c r="D145" s="4">
        <v>48</v>
      </c>
      <c r="E145" s="4">
        <v>360</v>
      </c>
      <c r="F145" s="4">
        <v>1080</v>
      </c>
    </row>
    <row r="146" spans="1:6" x14ac:dyDescent="0.35">
      <c r="A146">
        <v>6</v>
      </c>
      <c r="B146">
        <v>10</v>
      </c>
      <c r="C146" t="s">
        <v>327</v>
      </c>
      <c r="D146" s="4">
        <v>90</v>
      </c>
      <c r="E146" s="4">
        <v>120</v>
      </c>
      <c r="F146" s="4">
        <v>150</v>
      </c>
    </row>
    <row r="147" spans="1:6" x14ac:dyDescent="0.35">
      <c r="A147">
        <v>6</v>
      </c>
      <c r="B147">
        <v>11</v>
      </c>
      <c r="C147" t="s">
        <v>1046</v>
      </c>
      <c r="D147" s="4">
        <v>10</v>
      </c>
      <c r="E147" s="4">
        <v>15</v>
      </c>
      <c r="F147" s="4">
        <v>25</v>
      </c>
    </row>
    <row r="148" spans="1:6" x14ac:dyDescent="0.35">
      <c r="A148">
        <v>6</v>
      </c>
      <c r="B148">
        <v>12</v>
      </c>
      <c r="C148" t="s">
        <v>328</v>
      </c>
      <c r="D148" s="4">
        <v>96</v>
      </c>
      <c r="E148" s="4">
        <v>240</v>
      </c>
      <c r="F148" s="4">
        <v>360</v>
      </c>
    </row>
    <row r="149" spans="1:6" x14ac:dyDescent="0.35">
      <c r="A149">
        <v>6</v>
      </c>
      <c r="B149">
        <v>13</v>
      </c>
      <c r="C149" t="s">
        <v>329</v>
      </c>
      <c r="D149" s="4">
        <v>8000</v>
      </c>
      <c r="E149" s="4">
        <v>9000</v>
      </c>
      <c r="F149" s="4">
        <v>10000</v>
      </c>
    </row>
    <row r="150" spans="1:6" x14ac:dyDescent="0.35">
      <c r="A150">
        <v>6</v>
      </c>
      <c r="B150">
        <v>14</v>
      </c>
      <c r="C150" t="s">
        <v>1059</v>
      </c>
      <c r="D150" s="4">
        <v>0.2</v>
      </c>
      <c r="E150" s="4">
        <v>0.25</v>
      </c>
      <c r="F150" s="4">
        <v>0.28000000000000003</v>
      </c>
    </row>
    <row r="151" spans="1:6" x14ac:dyDescent="0.35">
      <c r="A151">
        <v>6</v>
      </c>
      <c r="B151">
        <v>15</v>
      </c>
      <c r="C151" t="s">
        <v>1060</v>
      </c>
      <c r="D151" s="4">
        <v>1830</v>
      </c>
      <c r="E151" s="4">
        <v>1840</v>
      </c>
      <c r="F151" s="4">
        <v>1850</v>
      </c>
    </row>
    <row r="152" spans="1:6" x14ac:dyDescent="0.35">
      <c r="A152">
        <v>6</v>
      </c>
      <c r="B152">
        <v>16</v>
      </c>
      <c r="C152" t="s">
        <v>1061</v>
      </c>
      <c r="D152" s="4">
        <v>15</v>
      </c>
      <c r="E152" s="4">
        <v>20</v>
      </c>
      <c r="F152" s="4">
        <v>30</v>
      </c>
    </row>
    <row r="153" spans="1:6" x14ac:dyDescent="0.35">
      <c r="A153">
        <v>6</v>
      </c>
      <c r="B153">
        <v>17</v>
      </c>
      <c r="C153" t="s">
        <v>1062</v>
      </c>
      <c r="D153" s="4">
        <v>30</v>
      </c>
      <c r="E153" s="4">
        <v>40</v>
      </c>
      <c r="F153" s="4">
        <v>50</v>
      </c>
    </row>
    <row r="154" spans="1:6" x14ac:dyDescent="0.35">
      <c r="A154">
        <v>6</v>
      </c>
      <c r="B154">
        <v>18</v>
      </c>
      <c r="C154" t="s">
        <v>1063</v>
      </c>
      <c r="D154" s="4">
        <v>40</v>
      </c>
      <c r="E154" s="4">
        <v>60</v>
      </c>
      <c r="F154" s="4">
        <v>80</v>
      </c>
    </row>
    <row r="155" spans="1:6" x14ac:dyDescent="0.35">
      <c r="A155">
        <v>6</v>
      </c>
      <c r="B155">
        <v>19</v>
      </c>
      <c r="C155" t="s">
        <v>1064</v>
      </c>
      <c r="D155" s="4">
        <v>700</v>
      </c>
      <c r="E155" s="4">
        <v>900</v>
      </c>
      <c r="F155" s="4">
        <v>1500</v>
      </c>
    </row>
    <row r="156" spans="1:6" x14ac:dyDescent="0.35">
      <c r="A156">
        <v>6</v>
      </c>
      <c r="B156">
        <v>20</v>
      </c>
      <c r="C156" t="s">
        <v>1065</v>
      </c>
      <c r="D156" s="4">
        <v>10</v>
      </c>
      <c r="E156" s="4">
        <v>40</v>
      </c>
      <c r="F156" s="4">
        <v>60</v>
      </c>
    </row>
    <row r="157" spans="1:6" x14ac:dyDescent="0.35">
      <c r="A157">
        <v>6</v>
      </c>
      <c r="B157">
        <v>21</v>
      </c>
      <c r="C157" t="s">
        <v>1066</v>
      </c>
      <c r="D157" s="4">
        <v>48</v>
      </c>
      <c r="E157" s="4">
        <v>144</v>
      </c>
      <c r="F157" s="4">
        <v>336</v>
      </c>
    </row>
    <row r="158" spans="1:6" x14ac:dyDescent="0.35">
      <c r="A158">
        <v>6</v>
      </c>
      <c r="B158">
        <v>22</v>
      </c>
      <c r="C158" t="s">
        <v>1067</v>
      </c>
      <c r="D158" s="4">
        <v>7</v>
      </c>
      <c r="E158" s="4">
        <v>7.5</v>
      </c>
      <c r="F158" s="4">
        <v>8</v>
      </c>
    </row>
    <row r="159" spans="1:6" x14ac:dyDescent="0.35">
      <c r="A159">
        <v>6</v>
      </c>
      <c r="B159">
        <v>23</v>
      </c>
      <c r="C159" t="s">
        <v>1068</v>
      </c>
      <c r="D159" s="4">
        <v>50</v>
      </c>
      <c r="E159" s="4">
        <v>100</v>
      </c>
      <c r="F159" s="4">
        <v>150</v>
      </c>
    </row>
    <row r="160" spans="1:6" x14ac:dyDescent="0.35">
      <c r="A160">
        <v>6</v>
      </c>
      <c r="B160">
        <v>24</v>
      </c>
      <c r="C160" t="s">
        <v>1069</v>
      </c>
      <c r="D160" s="4">
        <v>50</v>
      </c>
      <c r="E160" s="4">
        <v>200</v>
      </c>
      <c r="F160" s="4">
        <v>400</v>
      </c>
    </row>
    <row r="161" spans="1:6" x14ac:dyDescent="0.35">
      <c r="A161">
        <v>6</v>
      </c>
      <c r="B161">
        <v>25</v>
      </c>
      <c r="C161" t="s">
        <v>1070</v>
      </c>
      <c r="D161" s="4">
        <v>24</v>
      </c>
      <c r="E161" s="4">
        <v>48</v>
      </c>
      <c r="F161" s="4">
        <v>96</v>
      </c>
    </row>
    <row r="162" spans="1:6" x14ac:dyDescent="0.35">
      <c r="A162">
        <v>6</v>
      </c>
      <c r="B162">
        <v>26</v>
      </c>
      <c r="C162" t="s">
        <v>1071</v>
      </c>
      <c r="D162" s="4">
        <v>45</v>
      </c>
      <c r="E162" s="4">
        <v>75</v>
      </c>
      <c r="F162" s="4">
        <v>80</v>
      </c>
    </row>
    <row r="163" spans="1:6" x14ac:dyDescent="0.35">
      <c r="A163">
        <v>6</v>
      </c>
      <c r="B163">
        <v>27</v>
      </c>
      <c r="C163" t="s">
        <v>1072</v>
      </c>
      <c r="D163" s="4">
        <v>15</v>
      </c>
      <c r="E163" s="4">
        <v>17</v>
      </c>
      <c r="F163" s="4">
        <v>24</v>
      </c>
    </row>
    <row r="164" spans="1:6" x14ac:dyDescent="0.35">
      <c r="A164">
        <v>7</v>
      </c>
      <c r="B164">
        <v>1</v>
      </c>
      <c r="C164" t="s">
        <v>318</v>
      </c>
      <c r="D164" s="4">
        <v>1978</v>
      </c>
      <c r="E164" s="4">
        <v>1979</v>
      </c>
      <c r="F164" s="4">
        <v>1980</v>
      </c>
    </row>
    <row r="165" spans="1:6" x14ac:dyDescent="0.35">
      <c r="A165">
        <v>7</v>
      </c>
      <c r="B165">
        <v>2</v>
      </c>
      <c r="C165" t="s">
        <v>319</v>
      </c>
      <c r="D165" s="4">
        <v>11000</v>
      </c>
      <c r="E165" s="4">
        <v>11500</v>
      </c>
      <c r="F165" s="4">
        <v>12000</v>
      </c>
    </row>
    <row r="166" spans="1:6" x14ac:dyDescent="0.35">
      <c r="A166">
        <v>7</v>
      </c>
      <c r="B166">
        <v>3</v>
      </c>
      <c r="C166" t="s">
        <v>320</v>
      </c>
      <c r="D166" s="4">
        <v>3000</v>
      </c>
      <c r="E166" s="4">
        <v>3050</v>
      </c>
      <c r="F166" s="4">
        <v>3100</v>
      </c>
    </row>
    <row r="167" spans="1:6" x14ac:dyDescent="0.35">
      <c r="A167">
        <v>7</v>
      </c>
      <c r="B167">
        <v>4</v>
      </c>
      <c r="C167" t="s">
        <v>321</v>
      </c>
      <c r="D167" s="4">
        <v>5</v>
      </c>
      <c r="E167" s="4">
        <v>7</v>
      </c>
      <c r="F167" s="4">
        <v>10</v>
      </c>
    </row>
    <row r="168" spans="1:6" x14ac:dyDescent="0.35">
      <c r="A168">
        <v>7</v>
      </c>
      <c r="B168">
        <v>5</v>
      </c>
      <c r="C168" t="s">
        <v>322</v>
      </c>
      <c r="D168" s="4">
        <v>1</v>
      </c>
      <c r="E168" s="4">
        <v>2</v>
      </c>
      <c r="F168" s="4">
        <v>3</v>
      </c>
    </row>
    <row r="169" spans="1:6" x14ac:dyDescent="0.35">
      <c r="A169">
        <v>7</v>
      </c>
      <c r="B169">
        <v>6</v>
      </c>
      <c r="C169" t="s">
        <v>323</v>
      </c>
      <c r="D169" s="4">
        <v>5</v>
      </c>
      <c r="E169" s="4">
        <v>7</v>
      </c>
      <c r="F169" s="4">
        <v>9</v>
      </c>
    </row>
    <row r="170" spans="1:6" x14ac:dyDescent="0.35">
      <c r="A170">
        <v>7</v>
      </c>
      <c r="B170">
        <v>7</v>
      </c>
      <c r="C170" t="s">
        <v>324</v>
      </c>
      <c r="D170" s="4">
        <v>2</v>
      </c>
      <c r="E170" s="4">
        <v>3</v>
      </c>
      <c r="F170" s="4">
        <v>4</v>
      </c>
    </row>
    <row r="171" spans="1:6" x14ac:dyDescent="0.35">
      <c r="A171">
        <v>7</v>
      </c>
      <c r="B171">
        <v>8</v>
      </c>
      <c r="C171" t="s">
        <v>325</v>
      </c>
      <c r="D171" s="4">
        <v>100000</v>
      </c>
      <c r="E171" s="4">
        <v>1000000</v>
      </c>
      <c r="F171" s="4">
        <v>10000000</v>
      </c>
    </row>
    <row r="172" spans="1:6" x14ac:dyDescent="0.35">
      <c r="A172">
        <v>7</v>
      </c>
      <c r="B172">
        <v>9</v>
      </c>
      <c r="C172" t="s">
        <v>326</v>
      </c>
      <c r="D172" s="4">
        <v>720</v>
      </c>
      <c r="E172" s="4">
        <v>960</v>
      </c>
      <c r="F172" s="4">
        <v>1200</v>
      </c>
    </row>
    <row r="173" spans="1:6" x14ac:dyDescent="0.35">
      <c r="A173">
        <v>7</v>
      </c>
      <c r="B173">
        <v>10</v>
      </c>
      <c r="C173" t="s">
        <v>327</v>
      </c>
      <c r="D173" s="4">
        <v>300</v>
      </c>
      <c r="E173" s="4">
        <v>400</v>
      </c>
      <c r="F173" s="4">
        <v>500</v>
      </c>
    </row>
    <row r="174" spans="1:6" x14ac:dyDescent="0.35">
      <c r="A174">
        <v>7</v>
      </c>
      <c r="B174">
        <v>11</v>
      </c>
      <c r="C174" t="s">
        <v>1046</v>
      </c>
      <c r="D174" s="4">
        <v>30</v>
      </c>
      <c r="E174" s="4">
        <v>40</v>
      </c>
      <c r="F174" s="4">
        <v>50</v>
      </c>
    </row>
    <row r="175" spans="1:6" x14ac:dyDescent="0.35">
      <c r="A175">
        <v>7</v>
      </c>
      <c r="B175">
        <v>12</v>
      </c>
      <c r="C175" t="s">
        <v>328</v>
      </c>
      <c r="D175" s="4">
        <v>0.5</v>
      </c>
      <c r="E175" s="4">
        <v>1</v>
      </c>
      <c r="F175" s="4">
        <v>1.5</v>
      </c>
    </row>
    <row r="176" spans="1:6" x14ac:dyDescent="0.35">
      <c r="A176">
        <v>7</v>
      </c>
      <c r="B176">
        <v>13</v>
      </c>
      <c r="C176" t="s">
        <v>329</v>
      </c>
      <c r="D176" s="4">
        <v>8000</v>
      </c>
      <c r="E176" s="4">
        <v>35000</v>
      </c>
      <c r="F176" s="4">
        <v>40000</v>
      </c>
    </row>
    <row r="177" spans="1:6" x14ac:dyDescent="0.35">
      <c r="A177">
        <v>7</v>
      </c>
      <c r="B177">
        <v>14</v>
      </c>
      <c r="C177" t="s">
        <v>1059</v>
      </c>
      <c r="D177" s="4">
        <v>30</v>
      </c>
      <c r="E177" s="4">
        <v>35</v>
      </c>
      <c r="F177" s="4">
        <v>40</v>
      </c>
    </row>
    <row r="178" spans="1:6" x14ac:dyDescent="0.35">
      <c r="A178">
        <v>7</v>
      </c>
      <c r="B178">
        <v>15</v>
      </c>
      <c r="C178" t="s">
        <v>1060</v>
      </c>
      <c r="D178" s="4">
        <v>1800</v>
      </c>
      <c r="E178" s="4">
        <v>1850</v>
      </c>
      <c r="F178" s="4">
        <v>1900</v>
      </c>
    </row>
    <row r="179" spans="1:6" x14ac:dyDescent="0.35">
      <c r="A179">
        <v>7</v>
      </c>
      <c r="B179">
        <v>16</v>
      </c>
      <c r="C179" t="s">
        <v>1061</v>
      </c>
      <c r="D179" s="4">
        <v>5</v>
      </c>
      <c r="E179" s="4">
        <v>10</v>
      </c>
      <c r="F179" s="4">
        <v>15</v>
      </c>
    </row>
    <row r="180" spans="1:6" x14ac:dyDescent="0.35">
      <c r="A180">
        <v>7</v>
      </c>
      <c r="B180">
        <v>17</v>
      </c>
      <c r="C180" t="s">
        <v>1062</v>
      </c>
      <c r="D180" s="4">
        <v>70</v>
      </c>
      <c r="E180" s="4">
        <v>80</v>
      </c>
      <c r="F180" s="4">
        <v>90</v>
      </c>
    </row>
    <row r="181" spans="1:6" x14ac:dyDescent="0.35">
      <c r="A181">
        <v>7</v>
      </c>
      <c r="B181">
        <v>18</v>
      </c>
      <c r="C181" t="s">
        <v>1063</v>
      </c>
      <c r="D181" s="4">
        <v>10</v>
      </c>
      <c r="E181" s="4">
        <v>20</v>
      </c>
      <c r="F181" s="4">
        <v>30</v>
      </c>
    </row>
    <row r="182" spans="1:6" x14ac:dyDescent="0.35">
      <c r="A182">
        <v>7</v>
      </c>
      <c r="B182">
        <v>19</v>
      </c>
      <c r="C182" t="s">
        <v>1064</v>
      </c>
      <c r="D182" s="4">
        <v>30</v>
      </c>
      <c r="E182" s="4">
        <v>50</v>
      </c>
      <c r="F182" s="4">
        <v>100</v>
      </c>
    </row>
    <row r="183" spans="1:6" x14ac:dyDescent="0.35">
      <c r="A183">
        <v>7</v>
      </c>
      <c r="B183">
        <v>20</v>
      </c>
      <c r="C183" t="s">
        <v>1065</v>
      </c>
      <c r="D183" s="4">
        <v>80</v>
      </c>
      <c r="E183" s="4">
        <v>90</v>
      </c>
      <c r="F183" s="4">
        <v>100</v>
      </c>
    </row>
    <row r="184" spans="1:6" x14ac:dyDescent="0.35">
      <c r="A184">
        <v>7</v>
      </c>
      <c r="B184">
        <v>21</v>
      </c>
      <c r="C184" t="s">
        <v>1066</v>
      </c>
      <c r="D184" s="4">
        <v>72</v>
      </c>
      <c r="E184" s="4">
        <v>120</v>
      </c>
      <c r="F184" s="4">
        <v>240</v>
      </c>
    </row>
    <row r="185" spans="1:6" x14ac:dyDescent="0.35">
      <c r="A185">
        <v>7</v>
      </c>
      <c r="B185">
        <v>22</v>
      </c>
      <c r="C185" t="s">
        <v>1067</v>
      </c>
      <c r="D185" s="4">
        <v>1.7</v>
      </c>
      <c r="E185" s="4">
        <v>2</v>
      </c>
      <c r="F185" s="4">
        <v>2.2999999999999998</v>
      </c>
    </row>
    <row r="186" spans="1:6" x14ac:dyDescent="0.35">
      <c r="A186">
        <v>7</v>
      </c>
      <c r="B186">
        <v>23</v>
      </c>
      <c r="C186" t="s">
        <v>1068</v>
      </c>
      <c r="D186" s="4">
        <v>20</v>
      </c>
      <c r="E186" s="4">
        <v>25</v>
      </c>
      <c r="F186" s="4">
        <v>30</v>
      </c>
    </row>
    <row r="187" spans="1:6" x14ac:dyDescent="0.35">
      <c r="A187">
        <v>7</v>
      </c>
      <c r="B187">
        <v>24</v>
      </c>
      <c r="C187" t="s">
        <v>1069</v>
      </c>
      <c r="D187" s="4">
        <v>50</v>
      </c>
      <c r="E187" s="4">
        <v>100</v>
      </c>
      <c r="F187" s="4">
        <v>500</v>
      </c>
    </row>
    <row r="188" spans="1:6" x14ac:dyDescent="0.35">
      <c r="A188">
        <v>7</v>
      </c>
      <c r="B188">
        <v>25</v>
      </c>
      <c r="C188" t="s">
        <v>1070</v>
      </c>
      <c r="D188" s="4">
        <v>120</v>
      </c>
      <c r="E188" s="4">
        <v>240</v>
      </c>
      <c r="F188" s="4">
        <v>360</v>
      </c>
    </row>
    <row r="189" spans="1:6" x14ac:dyDescent="0.35">
      <c r="A189">
        <v>7</v>
      </c>
      <c r="B189">
        <v>26</v>
      </c>
      <c r="C189" t="s">
        <v>1071</v>
      </c>
      <c r="D189" s="4">
        <v>60</v>
      </c>
      <c r="E189" s="4">
        <v>80</v>
      </c>
      <c r="F189" s="4">
        <v>100</v>
      </c>
    </row>
    <row r="190" spans="1:6" x14ac:dyDescent="0.35">
      <c r="A190">
        <v>7</v>
      </c>
      <c r="B190">
        <v>27</v>
      </c>
      <c r="C190" t="s">
        <v>1072</v>
      </c>
      <c r="D190" s="4">
        <v>15</v>
      </c>
      <c r="E190" s="4">
        <v>16</v>
      </c>
      <c r="F190" s="4">
        <v>17</v>
      </c>
    </row>
    <row r="191" spans="1:6" x14ac:dyDescent="0.35">
      <c r="A191">
        <v>8</v>
      </c>
      <c r="B191">
        <v>1</v>
      </c>
      <c r="C191" t="s">
        <v>318</v>
      </c>
      <c r="D191" s="4">
        <v>1978</v>
      </c>
      <c r="E191" s="4">
        <v>1979</v>
      </c>
      <c r="F191" s="4">
        <v>1980</v>
      </c>
    </row>
    <row r="192" spans="1:6" x14ac:dyDescent="0.35">
      <c r="A192">
        <v>8</v>
      </c>
      <c r="B192">
        <v>2</v>
      </c>
      <c r="C192" t="s">
        <v>319</v>
      </c>
      <c r="D192" s="4">
        <v>9000</v>
      </c>
      <c r="E192" s="4">
        <v>9500</v>
      </c>
      <c r="F192" s="4">
        <v>10000</v>
      </c>
    </row>
    <row r="193" spans="1:6" x14ac:dyDescent="0.35">
      <c r="A193">
        <v>8</v>
      </c>
      <c r="B193">
        <v>3</v>
      </c>
      <c r="C193" t="s">
        <v>320</v>
      </c>
      <c r="D193" s="4">
        <v>3050</v>
      </c>
      <c r="E193" s="4">
        <v>3070</v>
      </c>
      <c r="F193" s="4">
        <v>3080</v>
      </c>
    </row>
    <row r="194" spans="1:6" x14ac:dyDescent="0.35">
      <c r="A194">
        <v>8</v>
      </c>
      <c r="B194">
        <v>4</v>
      </c>
      <c r="C194" t="s">
        <v>321</v>
      </c>
      <c r="D194" s="4">
        <v>1</v>
      </c>
      <c r="E194" s="4">
        <v>5</v>
      </c>
      <c r="F194" s="4">
        <v>10</v>
      </c>
    </row>
    <row r="195" spans="1:6" x14ac:dyDescent="0.35">
      <c r="A195">
        <v>8</v>
      </c>
      <c r="B195">
        <v>5</v>
      </c>
      <c r="C195" t="s">
        <v>322</v>
      </c>
      <c r="D195" s="4">
        <v>5</v>
      </c>
      <c r="E195" s="4">
        <v>7</v>
      </c>
      <c r="F195" s="4">
        <v>10</v>
      </c>
    </row>
    <row r="196" spans="1:6" x14ac:dyDescent="0.35">
      <c r="A196">
        <v>8</v>
      </c>
      <c r="B196">
        <v>6</v>
      </c>
      <c r="C196" t="s">
        <v>323</v>
      </c>
      <c r="D196" s="4">
        <v>15</v>
      </c>
      <c r="E196" s="4">
        <v>25</v>
      </c>
      <c r="F196" s="4">
        <v>30</v>
      </c>
    </row>
    <row r="197" spans="1:6" x14ac:dyDescent="0.35">
      <c r="A197">
        <v>8</v>
      </c>
      <c r="B197">
        <v>7</v>
      </c>
      <c r="C197" t="s">
        <v>324</v>
      </c>
      <c r="D197" s="4">
        <v>15</v>
      </c>
      <c r="E197" s="4">
        <v>20</v>
      </c>
      <c r="F197" s="4">
        <v>25</v>
      </c>
    </row>
    <row r="198" spans="1:6" x14ac:dyDescent="0.35">
      <c r="A198">
        <v>8</v>
      </c>
      <c r="B198">
        <v>8</v>
      </c>
      <c r="C198" t="s">
        <v>325</v>
      </c>
      <c r="D198" s="4">
        <v>200</v>
      </c>
      <c r="E198" s="4">
        <v>250</v>
      </c>
      <c r="F198" s="4">
        <v>300</v>
      </c>
    </row>
    <row r="199" spans="1:6" x14ac:dyDescent="0.35">
      <c r="A199">
        <v>8</v>
      </c>
      <c r="B199">
        <v>9</v>
      </c>
      <c r="C199" t="s">
        <v>326</v>
      </c>
      <c r="D199" s="4">
        <v>336</v>
      </c>
      <c r="E199" s="4">
        <v>720</v>
      </c>
      <c r="F199" s="4">
        <v>1464</v>
      </c>
    </row>
    <row r="200" spans="1:6" x14ac:dyDescent="0.35">
      <c r="A200">
        <v>8</v>
      </c>
      <c r="B200">
        <v>10</v>
      </c>
      <c r="C200" t="s">
        <v>327</v>
      </c>
      <c r="D200" s="4">
        <v>80</v>
      </c>
      <c r="E200" s="4">
        <v>100</v>
      </c>
      <c r="F200" s="4">
        <v>110</v>
      </c>
    </row>
    <row r="201" spans="1:6" x14ac:dyDescent="0.35">
      <c r="A201">
        <v>8</v>
      </c>
      <c r="B201">
        <v>11</v>
      </c>
      <c r="C201" t="s">
        <v>1046</v>
      </c>
      <c r="D201" s="4">
        <v>5</v>
      </c>
      <c r="E201" s="4">
        <v>7</v>
      </c>
      <c r="F201" s="4">
        <v>10</v>
      </c>
    </row>
    <row r="202" spans="1:6" x14ac:dyDescent="0.35">
      <c r="A202">
        <v>8</v>
      </c>
      <c r="B202">
        <v>12</v>
      </c>
      <c r="C202" t="s">
        <v>328</v>
      </c>
      <c r="D202" s="4">
        <v>7</v>
      </c>
      <c r="E202" s="4">
        <v>10</v>
      </c>
      <c r="F202" s="4">
        <v>15</v>
      </c>
    </row>
    <row r="203" spans="1:6" x14ac:dyDescent="0.35">
      <c r="A203">
        <v>8</v>
      </c>
      <c r="B203">
        <v>13</v>
      </c>
      <c r="C203" t="s">
        <v>329</v>
      </c>
      <c r="D203" s="4">
        <v>9000</v>
      </c>
      <c r="E203" s="4">
        <v>9500</v>
      </c>
      <c r="F203" s="4">
        <v>10000</v>
      </c>
    </row>
    <row r="204" spans="1:6" x14ac:dyDescent="0.35">
      <c r="A204">
        <v>8</v>
      </c>
      <c r="B204">
        <v>14</v>
      </c>
      <c r="C204" t="s">
        <v>1059</v>
      </c>
      <c r="D204" s="4">
        <v>15</v>
      </c>
      <c r="E204" s="4">
        <v>20</v>
      </c>
      <c r="F204" s="4">
        <v>25</v>
      </c>
    </row>
    <row r="205" spans="1:6" x14ac:dyDescent="0.35">
      <c r="A205">
        <v>8</v>
      </c>
      <c r="B205">
        <v>15</v>
      </c>
      <c r="C205" t="s">
        <v>1060</v>
      </c>
      <c r="D205" s="4">
        <v>1840</v>
      </c>
      <c r="E205" s="4">
        <v>1860</v>
      </c>
      <c r="F205" s="4">
        <v>1880</v>
      </c>
    </row>
    <row r="206" spans="1:6" x14ac:dyDescent="0.35">
      <c r="A206">
        <v>8</v>
      </c>
      <c r="B206">
        <v>16</v>
      </c>
      <c r="C206" t="s">
        <v>1061</v>
      </c>
      <c r="D206" s="4">
        <v>40</v>
      </c>
      <c r="E206" s="4">
        <v>50</v>
      </c>
      <c r="F206" s="4">
        <v>60</v>
      </c>
    </row>
    <row r="207" spans="1:6" x14ac:dyDescent="0.35">
      <c r="A207">
        <v>8</v>
      </c>
      <c r="B207">
        <v>17</v>
      </c>
      <c r="C207" t="s">
        <v>1062</v>
      </c>
      <c r="D207" s="4">
        <v>50</v>
      </c>
      <c r="E207" s="4">
        <v>60</v>
      </c>
      <c r="F207" s="4">
        <v>70</v>
      </c>
    </row>
    <row r="208" spans="1:6" x14ac:dyDescent="0.35">
      <c r="A208">
        <v>8</v>
      </c>
      <c r="B208">
        <v>18</v>
      </c>
      <c r="C208" t="s">
        <v>1063</v>
      </c>
      <c r="D208" s="4">
        <v>20</v>
      </c>
      <c r="E208" s="4">
        <v>30</v>
      </c>
      <c r="F208" s="4">
        <v>40</v>
      </c>
    </row>
    <row r="209" spans="1:6" x14ac:dyDescent="0.35">
      <c r="A209">
        <v>8</v>
      </c>
      <c r="B209">
        <v>19</v>
      </c>
      <c r="C209" t="s">
        <v>1064</v>
      </c>
      <c r="D209" s="4">
        <v>100</v>
      </c>
      <c r="E209" s="4">
        <v>250</v>
      </c>
      <c r="F209" s="4">
        <v>400</v>
      </c>
    </row>
    <row r="210" spans="1:6" x14ac:dyDescent="0.35">
      <c r="A210">
        <v>8</v>
      </c>
      <c r="B210">
        <v>20</v>
      </c>
      <c r="C210" t="s">
        <v>1065</v>
      </c>
      <c r="D210" s="4">
        <v>100</v>
      </c>
      <c r="E210" s="4">
        <v>110</v>
      </c>
      <c r="F210" s="4">
        <v>120</v>
      </c>
    </row>
    <row r="211" spans="1:6" x14ac:dyDescent="0.35">
      <c r="A211">
        <v>8</v>
      </c>
      <c r="B211">
        <v>21</v>
      </c>
      <c r="C211" t="s">
        <v>1066</v>
      </c>
      <c r="D211" s="4">
        <v>168</v>
      </c>
      <c r="E211" s="4">
        <v>504</v>
      </c>
      <c r="F211" s="4">
        <v>1008</v>
      </c>
    </row>
    <row r="212" spans="1:6" x14ac:dyDescent="0.35">
      <c r="A212">
        <v>8</v>
      </c>
      <c r="B212">
        <v>22</v>
      </c>
      <c r="C212" t="s">
        <v>1067</v>
      </c>
      <c r="D212" s="4">
        <v>10</v>
      </c>
      <c r="E212" s="4">
        <v>12</v>
      </c>
      <c r="F212" s="4">
        <v>15</v>
      </c>
    </row>
    <row r="213" spans="1:6" x14ac:dyDescent="0.35">
      <c r="A213">
        <v>8</v>
      </c>
      <c r="B213">
        <v>23</v>
      </c>
      <c r="C213" t="s">
        <v>1068</v>
      </c>
      <c r="D213" s="4">
        <v>5</v>
      </c>
      <c r="E213" s="4">
        <v>15</v>
      </c>
      <c r="F213" s="4">
        <v>30</v>
      </c>
    </row>
    <row r="214" spans="1:6" x14ac:dyDescent="0.35">
      <c r="A214">
        <v>8</v>
      </c>
      <c r="B214">
        <v>24</v>
      </c>
      <c r="C214" t="s">
        <v>1069</v>
      </c>
      <c r="D214" s="4">
        <v>100</v>
      </c>
      <c r="E214" s="4">
        <v>250</v>
      </c>
      <c r="F214" s="4">
        <v>500</v>
      </c>
    </row>
    <row r="215" spans="1:6" x14ac:dyDescent="0.35">
      <c r="A215">
        <v>8</v>
      </c>
      <c r="B215">
        <v>25</v>
      </c>
      <c r="C215" t="s">
        <v>1070</v>
      </c>
      <c r="D215" s="4">
        <v>48</v>
      </c>
      <c r="E215" s="4">
        <v>168</v>
      </c>
      <c r="F215" s="4">
        <v>336</v>
      </c>
    </row>
    <row r="216" spans="1:6" x14ac:dyDescent="0.35">
      <c r="A216">
        <v>8</v>
      </c>
      <c r="B216">
        <v>26</v>
      </c>
      <c r="C216" t="s">
        <v>1071</v>
      </c>
      <c r="D216" s="4">
        <v>30</v>
      </c>
      <c r="E216" s="4">
        <v>40</v>
      </c>
      <c r="F216" s="4">
        <v>50</v>
      </c>
    </row>
    <row r="217" spans="1:6" x14ac:dyDescent="0.35">
      <c r="A217">
        <v>8</v>
      </c>
      <c r="B217">
        <v>27</v>
      </c>
      <c r="C217" t="s">
        <v>1072</v>
      </c>
      <c r="D217" s="4">
        <v>4</v>
      </c>
      <c r="E217" s="4">
        <v>5</v>
      </c>
      <c r="F217" s="4">
        <v>6</v>
      </c>
    </row>
    <row r="218" spans="1:6" x14ac:dyDescent="0.35">
      <c r="A218">
        <v>9</v>
      </c>
      <c r="B218">
        <v>1</v>
      </c>
      <c r="C218" t="s">
        <v>318</v>
      </c>
      <c r="D218" s="4">
        <v>1960</v>
      </c>
      <c r="E218" s="4">
        <v>1979</v>
      </c>
      <c r="F218" s="4">
        <v>1990</v>
      </c>
    </row>
    <row r="219" spans="1:6" x14ac:dyDescent="0.35">
      <c r="A219">
        <v>9</v>
      </c>
      <c r="B219">
        <v>2</v>
      </c>
      <c r="C219" t="s">
        <v>319</v>
      </c>
      <c r="D219" s="4">
        <v>6000</v>
      </c>
      <c r="E219" s="4">
        <v>9000</v>
      </c>
      <c r="F219" s="4">
        <v>12000</v>
      </c>
    </row>
    <row r="220" spans="1:6" x14ac:dyDescent="0.35">
      <c r="A220">
        <v>9</v>
      </c>
      <c r="B220">
        <v>3</v>
      </c>
      <c r="C220" t="s">
        <v>320</v>
      </c>
      <c r="D220" s="4">
        <v>1800</v>
      </c>
      <c r="E220" s="4">
        <v>2800</v>
      </c>
      <c r="F220" s="4">
        <v>3500</v>
      </c>
    </row>
    <row r="221" spans="1:6" x14ac:dyDescent="0.35">
      <c r="A221">
        <v>9</v>
      </c>
      <c r="B221">
        <v>4</v>
      </c>
      <c r="C221" t="s">
        <v>321</v>
      </c>
      <c r="D221" s="4">
        <v>15</v>
      </c>
      <c r="E221" s="4">
        <v>30</v>
      </c>
      <c r="F221" s="4">
        <v>60</v>
      </c>
    </row>
    <row r="222" spans="1:6" x14ac:dyDescent="0.35">
      <c r="A222">
        <v>9</v>
      </c>
      <c r="B222">
        <v>5</v>
      </c>
      <c r="C222" t="s">
        <v>322</v>
      </c>
      <c r="D222" s="4">
        <v>1</v>
      </c>
      <c r="E222" s="4">
        <v>3</v>
      </c>
      <c r="F222" s="4">
        <v>6</v>
      </c>
    </row>
    <row r="223" spans="1:6" x14ac:dyDescent="0.35">
      <c r="A223">
        <v>9</v>
      </c>
      <c r="B223">
        <v>6</v>
      </c>
      <c r="C223" t="s">
        <v>323</v>
      </c>
      <c r="D223" s="4">
        <v>5</v>
      </c>
      <c r="E223" s="4">
        <v>10</v>
      </c>
      <c r="F223" s="4">
        <v>20</v>
      </c>
    </row>
    <row r="224" spans="1:6" x14ac:dyDescent="0.35">
      <c r="A224">
        <v>9</v>
      </c>
      <c r="B224">
        <v>7</v>
      </c>
      <c r="C224" t="s">
        <v>324</v>
      </c>
      <c r="D224" s="4">
        <v>2</v>
      </c>
      <c r="E224" s="4">
        <v>10</v>
      </c>
      <c r="F224" s="4">
        <v>20</v>
      </c>
    </row>
    <row r="225" spans="1:6" x14ac:dyDescent="0.35">
      <c r="A225">
        <v>9</v>
      </c>
      <c r="B225">
        <v>8</v>
      </c>
      <c r="C225" t="s">
        <v>325</v>
      </c>
      <c r="D225" s="4">
        <v>20</v>
      </c>
      <c r="E225" s="4">
        <v>120</v>
      </c>
      <c r="F225" s="4">
        <v>180</v>
      </c>
    </row>
    <row r="226" spans="1:6" x14ac:dyDescent="0.35">
      <c r="A226">
        <v>9</v>
      </c>
      <c r="B226">
        <v>9</v>
      </c>
      <c r="C226" t="s">
        <v>326</v>
      </c>
      <c r="D226" s="4">
        <v>48</v>
      </c>
      <c r="E226" s="4">
        <v>480</v>
      </c>
      <c r="F226" s="4">
        <v>960</v>
      </c>
    </row>
    <row r="227" spans="1:6" x14ac:dyDescent="0.35">
      <c r="A227">
        <v>9</v>
      </c>
      <c r="B227">
        <v>10</v>
      </c>
      <c r="C227" t="s">
        <v>327</v>
      </c>
      <c r="D227" s="4">
        <v>80</v>
      </c>
      <c r="E227" s="4">
        <v>250</v>
      </c>
      <c r="F227" s="4">
        <v>280</v>
      </c>
    </row>
    <row r="228" spans="1:6" x14ac:dyDescent="0.35">
      <c r="A228">
        <v>9</v>
      </c>
      <c r="B228">
        <v>11</v>
      </c>
      <c r="C228" t="s">
        <v>1046</v>
      </c>
      <c r="D228" s="4">
        <v>20</v>
      </c>
      <c r="E228" s="4">
        <v>50</v>
      </c>
      <c r="F228" s="4">
        <v>80</v>
      </c>
    </row>
    <row r="229" spans="1:6" x14ac:dyDescent="0.35">
      <c r="A229">
        <v>9</v>
      </c>
      <c r="B229">
        <v>12</v>
      </c>
      <c r="C229" t="s">
        <v>328</v>
      </c>
      <c r="D229" s="4">
        <v>3</v>
      </c>
      <c r="E229" s="4">
        <v>12</v>
      </c>
      <c r="F229" s="4">
        <v>24</v>
      </c>
    </row>
    <row r="230" spans="1:6" x14ac:dyDescent="0.35">
      <c r="A230">
        <v>9</v>
      </c>
      <c r="B230">
        <v>13</v>
      </c>
      <c r="C230" t="s">
        <v>329</v>
      </c>
      <c r="D230" s="4">
        <v>6000</v>
      </c>
      <c r="E230" s="4">
        <v>12000</v>
      </c>
      <c r="F230" s="4">
        <v>25000</v>
      </c>
    </row>
    <row r="231" spans="1:6" x14ac:dyDescent="0.35">
      <c r="A231">
        <v>9</v>
      </c>
      <c r="B231">
        <v>14</v>
      </c>
      <c r="C231" t="s">
        <v>1059</v>
      </c>
      <c r="D231" s="4">
        <v>10</v>
      </c>
      <c r="E231" s="4">
        <v>25</v>
      </c>
      <c r="F231" s="4">
        <v>45</v>
      </c>
    </row>
    <row r="232" spans="1:6" x14ac:dyDescent="0.35">
      <c r="A232">
        <v>9</v>
      </c>
      <c r="B232">
        <v>15</v>
      </c>
      <c r="C232" t="s">
        <v>1060</v>
      </c>
      <c r="D232" s="4">
        <v>1825</v>
      </c>
      <c r="E232" s="4">
        <v>1879</v>
      </c>
      <c r="F232" s="4">
        <v>1930</v>
      </c>
    </row>
    <row r="233" spans="1:6" x14ac:dyDescent="0.35">
      <c r="A233">
        <v>9</v>
      </c>
      <c r="B233">
        <v>16</v>
      </c>
      <c r="C233" t="s">
        <v>1061</v>
      </c>
      <c r="D233" s="4">
        <v>10</v>
      </c>
      <c r="E233" s="4">
        <v>50</v>
      </c>
      <c r="F233" s="4">
        <v>80</v>
      </c>
    </row>
    <row r="234" spans="1:6" x14ac:dyDescent="0.35">
      <c r="A234">
        <v>9</v>
      </c>
      <c r="B234">
        <v>17</v>
      </c>
      <c r="C234" t="s">
        <v>1062</v>
      </c>
      <c r="D234" s="4">
        <v>5</v>
      </c>
      <c r="E234" s="4">
        <v>20</v>
      </c>
      <c r="F234" s="4">
        <v>60</v>
      </c>
    </row>
    <row r="235" spans="1:6" x14ac:dyDescent="0.35">
      <c r="A235">
        <v>9</v>
      </c>
      <c r="B235">
        <v>18</v>
      </c>
      <c r="C235" t="s">
        <v>1063</v>
      </c>
      <c r="D235" s="4">
        <v>2</v>
      </c>
      <c r="E235" s="4">
        <v>15</v>
      </c>
      <c r="F235" s="4">
        <v>30</v>
      </c>
    </row>
    <row r="236" spans="1:6" x14ac:dyDescent="0.35">
      <c r="A236">
        <v>9</v>
      </c>
      <c r="B236">
        <v>19</v>
      </c>
      <c r="C236" t="s">
        <v>1064</v>
      </c>
      <c r="D236" s="4">
        <v>100</v>
      </c>
      <c r="E236" s="4">
        <v>500</v>
      </c>
      <c r="F236" s="4">
        <v>2000</v>
      </c>
    </row>
    <row r="237" spans="1:6" x14ac:dyDescent="0.35">
      <c r="A237">
        <v>9</v>
      </c>
      <c r="B237">
        <v>20</v>
      </c>
      <c r="C237" t="s">
        <v>1065</v>
      </c>
      <c r="D237" s="4">
        <v>50</v>
      </c>
      <c r="E237" s="4">
        <v>80</v>
      </c>
      <c r="F237" s="4">
        <v>130</v>
      </c>
    </row>
    <row r="238" spans="1:6" x14ac:dyDescent="0.35">
      <c r="A238">
        <v>9</v>
      </c>
      <c r="B238">
        <v>21</v>
      </c>
      <c r="C238" t="s">
        <v>1066</v>
      </c>
      <c r="D238" s="4">
        <v>48</v>
      </c>
      <c r="E238" s="4">
        <v>480</v>
      </c>
      <c r="F238" s="4">
        <v>1440</v>
      </c>
    </row>
    <row r="239" spans="1:6" x14ac:dyDescent="0.35">
      <c r="A239">
        <v>9</v>
      </c>
      <c r="B239">
        <v>22</v>
      </c>
      <c r="C239" t="s">
        <v>1067</v>
      </c>
      <c r="D239" s="4">
        <v>10</v>
      </c>
      <c r="E239" s="4">
        <v>20</v>
      </c>
      <c r="F239" s="4">
        <v>30</v>
      </c>
    </row>
    <row r="240" spans="1:6" x14ac:dyDescent="0.35">
      <c r="A240">
        <v>9</v>
      </c>
      <c r="B240">
        <v>23</v>
      </c>
      <c r="C240" t="s">
        <v>1068</v>
      </c>
      <c r="D240" s="4">
        <v>20</v>
      </c>
      <c r="E240" s="4">
        <v>50</v>
      </c>
      <c r="F240" s="4">
        <v>80</v>
      </c>
    </row>
    <row r="241" spans="1:6" x14ac:dyDescent="0.35">
      <c r="A241">
        <v>9</v>
      </c>
      <c r="B241">
        <v>24</v>
      </c>
      <c r="C241" t="s">
        <v>1069</v>
      </c>
      <c r="D241" s="4">
        <v>50</v>
      </c>
      <c r="E241" s="4">
        <v>300</v>
      </c>
      <c r="F241" s="4">
        <v>600</v>
      </c>
    </row>
    <row r="242" spans="1:6" x14ac:dyDescent="0.35">
      <c r="A242">
        <v>9</v>
      </c>
      <c r="B242">
        <v>25</v>
      </c>
      <c r="C242" t="s">
        <v>1070</v>
      </c>
      <c r="D242" s="4">
        <v>48</v>
      </c>
      <c r="E242" s="4">
        <v>720</v>
      </c>
      <c r="F242" s="4">
        <v>4320</v>
      </c>
    </row>
    <row r="243" spans="1:6" x14ac:dyDescent="0.35">
      <c r="A243">
        <v>9</v>
      </c>
      <c r="B243">
        <v>26</v>
      </c>
      <c r="C243" t="s">
        <v>1071</v>
      </c>
      <c r="D243" s="4">
        <v>25</v>
      </c>
      <c r="E243" s="4">
        <v>80</v>
      </c>
      <c r="F243" s="4">
        <v>99.9</v>
      </c>
    </row>
    <row r="244" spans="1:6" x14ac:dyDescent="0.35">
      <c r="A244">
        <v>9</v>
      </c>
      <c r="B244">
        <v>27</v>
      </c>
      <c r="C244" t="s">
        <v>1072</v>
      </c>
      <c r="D244" s="4">
        <v>15</v>
      </c>
      <c r="E244" s="4">
        <v>24</v>
      </c>
      <c r="F244" s="4">
        <v>48</v>
      </c>
    </row>
    <row r="245" spans="1:6" x14ac:dyDescent="0.35">
      <c r="A245">
        <v>10</v>
      </c>
      <c r="B245">
        <v>1</v>
      </c>
      <c r="C245" t="s">
        <v>318</v>
      </c>
      <c r="D245" s="4">
        <v>1950</v>
      </c>
      <c r="E245" s="4">
        <v>1970</v>
      </c>
      <c r="F245" s="4">
        <v>1980</v>
      </c>
    </row>
    <row r="246" spans="1:6" x14ac:dyDescent="0.35">
      <c r="A246">
        <v>10</v>
      </c>
      <c r="B246">
        <v>2</v>
      </c>
      <c r="C246" t="s">
        <v>319</v>
      </c>
      <c r="D246" s="4">
        <v>5000</v>
      </c>
      <c r="E246" s="4">
        <v>10000</v>
      </c>
      <c r="F246" s="4">
        <v>20000</v>
      </c>
    </row>
    <row r="247" spans="1:6" x14ac:dyDescent="0.35">
      <c r="A247">
        <v>10</v>
      </c>
      <c r="B247">
        <v>3</v>
      </c>
      <c r="C247" t="s">
        <v>320</v>
      </c>
      <c r="D247" s="4">
        <v>2000</v>
      </c>
      <c r="E247" s="4">
        <v>3000</v>
      </c>
      <c r="F247" s="4">
        <v>4000</v>
      </c>
    </row>
    <row r="248" spans="1:6" x14ac:dyDescent="0.35">
      <c r="A248">
        <v>10</v>
      </c>
      <c r="B248">
        <v>4</v>
      </c>
      <c r="C248" t="s">
        <v>321</v>
      </c>
      <c r="D248" s="4">
        <v>10</v>
      </c>
      <c r="E248" s="4">
        <v>30</v>
      </c>
      <c r="F248" s="4">
        <v>40</v>
      </c>
    </row>
    <row r="249" spans="1:6" x14ac:dyDescent="0.35">
      <c r="A249">
        <v>10</v>
      </c>
      <c r="B249">
        <v>5</v>
      </c>
      <c r="C249" t="s">
        <v>322</v>
      </c>
      <c r="D249" s="4">
        <v>0</v>
      </c>
      <c r="E249" s="4">
        <v>0.1</v>
      </c>
      <c r="F249" s="4">
        <v>1</v>
      </c>
    </row>
    <row r="250" spans="1:6" x14ac:dyDescent="0.35">
      <c r="A250">
        <v>10</v>
      </c>
      <c r="B250">
        <v>6</v>
      </c>
      <c r="C250" t="s">
        <v>323</v>
      </c>
      <c r="D250" s="4">
        <v>10</v>
      </c>
      <c r="E250" s="4">
        <v>30</v>
      </c>
      <c r="F250" s="4">
        <v>40</v>
      </c>
    </row>
    <row r="251" spans="1:6" x14ac:dyDescent="0.35">
      <c r="A251">
        <v>10</v>
      </c>
      <c r="B251">
        <v>7</v>
      </c>
      <c r="C251" t="s">
        <v>324</v>
      </c>
      <c r="D251" s="4">
        <v>0</v>
      </c>
      <c r="E251" s="4">
        <v>0.1</v>
      </c>
      <c r="F251" s="4">
        <v>1</v>
      </c>
    </row>
    <row r="252" spans="1:6" x14ac:dyDescent="0.35">
      <c r="A252">
        <v>10</v>
      </c>
      <c r="B252">
        <v>8</v>
      </c>
      <c r="C252" t="s">
        <v>325</v>
      </c>
      <c r="D252" s="4">
        <v>10000000</v>
      </c>
      <c r="E252" s="4">
        <v>30000000</v>
      </c>
      <c r="F252" s="4">
        <v>50000000</v>
      </c>
    </row>
    <row r="253" spans="1:6" x14ac:dyDescent="0.35">
      <c r="A253">
        <v>10</v>
      </c>
      <c r="B253">
        <v>9</v>
      </c>
      <c r="C253" t="s">
        <v>326</v>
      </c>
      <c r="D253" s="4">
        <v>240</v>
      </c>
      <c r="E253" s="4">
        <v>1680</v>
      </c>
      <c r="F253" s="4">
        <v>3120</v>
      </c>
    </row>
    <row r="254" spans="1:6" x14ac:dyDescent="0.35">
      <c r="A254">
        <v>10</v>
      </c>
      <c r="B254">
        <v>10</v>
      </c>
      <c r="C254" t="s">
        <v>327</v>
      </c>
      <c r="D254" s="4">
        <v>100</v>
      </c>
      <c r="E254" s="4">
        <v>200</v>
      </c>
      <c r="F254" s="4">
        <v>400</v>
      </c>
    </row>
    <row r="255" spans="1:6" x14ac:dyDescent="0.35">
      <c r="A255">
        <v>10</v>
      </c>
      <c r="B255">
        <v>11</v>
      </c>
      <c r="C255" t="s">
        <v>1046</v>
      </c>
      <c r="D255" s="4">
        <v>30</v>
      </c>
      <c r="E255" s="4">
        <v>100</v>
      </c>
      <c r="F255" s="4">
        <v>150</v>
      </c>
    </row>
    <row r="256" spans="1:6" x14ac:dyDescent="0.35">
      <c r="A256">
        <v>10</v>
      </c>
      <c r="B256">
        <v>12</v>
      </c>
      <c r="C256" t="s">
        <v>328</v>
      </c>
      <c r="D256" s="4">
        <v>12</v>
      </c>
      <c r="E256" s="4">
        <v>24</v>
      </c>
      <c r="F256" s="4">
        <v>72</v>
      </c>
    </row>
    <row r="257" spans="1:6" x14ac:dyDescent="0.35">
      <c r="A257">
        <v>10</v>
      </c>
      <c r="B257">
        <v>13</v>
      </c>
      <c r="C257" t="s">
        <v>329</v>
      </c>
      <c r="D257" s="4">
        <v>8000</v>
      </c>
      <c r="E257" s="4">
        <v>10000</v>
      </c>
      <c r="F257" s="4">
        <v>13000</v>
      </c>
    </row>
    <row r="258" spans="1:6" x14ac:dyDescent="0.35">
      <c r="A258">
        <v>10</v>
      </c>
      <c r="B258">
        <v>14</v>
      </c>
      <c r="C258" t="s">
        <v>1059</v>
      </c>
      <c r="D258" s="4">
        <v>5</v>
      </c>
      <c r="E258" s="4">
        <v>15</v>
      </c>
      <c r="F258" s="4">
        <v>20</v>
      </c>
    </row>
    <row r="259" spans="1:6" x14ac:dyDescent="0.35">
      <c r="A259">
        <v>10</v>
      </c>
      <c r="B259">
        <v>15</v>
      </c>
      <c r="C259" t="s">
        <v>1060</v>
      </c>
      <c r="D259" s="4">
        <v>1800</v>
      </c>
      <c r="E259" s="4">
        <v>1900</v>
      </c>
      <c r="F259" s="4">
        <v>1950</v>
      </c>
    </row>
    <row r="260" spans="1:6" x14ac:dyDescent="0.35">
      <c r="A260">
        <v>10</v>
      </c>
      <c r="B260">
        <v>16</v>
      </c>
      <c r="C260" t="s">
        <v>1061</v>
      </c>
      <c r="D260" s="4">
        <v>40</v>
      </c>
      <c r="E260" s="4">
        <v>60</v>
      </c>
      <c r="F260" s="4">
        <v>70</v>
      </c>
    </row>
    <row r="261" spans="1:6" x14ac:dyDescent="0.35">
      <c r="A261">
        <v>10</v>
      </c>
      <c r="B261">
        <v>17</v>
      </c>
      <c r="C261" t="s">
        <v>1062</v>
      </c>
      <c r="D261" s="4">
        <v>10</v>
      </c>
      <c r="E261" s="4">
        <v>20</v>
      </c>
      <c r="F261" s="4">
        <v>30</v>
      </c>
    </row>
    <row r="262" spans="1:6" x14ac:dyDescent="0.35">
      <c r="A262">
        <v>10</v>
      </c>
      <c r="B262">
        <v>18</v>
      </c>
      <c r="C262" t="s">
        <v>1063</v>
      </c>
      <c r="D262" s="4">
        <v>10</v>
      </c>
      <c r="E262" s="4">
        <v>15</v>
      </c>
      <c r="F262" s="4">
        <v>20</v>
      </c>
    </row>
    <row r="263" spans="1:6" x14ac:dyDescent="0.35">
      <c r="A263">
        <v>10</v>
      </c>
      <c r="B263">
        <v>19</v>
      </c>
      <c r="C263" t="s">
        <v>1064</v>
      </c>
      <c r="D263" s="4">
        <v>200</v>
      </c>
      <c r="E263" s="4">
        <v>700</v>
      </c>
      <c r="F263" s="4">
        <v>1000</v>
      </c>
    </row>
    <row r="264" spans="1:6" x14ac:dyDescent="0.35">
      <c r="A264">
        <v>10</v>
      </c>
      <c r="B264">
        <v>20</v>
      </c>
      <c r="C264" t="s">
        <v>1065</v>
      </c>
      <c r="D264" s="4">
        <v>80</v>
      </c>
      <c r="E264" s="4">
        <v>100</v>
      </c>
      <c r="F264" s="4">
        <v>200</v>
      </c>
    </row>
    <row r="265" spans="1:6" x14ac:dyDescent="0.35">
      <c r="A265">
        <v>10</v>
      </c>
      <c r="B265">
        <v>21</v>
      </c>
      <c r="C265" t="s">
        <v>1066</v>
      </c>
      <c r="D265" s="4">
        <v>360</v>
      </c>
      <c r="E265" s="4">
        <v>720</v>
      </c>
      <c r="F265" s="4">
        <v>1440</v>
      </c>
    </row>
    <row r="266" spans="1:6" x14ac:dyDescent="0.35">
      <c r="A266">
        <v>10</v>
      </c>
      <c r="B266">
        <v>22</v>
      </c>
      <c r="C266" t="s">
        <v>1067</v>
      </c>
      <c r="D266" s="4">
        <v>6</v>
      </c>
      <c r="E266" s="4">
        <v>10</v>
      </c>
      <c r="F266" s="4">
        <v>14</v>
      </c>
    </row>
    <row r="267" spans="1:6" x14ac:dyDescent="0.35">
      <c r="A267">
        <v>10</v>
      </c>
      <c r="B267">
        <v>23</v>
      </c>
      <c r="C267" t="s">
        <v>1068</v>
      </c>
      <c r="D267" s="4">
        <v>15</v>
      </c>
      <c r="E267" s="4">
        <v>20</v>
      </c>
      <c r="F267" s="4">
        <v>40</v>
      </c>
    </row>
    <row r="268" spans="1:6" x14ac:dyDescent="0.35">
      <c r="A268">
        <v>10</v>
      </c>
      <c r="B268">
        <v>24</v>
      </c>
      <c r="C268" t="s">
        <v>1069</v>
      </c>
      <c r="D268" s="4">
        <v>100</v>
      </c>
      <c r="E268" s="4">
        <v>150</v>
      </c>
      <c r="F268" s="4">
        <v>300</v>
      </c>
    </row>
    <row r="269" spans="1:6" x14ac:dyDescent="0.35">
      <c r="A269">
        <v>10</v>
      </c>
      <c r="B269">
        <v>25</v>
      </c>
      <c r="C269" t="s">
        <v>1070</v>
      </c>
      <c r="D269" s="4">
        <v>24</v>
      </c>
      <c r="E269" s="4">
        <v>360</v>
      </c>
      <c r="F269" s="4">
        <v>720</v>
      </c>
    </row>
    <row r="270" spans="1:6" x14ac:dyDescent="0.35">
      <c r="A270">
        <v>10</v>
      </c>
      <c r="B270">
        <v>26</v>
      </c>
      <c r="C270" t="s">
        <v>1071</v>
      </c>
      <c r="D270" s="4">
        <v>30</v>
      </c>
      <c r="E270" s="4">
        <v>60</v>
      </c>
      <c r="F270" s="4">
        <v>70</v>
      </c>
    </row>
    <row r="271" spans="1:6" x14ac:dyDescent="0.35">
      <c r="A271">
        <v>10</v>
      </c>
      <c r="B271">
        <v>27</v>
      </c>
      <c r="C271" t="s">
        <v>1072</v>
      </c>
      <c r="D271" s="4">
        <v>12</v>
      </c>
      <c r="E271" s="4">
        <v>24</v>
      </c>
      <c r="F271" s="4">
        <v>48</v>
      </c>
    </row>
    <row r="272" spans="1:6" x14ac:dyDescent="0.35">
      <c r="A272">
        <v>11</v>
      </c>
      <c r="B272">
        <v>1</v>
      </c>
      <c r="C272" t="s">
        <v>318</v>
      </c>
      <c r="D272" s="4">
        <v>1979</v>
      </c>
      <c r="E272" s="4">
        <v>1980</v>
      </c>
      <c r="F272" s="4">
        <v>1981</v>
      </c>
    </row>
    <row r="273" spans="1:6" x14ac:dyDescent="0.35">
      <c r="A273">
        <v>11</v>
      </c>
      <c r="B273">
        <v>2</v>
      </c>
      <c r="C273" t="s">
        <v>319</v>
      </c>
      <c r="D273" s="4">
        <v>25</v>
      </c>
      <c r="E273" s="4">
        <v>35</v>
      </c>
      <c r="F273" s="4">
        <v>45</v>
      </c>
    </row>
    <row r="274" spans="1:6" x14ac:dyDescent="0.35">
      <c r="A274">
        <v>11</v>
      </c>
      <c r="B274">
        <v>3</v>
      </c>
      <c r="C274" t="s">
        <v>320</v>
      </c>
      <c r="D274" s="4">
        <v>1800</v>
      </c>
      <c r="E274" s="4">
        <v>2100</v>
      </c>
      <c r="F274" s="4">
        <v>2200</v>
      </c>
    </row>
    <row r="275" spans="1:6" x14ac:dyDescent="0.35">
      <c r="A275">
        <v>11</v>
      </c>
      <c r="B275">
        <v>4</v>
      </c>
      <c r="C275" t="s">
        <v>321</v>
      </c>
      <c r="D275" s="4">
        <v>20</v>
      </c>
      <c r="E275" s="4">
        <v>30</v>
      </c>
      <c r="F275" s="4">
        <v>40</v>
      </c>
    </row>
    <row r="276" spans="1:6" x14ac:dyDescent="0.35">
      <c r="A276">
        <v>11</v>
      </c>
      <c r="B276">
        <v>5</v>
      </c>
      <c r="C276" t="s">
        <v>322</v>
      </c>
      <c r="D276" s="4">
        <v>2</v>
      </c>
      <c r="E276" s="4">
        <v>5</v>
      </c>
      <c r="F276" s="4">
        <v>7</v>
      </c>
    </row>
    <row r="277" spans="1:6" x14ac:dyDescent="0.35">
      <c r="A277">
        <v>11</v>
      </c>
      <c r="B277">
        <v>6</v>
      </c>
      <c r="C277" t="s">
        <v>323</v>
      </c>
      <c r="D277" s="4">
        <v>15</v>
      </c>
      <c r="E277" s="4">
        <v>20</v>
      </c>
      <c r="F277" s="4">
        <v>30</v>
      </c>
    </row>
    <row r="278" spans="1:6" x14ac:dyDescent="0.35">
      <c r="A278">
        <v>11</v>
      </c>
      <c r="B278">
        <v>7</v>
      </c>
      <c r="C278" t="s">
        <v>324</v>
      </c>
      <c r="D278" s="4">
        <v>5</v>
      </c>
      <c r="E278" s="4">
        <v>8</v>
      </c>
      <c r="F278" s="4">
        <v>15</v>
      </c>
    </row>
    <row r="279" spans="1:6" x14ac:dyDescent="0.35">
      <c r="A279">
        <v>11</v>
      </c>
      <c r="B279">
        <v>8</v>
      </c>
      <c r="C279" t="s">
        <v>325</v>
      </c>
      <c r="D279" s="4">
        <v>5000000</v>
      </c>
      <c r="E279" s="4">
        <v>10000000</v>
      </c>
      <c r="F279" s="4">
        <v>25000000</v>
      </c>
    </row>
    <row r="280" spans="1:6" x14ac:dyDescent="0.35">
      <c r="A280">
        <v>11</v>
      </c>
      <c r="B280">
        <v>9</v>
      </c>
      <c r="C280" t="s">
        <v>326</v>
      </c>
      <c r="D280" s="4">
        <v>120</v>
      </c>
      <c r="E280" s="4">
        <v>384</v>
      </c>
      <c r="F280" s="4">
        <v>720</v>
      </c>
    </row>
    <row r="281" spans="1:6" x14ac:dyDescent="0.35">
      <c r="A281">
        <v>11</v>
      </c>
      <c r="B281">
        <v>10</v>
      </c>
      <c r="C281" t="s">
        <v>327</v>
      </c>
      <c r="D281" s="4">
        <v>1.8</v>
      </c>
      <c r="E281" s="4">
        <v>2</v>
      </c>
      <c r="F281" s="4">
        <v>2.5</v>
      </c>
    </row>
    <row r="282" spans="1:6" x14ac:dyDescent="0.35">
      <c r="A282">
        <v>11</v>
      </c>
      <c r="B282">
        <v>11</v>
      </c>
      <c r="C282" t="s">
        <v>1046</v>
      </c>
      <c r="D282" s="4">
        <v>2</v>
      </c>
      <c r="E282" s="4">
        <v>4</v>
      </c>
      <c r="F282" s="4">
        <v>6</v>
      </c>
    </row>
    <row r="283" spans="1:6" x14ac:dyDescent="0.35">
      <c r="A283">
        <v>11</v>
      </c>
      <c r="B283">
        <v>12</v>
      </c>
      <c r="C283" t="s">
        <v>328</v>
      </c>
      <c r="D283" s="4">
        <v>0.5</v>
      </c>
      <c r="E283" s="4">
        <v>1</v>
      </c>
      <c r="F283" s="4">
        <v>1.5</v>
      </c>
    </row>
    <row r="284" spans="1:6" x14ac:dyDescent="0.35">
      <c r="A284">
        <v>11</v>
      </c>
      <c r="B284">
        <v>13</v>
      </c>
      <c r="C284" t="s">
        <v>329</v>
      </c>
      <c r="D284" s="4">
        <v>8000</v>
      </c>
      <c r="E284" s="4">
        <v>10000</v>
      </c>
      <c r="F284" s="4">
        <v>12000</v>
      </c>
    </row>
    <row r="285" spans="1:6" x14ac:dyDescent="0.35">
      <c r="A285">
        <v>11</v>
      </c>
      <c r="B285">
        <v>14</v>
      </c>
      <c r="C285" t="s">
        <v>1059</v>
      </c>
      <c r="D285" s="4">
        <v>5</v>
      </c>
      <c r="E285" s="4">
        <v>10</v>
      </c>
      <c r="F285" s="4">
        <v>15</v>
      </c>
    </row>
    <row r="286" spans="1:6" x14ac:dyDescent="0.35">
      <c r="A286">
        <v>11</v>
      </c>
      <c r="B286">
        <v>15</v>
      </c>
      <c r="C286" t="s">
        <v>1060</v>
      </c>
      <c r="D286" s="4">
        <v>1975</v>
      </c>
      <c r="E286" s="4">
        <v>1980</v>
      </c>
      <c r="F286" s="4">
        <v>1985</v>
      </c>
    </row>
    <row r="287" spans="1:6" x14ac:dyDescent="0.35">
      <c r="A287">
        <v>11</v>
      </c>
      <c r="B287">
        <v>16</v>
      </c>
      <c r="C287" t="s">
        <v>1061</v>
      </c>
      <c r="D287" s="4">
        <v>70</v>
      </c>
      <c r="E287" s="4">
        <v>80</v>
      </c>
      <c r="F287" s="4">
        <v>90</v>
      </c>
    </row>
    <row r="288" spans="1:6" x14ac:dyDescent="0.35">
      <c r="A288">
        <v>11</v>
      </c>
      <c r="B288">
        <v>17</v>
      </c>
      <c r="C288" t="s">
        <v>1062</v>
      </c>
      <c r="D288" s="4">
        <v>10</v>
      </c>
      <c r="E288" s="4">
        <v>20</v>
      </c>
      <c r="F288" s="4">
        <v>30</v>
      </c>
    </row>
    <row r="289" spans="1:6" x14ac:dyDescent="0.35">
      <c r="A289">
        <v>11</v>
      </c>
      <c r="B289">
        <v>18</v>
      </c>
      <c r="C289" t="s">
        <v>1063</v>
      </c>
      <c r="D289" s="4">
        <v>10</v>
      </c>
      <c r="E289" s="4">
        <v>20</v>
      </c>
      <c r="F289" s="4">
        <v>25</v>
      </c>
    </row>
    <row r="290" spans="1:6" x14ac:dyDescent="0.35">
      <c r="A290">
        <v>11</v>
      </c>
      <c r="B290">
        <v>19</v>
      </c>
      <c r="C290" t="s">
        <v>1064</v>
      </c>
      <c r="D290" s="4">
        <v>200</v>
      </c>
      <c r="E290" s="4">
        <v>1000</v>
      </c>
      <c r="F290" s="4">
        <v>2000</v>
      </c>
    </row>
    <row r="291" spans="1:6" x14ac:dyDescent="0.35">
      <c r="A291">
        <v>11</v>
      </c>
      <c r="B291">
        <v>20</v>
      </c>
      <c r="C291" t="s">
        <v>1065</v>
      </c>
      <c r="D291" s="4">
        <v>100</v>
      </c>
      <c r="E291" s="4">
        <v>115</v>
      </c>
      <c r="F291" s="4">
        <v>120</v>
      </c>
    </row>
    <row r="292" spans="1:6" x14ac:dyDescent="0.35">
      <c r="A292">
        <v>11</v>
      </c>
      <c r="B292">
        <v>21</v>
      </c>
      <c r="C292" t="s">
        <v>1066</v>
      </c>
      <c r="D292" s="4">
        <v>72</v>
      </c>
      <c r="E292" s="4">
        <v>384</v>
      </c>
      <c r="F292" s="4">
        <v>720</v>
      </c>
    </row>
    <row r="293" spans="1:6" x14ac:dyDescent="0.35">
      <c r="A293">
        <v>11</v>
      </c>
      <c r="B293">
        <v>22</v>
      </c>
      <c r="C293" t="s">
        <v>1067</v>
      </c>
      <c r="D293" s="4">
        <v>1.5</v>
      </c>
      <c r="E293" s="4">
        <v>2</v>
      </c>
      <c r="F293" s="4">
        <v>3</v>
      </c>
    </row>
    <row r="294" spans="1:6" x14ac:dyDescent="0.35">
      <c r="A294">
        <v>11</v>
      </c>
      <c r="B294">
        <v>23</v>
      </c>
      <c r="C294" t="s">
        <v>1068</v>
      </c>
      <c r="D294" s="4">
        <v>1</v>
      </c>
      <c r="E294" s="4">
        <v>5</v>
      </c>
      <c r="F294" s="4">
        <v>10</v>
      </c>
    </row>
    <row r="295" spans="1:6" x14ac:dyDescent="0.35">
      <c r="A295">
        <v>11</v>
      </c>
      <c r="B295">
        <v>24</v>
      </c>
      <c r="C295" t="s">
        <v>1069</v>
      </c>
      <c r="D295" s="4">
        <v>100</v>
      </c>
      <c r="E295" s="4">
        <v>300</v>
      </c>
      <c r="F295" s="4">
        <v>500</v>
      </c>
    </row>
    <row r="296" spans="1:6" x14ac:dyDescent="0.35">
      <c r="A296">
        <v>11</v>
      </c>
      <c r="B296">
        <v>25</v>
      </c>
      <c r="C296" t="s">
        <v>1070</v>
      </c>
      <c r="D296" s="4">
        <v>120</v>
      </c>
      <c r="E296" s="4">
        <v>360</v>
      </c>
      <c r="F296" s="4">
        <v>480</v>
      </c>
    </row>
    <row r="297" spans="1:6" x14ac:dyDescent="0.35">
      <c r="A297">
        <v>11</v>
      </c>
      <c r="B297">
        <v>26</v>
      </c>
      <c r="C297" t="s">
        <v>1071</v>
      </c>
      <c r="D297" s="4">
        <v>90</v>
      </c>
      <c r="E297" s="4">
        <v>95</v>
      </c>
      <c r="F297" s="4">
        <v>100</v>
      </c>
    </row>
    <row r="298" spans="1:6" x14ac:dyDescent="0.35">
      <c r="A298">
        <v>11</v>
      </c>
      <c r="B298">
        <v>27</v>
      </c>
      <c r="C298" t="s">
        <v>1072</v>
      </c>
      <c r="D298" s="4">
        <v>12</v>
      </c>
      <c r="E298" s="4">
        <v>15</v>
      </c>
      <c r="F298" s="4">
        <v>17</v>
      </c>
    </row>
    <row r="299" spans="1:6" x14ac:dyDescent="0.35">
      <c r="A299">
        <v>12</v>
      </c>
      <c r="B299">
        <v>1</v>
      </c>
      <c r="C299" t="s">
        <v>318</v>
      </c>
      <c r="D299" s="4">
        <v>1930</v>
      </c>
      <c r="E299" s="4">
        <v>1975</v>
      </c>
      <c r="F299" s="4">
        <v>2000</v>
      </c>
    </row>
    <row r="300" spans="1:6" x14ac:dyDescent="0.35">
      <c r="A300">
        <v>12</v>
      </c>
      <c r="B300">
        <v>2</v>
      </c>
      <c r="C300" t="s">
        <v>319</v>
      </c>
      <c r="D300" s="4">
        <v>6000</v>
      </c>
      <c r="E300" s="4">
        <v>8000</v>
      </c>
      <c r="F300" s="4">
        <v>10000</v>
      </c>
    </row>
    <row r="301" spans="1:6" x14ac:dyDescent="0.35">
      <c r="A301">
        <v>12</v>
      </c>
      <c r="B301">
        <v>3</v>
      </c>
      <c r="C301" t="s">
        <v>320</v>
      </c>
      <c r="D301" s="4">
        <v>200</v>
      </c>
      <c r="E301" s="4">
        <v>600</v>
      </c>
      <c r="F301" s="4">
        <v>1000</v>
      </c>
    </row>
    <row r="302" spans="1:6" x14ac:dyDescent="0.35">
      <c r="A302">
        <v>12</v>
      </c>
      <c r="B302">
        <v>4</v>
      </c>
      <c r="C302" t="s">
        <v>321</v>
      </c>
      <c r="D302" s="4">
        <v>30</v>
      </c>
      <c r="E302" s="4">
        <v>50</v>
      </c>
      <c r="F302" s="4">
        <v>70</v>
      </c>
    </row>
    <row r="303" spans="1:6" x14ac:dyDescent="0.35">
      <c r="A303">
        <v>12</v>
      </c>
      <c r="B303">
        <v>5</v>
      </c>
      <c r="C303" t="s">
        <v>322</v>
      </c>
      <c r="D303" s="4">
        <v>2</v>
      </c>
      <c r="E303" s="4">
        <v>8</v>
      </c>
      <c r="F303" s="4">
        <v>15</v>
      </c>
    </row>
    <row r="304" spans="1:6" x14ac:dyDescent="0.35">
      <c r="A304">
        <v>12</v>
      </c>
      <c r="B304">
        <v>6</v>
      </c>
      <c r="C304" t="s">
        <v>323</v>
      </c>
      <c r="D304" s="4">
        <v>0</v>
      </c>
      <c r="E304" s="4">
        <v>20</v>
      </c>
      <c r="F304" s="4">
        <v>50</v>
      </c>
    </row>
    <row r="305" spans="1:6" x14ac:dyDescent="0.35">
      <c r="A305">
        <v>12</v>
      </c>
      <c r="B305">
        <v>7</v>
      </c>
      <c r="C305" t="s">
        <v>324</v>
      </c>
      <c r="D305" s="4">
        <v>4</v>
      </c>
      <c r="E305" s="4">
        <v>40</v>
      </c>
      <c r="F305" s="4">
        <v>80</v>
      </c>
    </row>
    <row r="306" spans="1:6" x14ac:dyDescent="0.35">
      <c r="A306">
        <v>12</v>
      </c>
      <c r="B306">
        <v>8</v>
      </c>
      <c r="C306" t="s">
        <v>325</v>
      </c>
      <c r="D306" s="4">
        <v>3</v>
      </c>
      <c r="E306" s="4">
        <v>25</v>
      </c>
      <c r="F306" s="4">
        <v>250</v>
      </c>
    </row>
    <row r="307" spans="1:6" x14ac:dyDescent="0.35">
      <c r="A307">
        <v>12</v>
      </c>
      <c r="B307">
        <v>9</v>
      </c>
      <c r="C307" t="s">
        <v>326</v>
      </c>
      <c r="D307" s="4">
        <v>120</v>
      </c>
      <c r="E307" s="4">
        <v>720</v>
      </c>
      <c r="F307" s="4">
        <v>4320</v>
      </c>
    </row>
    <row r="308" spans="1:6" x14ac:dyDescent="0.35">
      <c r="A308">
        <v>12</v>
      </c>
      <c r="B308">
        <v>10</v>
      </c>
      <c r="C308" t="s">
        <v>327</v>
      </c>
      <c r="D308" s="4">
        <v>5</v>
      </c>
      <c r="E308" s="4">
        <v>15</v>
      </c>
      <c r="F308" s="4">
        <v>25</v>
      </c>
    </row>
    <row r="309" spans="1:6" x14ac:dyDescent="0.35">
      <c r="A309">
        <v>12</v>
      </c>
      <c r="B309">
        <v>11</v>
      </c>
      <c r="C309" t="s">
        <v>1046</v>
      </c>
      <c r="D309" s="4">
        <v>5</v>
      </c>
      <c r="E309" s="4">
        <v>15</v>
      </c>
      <c r="F309" s="4">
        <v>25</v>
      </c>
    </row>
    <row r="310" spans="1:6" x14ac:dyDescent="0.35">
      <c r="A310">
        <v>12</v>
      </c>
      <c r="B310">
        <v>12</v>
      </c>
      <c r="C310" t="s">
        <v>328</v>
      </c>
      <c r="D310" s="4">
        <v>0.05</v>
      </c>
      <c r="E310" s="4">
        <v>8.3000000000000004E-2</v>
      </c>
      <c r="F310" s="4">
        <v>0.16700000000000001</v>
      </c>
    </row>
    <row r="311" spans="1:6" x14ac:dyDescent="0.35">
      <c r="A311">
        <v>12</v>
      </c>
      <c r="B311">
        <v>13</v>
      </c>
      <c r="C311" t="s">
        <v>329</v>
      </c>
      <c r="D311" s="4">
        <v>5000</v>
      </c>
      <c r="E311" s="4">
        <v>10000</v>
      </c>
      <c r="F311" s="4">
        <v>15000</v>
      </c>
    </row>
    <row r="312" spans="1:6" x14ac:dyDescent="0.35">
      <c r="A312">
        <v>12</v>
      </c>
      <c r="B312">
        <v>14</v>
      </c>
      <c r="C312" t="s">
        <v>1059</v>
      </c>
      <c r="D312" s="4">
        <v>10</v>
      </c>
      <c r="E312" s="4">
        <v>25</v>
      </c>
      <c r="F312" s="4">
        <v>45</v>
      </c>
    </row>
    <row r="313" spans="1:6" x14ac:dyDescent="0.35">
      <c r="A313">
        <v>12</v>
      </c>
      <c r="B313">
        <v>15</v>
      </c>
      <c r="C313" t="s">
        <v>1060</v>
      </c>
      <c r="D313" s="4">
        <v>1820</v>
      </c>
      <c r="E313" s="4">
        <v>1860</v>
      </c>
      <c r="F313" s="4">
        <v>1890</v>
      </c>
    </row>
    <row r="314" spans="1:6" x14ac:dyDescent="0.35">
      <c r="A314">
        <v>12</v>
      </c>
      <c r="B314">
        <v>16</v>
      </c>
      <c r="C314" t="s">
        <v>1061</v>
      </c>
      <c r="D314" s="4">
        <v>5</v>
      </c>
      <c r="E314" s="4">
        <v>20</v>
      </c>
      <c r="F314" s="4">
        <v>60</v>
      </c>
    </row>
    <row r="315" spans="1:6" x14ac:dyDescent="0.35">
      <c r="A315">
        <v>12</v>
      </c>
      <c r="B315">
        <v>17</v>
      </c>
      <c r="C315" t="s">
        <v>1062</v>
      </c>
      <c r="D315" s="4">
        <v>5</v>
      </c>
      <c r="E315" s="4">
        <v>25</v>
      </c>
      <c r="F315" s="4">
        <v>75</v>
      </c>
    </row>
    <row r="316" spans="1:6" x14ac:dyDescent="0.35">
      <c r="A316">
        <v>12</v>
      </c>
      <c r="B316">
        <v>18</v>
      </c>
      <c r="C316" t="s">
        <v>1063</v>
      </c>
      <c r="D316" s="4">
        <v>10</v>
      </c>
      <c r="E316" s="4">
        <v>20</v>
      </c>
      <c r="F316" s="4">
        <v>70</v>
      </c>
    </row>
    <row r="317" spans="1:6" x14ac:dyDescent="0.35">
      <c r="A317">
        <v>12</v>
      </c>
      <c r="B317">
        <v>19</v>
      </c>
      <c r="C317" t="s">
        <v>1064</v>
      </c>
      <c r="D317" s="4">
        <v>100</v>
      </c>
      <c r="E317" s="4">
        <v>300</v>
      </c>
      <c r="F317" s="4">
        <v>600</v>
      </c>
    </row>
    <row r="318" spans="1:6" x14ac:dyDescent="0.35">
      <c r="A318">
        <v>12</v>
      </c>
      <c r="B318">
        <v>20</v>
      </c>
      <c r="C318" t="s">
        <v>1065</v>
      </c>
      <c r="D318" s="4">
        <v>2</v>
      </c>
      <c r="E318" s="4">
        <v>5</v>
      </c>
      <c r="F318" s="4">
        <v>10</v>
      </c>
    </row>
    <row r="319" spans="1:6" x14ac:dyDescent="0.35">
      <c r="A319">
        <v>12</v>
      </c>
      <c r="B319">
        <v>21</v>
      </c>
      <c r="C319" t="s">
        <v>1066</v>
      </c>
      <c r="D319" s="4">
        <v>72</v>
      </c>
      <c r="E319" s="4">
        <v>336</v>
      </c>
      <c r="F319" s="4">
        <v>1344</v>
      </c>
    </row>
    <row r="320" spans="1:6" x14ac:dyDescent="0.35">
      <c r="A320">
        <v>12</v>
      </c>
      <c r="B320">
        <v>22</v>
      </c>
      <c r="C320" t="s">
        <v>1067</v>
      </c>
      <c r="D320" s="4">
        <v>2.5</v>
      </c>
      <c r="E320" s="4">
        <v>3.5</v>
      </c>
      <c r="F320" s="4">
        <v>6</v>
      </c>
    </row>
    <row r="321" spans="1:6" x14ac:dyDescent="0.35">
      <c r="A321">
        <v>12</v>
      </c>
      <c r="B321">
        <v>23</v>
      </c>
      <c r="C321" t="s">
        <v>1068</v>
      </c>
      <c r="D321" s="4">
        <v>20</v>
      </c>
      <c r="E321" s="4">
        <v>30</v>
      </c>
      <c r="F321" s="4">
        <v>50</v>
      </c>
    </row>
    <row r="322" spans="1:6" x14ac:dyDescent="0.35">
      <c r="A322">
        <v>12</v>
      </c>
      <c r="B322">
        <v>24</v>
      </c>
      <c r="C322" t="s">
        <v>1069</v>
      </c>
      <c r="D322" s="4">
        <v>10</v>
      </c>
      <c r="E322" s="4">
        <v>100</v>
      </c>
      <c r="F322" s="4">
        <v>300</v>
      </c>
    </row>
    <row r="323" spans="1:6" x14ac:dyDescent="0.35">
      <c r="A323">
        <v>12</v>
      </c>
      <c r="B323">
        <v>25</v>
      </c>
      <c r="C323" t="s">
        <v>1070</v>
      </c>
      <c r="D323" s="4">
        <v>96</v>
      </c>
      <c r="E323" s="4">
        <v>240</v>
      </c>
      <c r="F323" s="4">
        <v>672</v>
      </c>
    </row>
    <row r="324" spans="1:6" x14ac:dyDescent="0.35">
      <c r="A324">
        <v>12</v>
      </c>
      <c r="B324">
        <v>26</v>
      </c>
      <c r="C324" t="s">
        <v>1071</v>
      </c>
      <c r="D324" s="4">
        <v>10</v>
      </c>
      <c r="E324" s="4">
        <v>50</v>
      </c>
      <c r="F324" s="4">
        <v>80</v>
      </c>
    </row>
    <row r="325" spans="1:6" x14ac:dyDescent="0.35">
      <c r="A325">
        <v>12</v>
      </c>
      <c r="B325">
        <v>27</v>
      </c>
      <c r="C325" t="s">
        <v>1072</v>
      </c>
      <c r="D325" s="4">
        <v>20</v>
      </c>
      <c r="E325" s="4">
        <v>24</v>
      </c>
      <c r="F325" s="4">
        <v>30</v>
      </c>
    </row>
    <row r="326" spans="1:6" x14ac:dyDescent="0.35">
      <c r="A326">
        <v>13</v>
      </c>
      <c r="B326">
        <v>1</v>
      </c>
      <c r="C326" t="s">
        <v>318</v>
      </c>
      <c r="D326" s="4">
        <v>1970</v>
      </c>
      <c r="E326" s="4">
        <v>1981</v>
      </c>
      <c r="F326" s="4">
        <v>1985</v>
      </c>
    </row>
    <row r="327" spans="1:6" x14ac:dyDescent="0.35">
      <c r="A327">
        <v>13</v>
      </c>
      <c r="B327">
        <v>2</v>
      </c>
      <c r="C327" t="s">
        <v>319</v>
      </c>
      <c r="D327" s="4">
        <v>8000</v>
      </c>
      <c r="E327" s="4">
        <v>10000</v>
      </c>
      <c r="F327" s="4">
        <v>12000</v>
      </c>
    </row>
    <row r="328" spans="1:6" x14ac:dyDescent="0.35">
      <c r="A328">
        <v>13</v>
      </c>
      <c r="B328">
        <v>3</v>
      </c>
      <c r="C328" t="s">
        <v>320</v>
      </c>
      <c r="D328" s="4">
        <v>2800</v>
      </c>
      <c r="E328" s="4">
        <v>3300</v>
      </c>
      <c r="F328" s="4">
        <v>3800</v>
      </c>
    </row>
    <row r="329" spans="1:6" x14ac:dyDescent="0.35">
      <c r="A329">
        <v>13</v>
      </c>
      <c r="B329">
        <v>4</v>
      </c>
      <c r="C329" t="s">
        <v>321</v>
      </c>
      <c r="D329" s="4">
        <v>5</v>
      </c>
      <c r="E329" s="4">
        <v>25</v>
      </c>
      <c r="F329" s="4">
        <v>50</v>
      </c>
    </row>
    <row r="330" spans="1:6" x14ac:dyDescent="0.35">
      <c r="A330">
        <v>13</v>
      </c>
      <c r="B330">
        <v>5</v>
      </c>
      <c r="C330" t="s">
        <v>322</v>
      </c>
      <c r="D330" s="4">
        <v>0</v>
      </c>
      <c r="E330" s="4">
        <v>2</v>
      </c>
      <c r="F330" s="4">
        <v>5</v>
      </c>
    </row>
    <row r="331" spans="1:6" x14ac:dyDescent="0.35">
      <c r="A331">
        <v>13</v>
      </c>
      <c r="B331">
        <v>6</v>
      </c>
      <c r="C331" t="s">
        <v>323</v>
      </c>
      <c r="D331" s="4">
        <v>2</v>
      </c>
      <c r="E331" s="4">
        <v>5</v>
      </c>
      <c r="F331" s="4">
        <v>10</v>
      </c>
    </row>
    <row r="332" spans="1:6" x14ac:dyDescent="0.35">
      <c r="A332">
        <v>13</v>
      </c>
      <c r="B332">
        <v>7</v>
      </c>
      <c r="C332" t="s">
        <v>324</v>
      </c>
      <c r="D332" s="4">
        <v>0</v>
      </c>
      <c r="E332" s="4">
        <v>2</v>
      </c>
      <c r="F332" s="4">
        <v>5</v>
      </c>
    </row>
    <row r="333" spans="1:6" x14ac:dyDescent="0.35">
      <c r="A333">
        <v>13</v>
      </c>
      <c r="B333">
        <v>8</v>
      </c>
      <c r="C333" t="s">
        <v>325</v>
      </c>
      <c r="D333" s="4">
        <v>1000000</v>
      </c>
      <c r="E333" s="4">
        <v>5000000</v>
      </c>
      <c r="F333" s="4">
        <v>10000000</v>
      </c>
    </row>
    <row r="334" spans="1:6" x14ac:dyDescent="0.35">
      <c r="A334">
        <v>13</v>
      </c>
      <c r="B334">
        <v>9</v>
      </c>
      <c r="C334" t="s">
        <v>326</v>
      </c>
      <c r="D334" s="4">
        <v>24</v>
      </c>
      <c r="E334" s="4">
        <v>168</v>
      </c>
      <c r="F334" s="4">
        <v>360</v>
      </c>
    </row>
    <row r="335" spans="1:6" x14ac:dyDescent="0.35">
      <c r="A335">
        <v>13</v>
      </c>
      <c r="B335">
        <v>10</v>
      </c>
      <c r="C335" t="s">
        <v>327</v>
      </c>
      <c r="D335" s="4">
        <v>50</v>
      </c>
      <c r="E335" s="4">
        <v>150</v>
      </c>
      <c r="F335" s="4">
        <v>500</v>
      </c>
    </row>
    <row r="336" spans="1:6" x14ac:dyDescent="0.35">
      <c r="A336">
        <v>13</v>
      </c>
      <c r="B336">
        <v>11</v>
      </c>
      <c r="C336" t="s">
        <v>1046</v>
      </c>
      <c r="D336" s="4">
        <v>10</v>
      </c>
      <c r="E336" s="4">
        <v>30</v>
      </c>
      <c r="F336" s="4">
        <v>50</v>
      </c>
    </row>
    <row r="337" spans="1:6" x14ac:dyDescent="0.35">
      <c r="A337">
        <v>13</v>
      </c>
      <c r="B337">
        <v>12</v>
      </c>
      <c r="C337" t="s">
        <v>328</v>
      </c>
      <c r="D337" s="4">
        <v>0.5</v>
      </c>
      <c r="E337" s="4">
        <v>2</v>
      </c>
      <c r="F337" s="4">
        <v>10</v>
      </c>
    </row>
    <row r="338" spans="1:6" x14ac:dyDescent="0.35">
      <c r="A338">
        <v>13</v>
      </c>
      <c r="B338">
        <v>13</v>
      </c>
      <c r="C338" t="s">
        <v>329</v>
      </c>
      <c r="D338" s="4">
        <v>8000</v>
      </c>
      <c r="E338" s="4">
        <v>10000</v>
      </c>
      <c r="F338" s="4">
        <v>12000</v>
      </c>
    </row>
    <row r="339" spans="1:6" x14ac:dyDescent="0.35">
      <c r="A339">
        <v>13</v>
      </c>
      <c r="B339">
        <v>14</v>
      </c>
      <c r="C339" t="s">
        <v>1059</v>
      </c>
      <c r="D339" s="4">
        <v>8</v>
      </c>
      <c r="E339" s="4">
        <v>15</v>
      </c>
      <c r="F339" s="4">
        <v>20</v>
      </c>
    </row>
    <row r="340" spans="1:6" x14ac:dyDescent="0.35">
      <c r="A340">
        <v>13</v>
      </c>
      <c r="B340">
        <v>15</v>
      </c>
      <c r="C340" t="s">
        <v>1060</v>
      </c>
      <c r="D340" s="4">
        <v>1870</v>
      </c>
      <c r="E340" s="4">
        <v>1930</v>
      </c>
      <c r="F340" s="4">
        <v>1950</v>
      </c>
    </row>
    <row r="341" spans="1:6" x14ac:dyDescent="0.35">
      <c r="A341">
        <v>13</v>
      </c>
      <c r="B341">
        <v>16</v>
      </c>
      <c r="C341" t="s">
        <v>1061</v>
      </c>
      <c r="D341" s="4">
        <v>5</v>
      </c>
      <c r="E341" s="4">
        <v>10</v>
      </c>
      <c r="F341" s="4">
        <v>30</v>
      </c>
    </row>
    <row r="342" spans="1:6" x14ac:dyDescent="0.35">
      <c r="A342">
        <v>13</v>
      </c>
      <c r="B342">
        <v>17</v>
      </c>
      <c r="C342" t="s">
        <v>1062</v>
      </c>
      <c r="D342" s="4">
        <v>25</v>
      </c>
      <c r="E342" s="4">
        <v>65</v>
      </c>
      <c r="F342" s="4">
        <v>80</v>
      </c>
    </row>
    <row r="343" spans="1:6" x14ac:dyDescent="0.35">
      <c r="A343">
        <v>13</v>
      </c>
      <c r="B343">
        <v>18</v>
      </c>
      <c r="C343" t="s">
        <v>1063</v>
      </c>
      <c r="D343" s="4">
        <v>5</v>
      </c>
      <c r="E343" s="4">
        <v>10</v>
      </c>
      <c r="F343" s="4">
        <v>25</v>
      </c>
    </row>
    <row r="344" spans="1:6" x14ac:dyDescent="0.35">
      <c r="A344">
        <v>13</v>
      </c>
      <c r="B344">
        <v>19</v>
      </c>
      <c r="C344" t="s">
        <v>1064</v>
      </c>
      <c r="D344" s="4">
        <v>500</v>
      </c>
      <c r="E344" s="4">
        <v>2000</v>
      </c>
      <c r="F344" s="4">
        <v>5000</v>
      </c>
    </row>
    <row r="345" spans="1:6" x14ac:dyDescent="0.35">
      <c r="A345">
        <v>13</v>
      </c>
      <c r="B345">
        <v>20</v>
      </c>
      <c r="C345" t="s">
        <v>1065</v>
      </c>
      <c r="D345" s="4">
        <v>40</v>
      </c>
      <c r="E345" s="4">
        <v>80</v>
      </c>
      <c r="F345" s="4">
        <v>150</v>
      </c>
    </row>
    <row r="346" spans="1:6" x14ac:dyDescent="0.35">
      <c r="A346">
        <v>13</v>
      </c>
      <c r="B346">
        <v>21</v>
      </c>
      <c r="C346" t="s">
        <v>1066</v>
      </c>
      <c r="D346" s="4">
        <v>24</v>
      </c>
      <c r="E346" s="4">
        <v>72</v>
      </c>
      <c r="F346" s="4">
        <v>240</v>
      </c>
    </row>
    <row r="347" spans="1:6" x14ac:dyDescent="0.35">
      <c r="A347">
        <v>13</v>
      </c>
      <c r="B347">
        <v>22</v>
      </c>
      <c r="C347" t="s">
        <v>1067</v>
      </c>
      <c r="D347" s="4">
        <v>3</v>
      </c>
      <c r="E347" s="4">
        <v>6</v>
      </c>
      <c r="F347" s="4">
        <v>18</v>
      </c>
    </row>
    <row r="348" spans="1:6" x14ac:dyDescent="0.35">
      <c r="A348">
        <v>13</v>
      </c>
      <c r="B348">
        <v>23</v>
      </c>
      <c r="C348" t="s">
        <v>1068</v>
      </c>
      <c r="D348" s="4">
        <v>100</v>
      </c>
      <c r="E348" s="4">
        <v>250</v>
      </c>
      <c r="F348" s="4">
        <v>500</v>
      </c>
    </row>
    <row r="349" spans="1:6" x14ac:dyDescent="0.35">
      <c r="A349">
        <v>13</v>
      </c>
      <c r="B349">
        <v>24</v>
      </c>
      <c r="C349" t="s">
        <v>1069</v>
      </c>
      <c r="D349" s="4">
        <v>250</v>
      </c>
      <c r="E349" s="4">
        <v>500</v>
      </c>
      <c r="F349" s="4">
        <v>2000</v>
      </c>
    </row>
    <row r="350" spans="1:6" x14ac:dyDescent="0.35">
      <c r="A350">
        <v>13</v>
      </c>
      <c r="B350">
        <v>25</v>
      </c>
      <c r="C350" t="s">
        <v>1070</v>
      </c>
      <c r="D350" s="4">
        <v>12</v>
      </c>
      <c r="E350" s="4">
        <v>30</v>
      </c>
      <c r="F350" s="4">
        <v>300</v>
      </c>
    </row>
    <row r="351" spans="1:6" x14ac:dyDescent="0.35">
      <c r="A351">
        <v>13</v>
      </c>
      <c r="B351">
        <v>26</v>
      </c>
      <c r="C351" t="s">
        <v>1071</v>
      </c>
      <c r="D351" s="4">
        <v>5</v>
      </c>
      <c r="E351" s="4">
        <v>20</v>
      </c>
      <c r="F351" s="4">
        <v>40</v>
      </c>
    </row>
    <row r="352" spans="1:6" x14ac:dyDescent="0.35">
      <c r="A352">
        <v>13</v>
      </c>
      <c r="B352">
        <v>27</v>
      </c>
      <c r="C352" t="s">
        <v>1072</v>
      </c>
      <c r="D352" s="4">
        <v>18</v>
      </c>
      <c r="E352" s="4">
        <v>24</v>
      </c>
      <c r="F352" s="4">
        <v>48</v>
      </c>
    </row>
    <row r="353" spans="1:6" x14ac:dyDescent="0.35">
      <c r="A353">
        <v>14</v>
      </c>
      <c r="B353">
        <v>1</v>
      </c>
      <c r="C353" t="s">
        <v>318</v>
      </c>
      <c r="D353" s="4">
        <v>1970</v>
      </c>
      <c r="E353" s="4">
        <v>1979</v>
      </c>
      <c r="F353" s="4">
        <v>1981</v>
      </c>
    </row>
    <row r="354" spans="1:6" x14ac:dyDescent="0.35">
      <c r="A354">
        <v>14</v>
      </c>
      <c r="B354">
        <v>2</v>
      </c>
      <c r="C354" t="s">
        <v>319</v>
      </c>
      <c r="D354" s="4">
        <v>9000</v>
      </c>
      <c r="E354" s="4">
        <v>9300</v>
      </c>
      <c r="F354" s="4">
        <v>10000</v>
      </c>
    </row>
    <row r="355" spans="1:6" x14ac:dyDescent="0.35">
      <c r="A355">
        <v>14</v>
      </c>
      <c r="B355">
        <v>3</v>
      </c>
      <c r="C355" t="s">
        <v>320</v>
      </c>
      <c r="D355" s="4">
        <v>3000</v>
      </c>
      <c r="E355" s="4">
        <v>3100</v>
      </c>
      <c r="F355" s="4">
        <v>3500</v>
      </c>
    </row>
    <row r="356" spans="1:6" x14ac:dyDescent="0.35">
      <c r="A356">
        <v>14</v>
      </c>
      <c r="B356">
        <v>4</v>
      </c>
      <c r="C356" t="s">
        <v>321</v>
      </c>
      <c r="D356" s="4">
        <v>20</v>
      </c>
      <c r="E356" s="4">
        <v>40</v>
      </c>
      <c r="F356" s="4">
        <v>50</v>
      </c>
    </row>
    <row r="357" spans="1:6" x14ac:dyDescent="0.35">
      <c r="A357">
        <v>14</v>
      </c>
      <c r="B357">
        <v>5</v>
      </c>
      <c r="C357" t="s">
        <v>322</v>
      </c>
      <c r="D357" s="4">
        <v>0</v>
      </c>
      <c r="E357" s="4">
        <v>2</v>
      </c>
      <c r="F357" s="4">
        <v>3</v>
      </c>
    </row>
    <row r="358" spans="1:6" x14ac:dyDescent="0.35">
      <c r="A358">
        <v>14</v>
      </c>
      <c r="B358">
        <v>6</v>
      </c>
      <c r="C358" t="s">
        <v>323</v>
      </c>
      <c r="D358" s="4">
        <v>12</v>
      </c>
      <c r="E358" s="4">
        <v>15</v>
      </c>
      <c r="F358" s="4">
        <v>30</v>
      </c>
    </row>
    <row r="359" spans="1:6" x14ac:dyDescent="0.35">
      <c r="A359">
        <v>14</v>
      </c>
      <c r="B359">
        <v>7</v>
      </c>
      <c r="C359" t="s">
        <v>324</v>
      </c>
      <c r="D359" s="4">
        <v>2</v>
      </c>
      <c r="E359" s="4">
        <v>3</v>
      </c>
      <c r="F359" s="4">
        <v>5</v>
      </c>
    </row>
    <row r="360" spans="1:6" x14ac:dyDescent="0.35">
      <c r="A360">
        <v>14</v>
      </c>
      <c r="B360">
        <v>8</v>
      </c>
      <c r="C360" t="s">
        <v>325</v>
      </c>
      <c r="D360" s="4">
        <v>2000000</v>
      </c>
      <c r="E360" s="4">
        <v>8000000</v>
      </c>
      <c r="F360" s="4">
        <v>10000000</v>
      </c>
    </row>
    <row r="361" spans="1:6" x14ac:dyDescent="0.35">
      <c r="A361">
        <v>14</v>
      </c>
      <c r="B361">
        <v>9</v>
      </c>
      <c r="C361" t="s">
        <v>326</v>
      </c>
      <c r="D361" s="4">
        <v>120</v>
      </c>
      <c r="E361" s="4">
        <v>480</v>
      </c>
      <c r="F361" s="4">
        <v>720</v>
      </c>
    </row>
    <row r="362" spans="1:6" x14ac:dyDescent="0.35">
      <c r="A362">
        <v>14</v>
      </c>
      <c r="B362">
        <v>10</v>
      </c>
      <c r="C362" t="s">
        <v>327</v>
      </c>
      <c r="D362" s="4">
        <v>2</v>
      </c>
      <c r="E362" s="4">
        <v>10</v>
      </c>
      <c r="F362" s="4">
        <v>15</v>
      </c>
    </row>
    <row r="363" spans="1:6" x14ac:dyDescent="0.35">
      <c r="A363">
        <v>14</v>
      </c>
      <c r="B363">
        <v>11</v>
      </c>
      <c r="C363" t="s">
        <v>1046</v>
      </c>
      <c r="D363" s="4">
        <v>5</v>
      </c>
      <c r="E363" s="4">
        <v>10</v>
      </c>
      <c r="F363" s="4">
        <v>20</v>
      </c>
    </row>
    <row r="364" spans="1:6" x14ac:dyDescent="0.35">
      <c r="A364">
        <v>14</v>
      </c>
      <c r="B364">
        <v>12</v>
      </c>
      <c r="C364" t="s">
        <v>328</v>
      </c>
      <c r="D364" s="4">
        <v>4</v>
      </c>
      <c r="E364" s="4">
        <v>8</v>
      </c>
      <c r="F364" s="4">
        <v>10</v>
      </c>
    </row>
    <row r="365" spans="1:6" x14ac:dyDescent="0.35">
      <c r="A365">
        <v>14</v>
      </c>
      <c r="B365">
        <v>13</v>
      </c>
      <c r="C365" t="s">
        <v>329</v>
      </c>
      <c r="D365" s="4">
        <v>6000</v>
      </c>
      <c r="E365" s="4">
        <v>8000</v>
      </c>
      <c r="F365" s="4">
        <v>10000</v>
      </c>
    </row>
    <row r="366" spans="1:6" x14ac:dyDescent="0.35">
      <c r="A366">
        <v>14</v>
      </c>
      <c r="B366">
        <v>14</v>
      </c>
      <c r="C366" t="s">
        <v>1059</v>
      </c>
      <c r="D366" s="4">
        <v>10</v>
      </c>
      <c r="E366" s="4">
        <v>20</v>
      </c>
      <c r="F366" s="4">
        <v>28</v>
      </c>
    </row>
    <row r="367" spans="1:6" x14ac:dyDescent="0.35">
      <c r="A367">
        <v>14</v>
      </c>
      <c r="B367">
        <v>15</v>
      </c>
      <c r="C367" t="s">
        <v>1060</v>
      </c>
      <c r="D367" s="4">
        <v>1940</v>
      </c>
      <c r="E367" s="4">
        <v>1960</v>
      </c>
      <c r="F367" s="4">
        <v>1970</v>
      </c>
    </row>
    <row r="368" spans="1:6" x14ac:dyDescent="0.35">
      <c r="A368">
        <v>14</v>
      </c>
      <c r="B368">
        <v>16</v>
      </c>
      <c r="C368" t="s">
        <v>1061</v>
      </c>
      <c r="D368" s="4">
        <v>50</v>
      </c>
      <c r="E368" s="4">
        <v>85</v>
      </c>
      <c r="F368" s="4">
        <v>95</v>
      </c>
    </row>
    <row r="369" spans="1:6" x14ac:dyDescent="0.35">
      <c r="A369">
        <v>14</v>
      </c>
      <c r="B369">
        <v>17</v>
      </c>
      <c r="C369" t="s">
        <v>1062</v>
      </c>
      <c r="D369" s="4">
        <v>0</v>
      </c>
      <c r="E369" s="4">
        <v>5</v>
      </c>
      <c r="F369" s="4">
        <v>10</v>
      </c>
    </row>
    <row r="370" spans="1:6" x14ac:dyDescent="0.35">
      <c r="A370">
        <v>14</v>
      </c>
      <c r="B370">
        <v>18</v>
      </c>
      <c r="C370" t="s">
        <v>1063</v>
      </c>
      <c r="D370" s="4">
        <v>60</v>
      </c>
      <c r="E370" s="4">
        <v>95</v>
      </c>
      <c r="F370" s="4">
        <v>100</v>
      </c>
    </row>
    <row r="371" spans="1:6" x14ac:dyDescent="0.35">
      <c r="A371">
        <v>14</v>
      </c>
      <c r="B371">
        <v>19</v>
      </c>
      <c r="C371" t="s">
        <v>1064</v>
      </c>
      <c r="D371" s="4">
        <v>2000</v>
      </c>
      <c r="E371" s="4">
        <v>4000</v>
      </c>
      <c r="F371" s="4">
        <v>8000</v>
      </c>
    </row>
    <row r="372" spans="1:6" x14ac:dyDescent="0.35">
      <c r="A372">
        <v>14</v>
      </c>
      <c r="B372">
        <v>20</v>
      </c>
      <c r="C372" t="s">
        <v>1065</v>
      </c>
      <c r="D372" s="4">
        <v>40</v>
      </c>
      <c r="E372" s="4">
        <v>120</v>
      </c>
      <c r="F372" s="4">
        <v>180</v>
      </c>
    </row>
    <row r="373" spans="1:6" x14ac:dyDescent="0.35">
      <c r="A373">
        <v>14</v>
      </c>
      <c r="B373">
        <v>21</v>
      </c>
      <c r="C373" t="s">
        <v>1066</v>
      </c>
      <c r="D373" s="4">
        <v>168</v>
      </c>
      <c r="E373" s="4">
        <v>360</v>
      </c>
      <c r="F373" s="4">
        <v>720</v>
      </c>
    </row>
    <row r="374" spans="1:6" x14ac:dyDescent="0.35">
      <c r="A374">
        <v>14</v>
      </c>
      <c r="B374">
        <v>22</v>
      </c>
      <c r="C374" t="s">
        <v>1067</v>
      </c>
      <c r="D374" s="4">
        <v>4</v>
      </c>
      <c r="E374" s="4">
        <v>4.5</v>
      </c>
      <c r="F374" s="4">
        <v>6</v>
      </c>
    </row>
    <row r="375" spans="1:6" x14ac:dyDescent="0.35">
      <c r="A375">
        <v>14</v>
      </c>
      <c r="B375">
        <v>23</v>
      </c>
      <c r="C375" t="s">
        <v>1068</v>
      </c>
      <c r="D375" s="4">
        <v>20</v>
      </c>
      <c r="E375" s="4">
        <v>30</v>
      </c>
      <c r="F375" s="4">
        <v>40</v>
      </c>
    </row>
    <row r="376" spans="1:6" x14ac:dyDescent="0.35">
      <c r="A376">
        <v>14</v>
      </c>
      <c r="B376">
        <v>24</v>
      </c>
      <c r="C376" t="s">
        <v>1069</v>
      </c>
      <c r="D376" s="4">
        <v>10</v>
      </c>
      <c r="E376" s="4">
        <v>50</v>
      </c>
      <c r="F376" s="4">
        <v>60</v>
      </c>
    </row>
    <row r="377" spans="1:6" x14ac:dyDescent="0.35">
      <c r="A377">
        <v>14</v>
      </c>
      <c r="B377">
        <v>25</v>
      </c>
      <c r="C377" t="s">
        <v>1070</v>
      </c>
      <c r="D377" s="4">
        <v>72</v>
      </c>
      <c r="E377" s="4">
        <v>168</v>
      </c>
      <c r="F377" s="4">
        <v>720</v>
      </c>
    </row>
    <row r="378" spans="1:6" x14ac:dyDescent="0.35">
      <c r="A378">
        <v>14</v>
      </c>
      <c r="B378">
        <v>26</v>
      </c>
      <c r="C378" t="s">
        <v>1071</v>
      </c>
      <c r="D378" s="4">
        <v>50</v>
      </c>
      <c r="E378" s="4">
        <v>90</v>
      </c>
      <c r="F378" s="4">
        <v>100</v>
      </c>
    </row>
    <row r="379" spans="1:6" x14ac:dyDescent="0.35">
      <c r="A379">
        <v>14</v>
      </c>
      <c r="B379">
        <v>27</v>
      </c>
      <c r="C379" t="s">
        <v>1072</v>
      </c>
      <c r="D379" s="4">
        <v>10</v>
      </c>
      <c r="E379" s="4">
        <v>15</v>
      </c>
      <c r="F379" s="4">
        <v>20</v>
      </c>
    </row>
    <row r="380" spans="1:6" x14ac:dyDescent="0.35">
      <c r="A380">
        <v>15</v>
      </c>
      <c r="B380">
        <v>1</v>
      </c>
      <c r="C380" t="s">
        <v>318</v>
      </c>
      <c r="D380" s="4">
        <v>1978</v>
      </c>
      <c r="E380" s="4">
        <v>1979</v>
      </c>
      <c r="F380" s="4">
        <v>1980</v>
      </c>
    </row>
    <row r="381" spans="1:6" x14ac:dyDescent="0.35">
      <c r="A381">
        <v>15</v>
      </c>
      <c r="B381">
        <v>2</v>
      </c>
      <c r="C381" t="s">
        <v>319</v>
      </c>
      <c r="D381" s="4">
        <v>9000</v>
      </c>
      <c r="E381" s="4">
        <v>10000</v>
      </c>
      <c r="F381" s="4">
        <v>12000</v>
      </c>
    </row>
    <row r="382" spans="1:6" x14ac:dyDescent="0.35">
      <c r="A382">
        <v>15</v>
      </c>
      <c r="B382">
        <v>3</v>
      </c>
      <c r="C382" t="s">
        <v>320</v>
      </c>
      <c r="D382" s="4">
        <v>2900</v>
      </c>
      <c r="E382" s="4">
        <v>3150</v>
      </c>
      <c r="F382" s="4">
        <v>3250</v>
      </c>
    </row>
    <row r="383" spans="1:6" x14ac:dyDescent="0.35">
      <c r="A383">
        <v>15</v>
      </c>
      <c r="B383">
        <v>4</v>
      </c>
      <c r="C383" t="s">
        <v>321</v>
      </c>
      <c r="D383" s="4">
        <v>5</v>
      </c>
      <c r="E383" s="4">
        <v>10</v>
      </c>
      <c r="F383" s="4">
        <v>15</v>
      </c>
    </row>
    <row r="384" spans="1:6" x14ac:dyDescent="0.35">
      <c r="A384">
        <v>15</v>
      </c>
      <c r="B384">
        <v>5</v>
      </c>
      <c r="C384" t="s">
        <v>322</v>
      </c>
      <c r="D384" s="4">
        <v>2</v>
      </c>
      <c r="E384" s="4">
        <v>3</v>
      </c>
      <c r="F384" s="4">
        <v>4</v>
      </c>
    </row>
    <row r="385" spans="1:6" x14ac:dyDescent="0.35">
      <c r="A385">
        <v>15</v>
      </c>
      <c r="B385">
        <v>6</v>
      </c>
      <c r="C385" t="s">
        <v>323</v>
      </c>
      <c r="D385" s="4">
        <v>8</v>
      </c>
      <c r="E385" s="4">
        <v>10</v>
      </c>
      <c r="F385" s="4">
        <v>15</v>
      </c>
    </row>
    <row r="386" spans="1:6" x14ac:dyDescent="0.35">
      <c r="A386">
        <v>15</v>
      </c>
      <c r="B386">
        <v>7</v>
      </c>
      <c r="C386" t="s">
        <v>324</v>
      </c>
      <c r="D386" s="4">
        <v>0.2</v>
      </c>
      <c r="E386" s="4">
        <v>0.25</v>
      </c>
      <c r="F386" s="4">
        <v>0.3</v>
      </c>
    </row>
    <row r="387" spans="1:6" x14ac:dyDescent="0.35">
      <c r="A387">
        <v>15</v>
      </c>
      <c r="B387">
        <v>8</v>
      </c>
      <c r="C387" t="s">
        <v>325</v>
      </c>
      <c r="D387" s="4">
        <v>5000000</v>
      </c>
      <c r="E387" s="4">
        <v>8000000</v>
      </c>
      <c r="F387" s="4">
        <v>15000000</v>
      </c>
    </row>
    <row r="388" spans="1:6" x14ac:dyDescent="0.35">
      <c r="A388">
        <v>15</v>
      </c>
      <c r="B388">
        <v>9</v>
      </c>
      <c r="C388" t="s">
        <v>326</v>
      </c>
      <c r="D388" s="4">
        <v>240</v>
      </c>
      <c r="E388" s="4">
        <v>360</v>
      </c>
      <c r="F388" s="4">
        <v>672</v>
      </c>
    </row>
    <row r="389" spans="1:6" x14ac:dyDescent="0.35">
      <c r="A389">
        <v>15</v>
      </c>
      <c r="B389">
        <v>10</v>
      </c>
      <c r="C389" t="s">
        <v>327</v>
      </c>
      <c r="D389" s="4">
        <v>50</v>
      </c>
      <c r="E389" s="4">
        <v>70</v>
      </c>
      <c r="F389" s="4">
        <v>100</v>
      </c>
    </row>
    <row r="390" spans="1:6" x14ac:dyDescent="0.35">
      <c r="A390">
        <v>15</v>
      </c>
      <c r="B390">
        <v>11</v>
      </c>
      <c r="C390" t="s">
        <v>1046</v>
      </c>
      <c r="D390" s="4">
        <v>30</v>
      </c>
      <c r="E390" s="4">
        <v>50</v>
      </c>
      <c r="F390" s="4">
        <v>60</v>
      </c>
    </row>
    <row r="391" spans="1:6" x14ac:dyDescent="0.35">
      <c r="A391">
        <v>15</v>
      </c>
      <c r="B391">
        <v>12</v>
      </c>
      <c r="C391" t="s">
        <v>328</v>
      </c>
      <c r="D391" s="4">
        <v>2</v>
      </c>
      <c r="E391" s="4">
        <v>4</v>
      </c>
      <c r="F391" s="4">
        <v>10</v>
      </c>
    </row>
    <row r="392" spans="1:6" x14ac:dyDescent="0.35">
      <c r="A392">
        <v>15</v>
      </c>
      <c r="B392">
        <v>13</v>
      </c>
      <c r="C392" t="s">
        <v>329</v>
      </c>
      <c r="D392" s="4">
        <v>12000</v>
      </c>
      <c r="E392" s="4">
        <v>15000</v>
      </c>
      <c r="F392" s="4">
        <v>20000</v>
      </c>
    </row>
    <row r="393" spans="1:6" x14ac:dyDescent="0.35">
      <c r="A393">
        <v>15</v>
      </c>
      <c r="B393">
        <v>14</v>
      </c>
      <c r="C393" t="s">
        <v>1059</v>
      </c>
      <c r="D393" s="4">
        <v>5</v>
      </c>
      <c r="E393" s="4">
        <v>8</v>
      </c>
      <c r="F393" s="4">
        <v>10</v>
      </c>
    </row>
    <row r="394" spans="1:6" x14ac:dyDescent="0.35">
      <c r="A394">
        <v>15</v>
      </c>
      <c r="B394">
        <v>15</v>
      </c>
      <c r="C394" t="s">
        <v>1060</v>
      </c>
      <c r="D394" s="4">
        <v>1930</v>
      </c>
      <c r="E394" s="4">
        <v>1950</v>
      </c>
      <c r="F394" s="4">
        <v>1960</v>
      </c>
    </row>
    <row r="395" spans="1:6" x14ac:dyDescent="0.35">
      <c r="A395">
        <v>15</v>
      </c>
      <c r="B395">
        <v>16</v>
      </c>
      <c r="C395" t="s">
        <v>1061</v>
      </c>
      <c r="D395" s="4">
        <v>5</v>
      </c>
      <c r="E395" s="4">
        <v>7</v>
      </c>
      <c r="F395" s="4">
        <v>20</v>
      </c>
    </row>
    <row r="396" spans="1:6" x14ac:dyDescent="0.35">
      <c r="A396">
        <v>15</v>
      </c>
      <c r="B396">
        <v>17</v>
      </c>
      <c r="C396" t="s">
        <v>1062</v>
      </c>
      <c r="D396" s="4">
        <v>50</v>
      </c>
      <c r="E396" s="4">
        <v>70</v>
      </c>
      <c r="F396" s="4">
        <v>85</v>
      </c>
    </row>
    <row r="397" spans="1:6" x14ac:dyDescent="0.35">
      <c r="A397">
        <v>15</v>
      </c>
      <c r="B397">
        <v>18</v>
      </c>
      <c r="C397" t="s">
        <v>1063</v>
      </c>
      <c r="D397" s="4">
        <v>35</v>
      </c>
      <c r="E397" s="4">
        <v>50</v>
      </c>
      <c r="F397" s="4">
        <v>70</v>
      </c>
    </row>
    <row r="398" spans="1:6" x14ac:dyDescent="0.35">
      <c r="A398">
        <v>15</v>
      </c>
      <c r="B398">
        <v>19</v>
      </c>
      <c r="C398" t="s">
        <v>1064</v>
      </c>
      <c r="D398" s="4">
        <v>400</v>
      </c>
      <c r="E398" s="4">
        <v>800</v>
      </c>
      <c r="F398" s="4">
        <v>1000</v>
      </c>
    </row>
    <row r="399" spans="1:6" x14ac:dyDescent="0.35">
      <c r="A399">
        <v>15</v>
      </c>
      <c r="B399">
        <v>20</v>
      </c>
      <c r="C399" t="s">
        <v>1065</v>
      </c>
      <c r="D399" s="4">
        <v>40</v>
      </c>
      <c r="E399" s="4">
        <v>80</v>
      </c>
      <c r="F399" s="4">
        <v>115</v>
      </c>
    </row>
    <row r="400" spans="1:6" x14ac:dyDescent="0.35">
      <c r="A400">
        <v>15</v>
      </c>
      <c r="B400">
        <v>21</v>
      </c>
      <c r="C400" t="s">
        <v>1066</v>
      </c>
      <c r="D400" s="4">
        <v>168</v>
      </c>
      <c r="E400" s="4">
        <v>360</v>
      </c>
      <c r="F400" s="4">
        <v>1440</v>
      </c>
    </row>
    <row r="401" spans="1:6" x14ac:dyDescent="0.35">
      <c r="A401">
        <v>15</v>
      </c>
      <c r="B401">
        <v>22</v>
      </c>
      <c r="C401" t="s">
        <v>1067</v>
      </c>
      <c r="D401" s="4">
        <v>1.75</v>
      </c>
      <c r="E401" s="4">
        <v>2.5</v>
      </c>
      <c r="F401" s="4">
        <v>3</v>
      </c>
    </row>
    <row r="402" spans="1:6" x14ac:dyDescent="0.35">
      <c r="A402">
        <v>15</v>
      </c>
      <c r="B402">
        <v>23</v>
      </c>
      <c r="C402" t="s">
        <v>1068</v>
      </c>
      <c r="D402" s="4">
        <v>15</v>
      </c>
      <c r="E402" s="4">
        <v>30</v>
      </c>
      <c r="F402" s="4">
        <v>100</v>
      </c>
    </row>
    <row r="403" spans="1:6" x14ac:dyDescent="0.35">
      <c r="A403">
        <v>15</v>
      </c>
      <c r="B403">
        <v>24</v>
      </c>
      <c r="C403" t="s">
        <v>1069</v>
      </c>
      <c r="D403" s="4">
        <v>50</v>
      </c>
      <c r="E403" s="4">
        <v>200</v>
      </c>
      <c r="F403" s="4">
        <v>500</v>
      </c>
    </row>
    <row r="404" spans="1:6" x14ac:dyDescent="0.35">
      <c r="A404">
        <v>15</v>
      </c>
      <c r="B404">
        <v>25</v>
      </c>
      <c r="C404" t="s">
        <v>1070</v>
      </c>
      <c r="D404" s="4">
        <v>48</v>
      </c>
      <c r="E404" s="4">
        <v>240</v>
      </c>
      <c r="F404" s="4">
        <v>1440</v>
      </c>
    </row>
    <row r="405" spans="1:6" x14ac:dyDescent="0.35">
      <c r="A405">
        <v>15</v>
      </c>
      <c r="B405">
        <v>26</v>
      </c>
      <c r="C405" t="s">
        <v>1071</v>
      </c>
      <c r="D405" s="4">
        <v>60</v>
      </c>
      <c r="E405" s="4">
        <v>80</v>
      </c>
      <c r="F405" s="4">
        <v>95</v>
      </c>
    </row>
    <row r="406" spans="1:6" x14ac:dyDescent="0.35">
      <c r="A406">
        <v>15</v>
      </c>
      <c r="B406">
        <v>27</v>
      </c>
      <c r="C406" t="s">
        <v>1072</v>
      </c>
      <c r="D406" s="4">
        <v>13</v>
      </c>
      <c r="E406" s="4">
        <v>15</v>
      </c>
      <c r="F406" s="4">
        <v>20</v>
      </c>
    </row>
    <row r="407" spans="1:6" x14ac:dyDescent="0.35">
      <c r="A407">
        <v>16</v>
      </c>
      <c r="B407">
        <v>1</v>
      </c>
      <c r="C407" t="s">
        <v>318</v>
      </c>
      <c r="D407" s="4">
        <v>1970</v>
      </c>
      <c r="E407" s="4">
        <v>1981</v>
      </c>
      <c r="F407" s="4">
        <v>1990</v>
      </c>
    </row>
    <row r="408" spans="1:6" x14ac:dyDescent="0.35">
      <c r="A408">
        <v>16</v>
      </c>
      <c r="B408">
        <v>2</v>
      </c>
      <c r="C408" t="s">
        <v>319</v>
      </c>
      <c r="D408" s="4">
        <v>5000</v>
      </c>
      <c r="E408" s="4">
        <v>9000</v>
      </c>
      <c r="F408" s="4">
        <v>15000</v>
      </c>
    </row>
    <row r="409" spans="1:6" x14ac:dyDescent="0.35">
      <c r="A409">
        <v>16</v>
      </c>
      <c r="B409">
        <v>3</v>
      </c>
      <c r="C409" t="s">
        <v>320</v>
      </c>
      <c r="D409" s="4">
        <v>1900</v>
      </c>
      <c r="E409" s="4">
        <v>2300</v>
      </c>
      <c r="F409" s="4">
        <v>3000</v>
      </c>
    </row>
    <row r="410" spans="1:6" x14ac:dyDescent="0.35">
      <c r="A410">
        <v>16</v>
      </c>
      <c r="B410">
        <v>4</v>
      </c>
      <c r="C410" t="s">
        <v>321</v>
      </c>
      <c r="D410" s="4">
        <v>10</v>
      </c>
      <c r="E410" s="4">
        <v>25</v>
      </c>
      <c r="F410" s="4">
        <v>50</v>
      </c>
    </row>
    <row r="411" spans="1:6" x14ac:dyDescent="0.35">
      <c r="A411">
        <v>16</v>
      </c>
      <c r="B411">
        <v>5</v>
      </c>
      <c r="C411" t="s">
        <v>322</v>
      </c>
      <c r="D411" s="4">
        <v>0</v>
      </c>
      <c r="E411" s="4">
        <v>2</v>
      </c>
      <c r="F411" s="4">
        <v>10</v>
      </c>
    </row>
    <row r="412" spans="1:6" x14ac:dyDescent="0.35">
      <c r="A412">
        <v>16</v>
      </c>
      <c r="B412">
        <v>6</v>
      </c>
      <c r="C412" t="s">
        <v>323</v>
      </c>
      <c r="D412" s="4">
        <v>1.5</v>
      </c>
      <c r="E412" s="4">
        <v>3</v>
      </c>
      <c r="F412" s="4">
        <v>7</v>
      </c>
    </row>
    <row r="413" spans="1:6" x14ac:dyDescent="0.35">
      <c r="A413">
        <v>16</v>
      </c>
      <c r="B413">
        <v>7</v>
      </c>
      <c r="C413" t="s">
        <v>324</v>
      </c>
      <c r="D413" s="4">
        <v>2</v>
      </c>
      <c r="E413" s="4">
        <v>4</v>
      </c>
      <c r="F413" s="4">
        <v>8</v>
      </c>
    </row>
    <row r="414" spans="1:6" x14ac:dyDescent="0.35">
      <c r="A414">
        <v>16</v>
      </c>
      <c r="B414">
        <v>8</v>
      </c>
      <c r="C414" t="s">
        <v>325</v>
      </c>
      <c r="D414" s="4">
        <v>100000</v>
      </c>
      <c r="E414" s="4">
        <v>2000000</v>
      </c>
      <c r="F414" s="4">
        <v>50000000</v>
      </c>
    </row>
    <row r="415" spans="1:6" x14ac:dyDescent="0.35">
      <c r="A415">
        <v>16</v>
      </c>
      <c r="B415">
        <v>9</v>
      </c>
      <c r="C415" t="s">
        <v>326</v>
      </c>
      <c r="D415" s="4">
        <v>72</v>
      </c>
      <c r="E415" s="4">
        <v>288</v>
      </c>
      <c r="F415" s="4">
        <v>480</v>
      </c>
    </row>
    <row r="416" spans="1:6" x14ac:dyDescent="0.35">
      <c r="A416">
        <v>16</v>
      </c>
      <c r="B416">
        <v>10</v>
      </c>
      <c r="C416" t="s">
        <v>327</v>
      </c>
      <c r="D416" s="4">
        <v>5</v>
      </c>
      <c r="E416" s="4">
        <v>200</v>
      </c>
      <c r="F416" s="4">
        <v>600</v>
      </c>
    </row>
    <row r="417" spans="1:6" x14ac:dyDescent="0.35">
      <c r="A417">
        <v>16</v>
      </c>
      <c r="B417">
        <v>11</v>
      </c>
      <c r="C417" t="s">
        <v>1046</v>
      </c>
      <c r="D417" s="4">
        <v>10</v>
      </c>
      <c r="E417" s="4">
        <v>100</v>
      </c>
      <c r="F417" s="4">
        <v>500</v>
      </c>
    </row>
    <row r="418" spans="1:6" x14ac:dyDescent="0.35">
      <c r="A418">
        <v>16</v>
      </c>
      <c r="B418">
        <v>12</v>
      </c>
      <c r="C418" t="s">
        <v>328</v>
      </c>
      <c r="D418" s="4">
        <v>3</v>
      </c>
      <c r="E418" s="4">
        <v>24</v>
      </c>
      <c r="F418" s="4">
        <v>72</v>
      </c>
    </row>
    <row r="419" spans="1:6" x14ac:dyDescent="0.35">
      <c r="A419">
        <v>16</v>
      </c>
      <c r="B419">
        <v>13</v>
      </c>
      <c r="C419" t="s">
        <v>329</v>
      </c>
      <c r="D419" s="4">
        <v>6000</v>
      </c>
      <c r="E419" s="4">
        <v>9000</v>
      </c>
      <c r="F419" s="4">
        <v>12000</v>
      </c>
    </row>
    <row r="420" spans="1:6" x14ac:dyDescent="0.35">
      <c r="A420">
        <v>16</v>
      </c>
      <c r="B420">
        <v>14</v>
      </c>
      <c r="C420" t="s">
        <v>1059</v>
      </c>
      <c r="D420" s="4">
        <v>10</v>
      </c>
      <c r="E420" s="4">
        <v>15</v>
      </c>
      <c r="F420" s="4">
        <v>20</v>
      </c>
    </row>
    <row r="421" spans="1:6" x14ac:dyDescent="0.35">
      <c r="A421">
        <v>16</v>
      </c>
      <c r="B421">
        <v>15</v>
      </c>
      <c r="C421" t="s">
        <v>1060</v>
      </c>
      <c r="D421" s="4">
        <v>1650</v>
      </c>
      <c r="E421" s="4">
        <v>1800</v>
      </c>
      <c r="F421" s="4">
        <v>1900</v>
      </c>
    </row>
    <row r="422" spans="1:6" x14ac:dyDescent="0.35">
      <c r="A422">
        <v>16</v>
      </c>
      <c r="B422">
        <v>16</v>
      </c>
      <c r="C422" t="s">
        <v>1061</v>
      </c>
      <c r="D422" s="4">
        <v>0</v>
      </c>
      <c r="E422" s="4">
        <v>7</v>
      </c>
      <c r="F422" s="4">
        <v>15</v>
      </c>
    </row>
    <row r="423" spans="1:6" x14ac:dyDescent="0.35">
      <c r="A423">
        <v>16</v>
      </c>
      <c r="B423">
        <v>17</v>
      </c>
      <c r="C423" t="s">
        <v>1062</v>
      </c>
      <c r="D423" s="4">
        <v>50</v>
      </c>
      <c r="E423" s="4">
        <v>75</v>
      </c>
      <c r="F423" s="4">
        <v>100</v>
      </c>
    </row>
    <row r="424" spans="1:6" x14ac:dyDescent="0.35">
      <c r="A424">
        <v>16</v>
      </c>
      <c r="B424">
        <v>18</v>
      </c>
      <c r="C424" t="s">
        <v>1063</v>
      </c>
      <c r="D424" s="4">
        <v>0</v>
      </c>
      <c r="E424" s="4">
        <v>5</v>
      </c>
      <c r="F424" s="4">
        <v>10</v>
      </c>
    </row>
    <row r="425" spans="1:6" x14ac:dyDescent="0.35">
      <c r="A425">
        <v>16</v>
      </c>
      <c r="B425">
        <v>19</v>
      </c>
      <c r="C425" t="s">
        <v>1064</v>
      </c>
      <c r="D425" s="4">
        <v>100</v>
      </c>
      <c r="E425" s="4">
        <v>4000</v>
      </c>
      <c r="F425" s="4">
        <v>10000</v>
      </c>
    </row>
    <row r="426" spans="1:6" x14ac:dyDescent="0.35">
      <c r="A426">
        <v>16</v>
      </c>
      <c r="B426">
        <v>20</v>
      </c>
      <c r="C426" t="s">
        <v>1065</v>
      </c>
      <c r="D426" s="4">
        <v>100</v>
      </c>
      <c r="E426" s="4">
        <v>150</v>
      </c>
      <c r="F426" s="4">
        <v>500</v>
      </c>
    </row>
    <row r="427" spans="1:6" x14ac:dyDescent="0.35">
      <c r="A427">
        <v>16</v>
      </c>
      <c r="B427">
        <v>21</v>
      </c>
      <c r="C427" t="s">
        <v>1066</v>
      </c>
      <c r="D427" s="4">
        <v>180</v>
      </c>
      <c r="E427" s="4">
        <v>1440</v>
      </c>
      <c r="F427" s="4">
        <v>4320</v>
      </c>
    </row>
    <row r="428" spans="1:6" x14ac:dyDescent="0.35">
      <c r="A428">
        <v>16</v>
      </c>
      <c r="B428">
        <v>22</v>
      </c>
      <c r="C428" t="s">
        <v>1067</v>
      </c>
      <c r="D428" s="4">
        <v>3</v>
      </c>
      <c r="E428" s="4">
        <v>6</v>
      </c>
      <c r="F428" s="4">
        <v>24</v>
      </c>
    </row>
    <row r="429" spans="1:6" x14ac:dyDescent="0.35">
      <c r="A429">
        <v>16</v>
      </c>
      <c r="B429">
        <v>23</v>
      </c>
      <c r="C429" t="s">
        <v>1068</v>
      </c>
      <c r="D429" s="4">
        <v>10</v>
      </c>
      <c r="E429" s="4">
        <v>20</v>
      </c>
      <c r="F429" s="4">
        <v>100</v>
      </c>
    </row>
    <row r="430" spans="1:6" x14ac:dyDescent="0.35">
      <c r="A430">
        <v>16</v>
      </c>
      <c r="B430">
        <v>24</v>
      </c>
      <c r="C430" t="s">
        <v>1069</v>
      </c>
      <c r="D430" s="4">
        <v>50</v>
      </c>
      <c r="E430" s="4">
        <v>400</v>
      </c>
      <c r="F430" s="4">
        <v>1000</v>
      </c>
    </row>
    <row r="431" spans="1:6" x14ac:dyDescent="0.35">
      <c r="A431">
        <v>16</v>
      </c>
      <c r="B431">
        <v>25</v>
      </c>
      <c r="C431" t="s">
        <v>1070</v>
      </c>
      <c r="D431" s="4">
        <v>72</v>
      </c>
      <c r="E431" s="4">
        <v>720</v>
      </c>
      <c r="F431" s="4">
        <v>2880</v>
      </c>
    </row>
    <row r="432" spans="1:6" x14ac:dyDescent="0.35">
      <c r="A432">
        <v>16</v>
      </c>
      <c r="B432">
        <v>26</v>
      </c>
      <c r="C432" t="s">
        <v>1071</v>
      </c>
      <c r="D432" s="4">
        <v>40</v>
      </c>
      <c r="E432" s="4">
        <v>80</v>
      </c>
      <c r="F432" s="4">
        <v>90</v>
      </c>
    </row>
    <row r="433" spans="1:6" x14ac:dyDescent="0.35">
      <c r="A433">
        <v>16</v>
      </c>
      <c r="B433">
        <v>27</v>
      </c>
      <c r="C433" t="s">
        <v>1072</v>
      </c>
      <c r="D433" s="4">
        <v>6</v>
      </c>
      <c r="E433" s="4">
        <v>12</v>
      </c>
      <c r="F433" s="4">
        <v>48</v>
      </c>
    </row>
    <row r="434" spans="1:6" x14ac:dyDescent="0.35">
      <c r="A434">
        <v>17</v>
      </c>
      <c r="B434">
        <v>1</v>
      </c>
      <c r="C434" t="s">
        <v>318</v>
      </c>
      <c r="D434" s="4">
        <v>1970</v>
      </c>
      <c r="E434" s="4">
        <v>1975</v>
      </c>
      <c r="F434" s="4">
        <v>1981</v>
      </c>
    </row>
    <row r="435" spans="1:6" x14ac:dyDescent="0.35">
      <c r="A435">
        <v>17</v>
      </c>
      <c r="B435">
        <v>2</v>
      </c>
      <c r="C435" t="s">
        <v>319</v>
      </c>
      <c r="D435" s="4">
        <v>4000</v>
      </c>
      <c r="E435" s="4">
        <v>8000</v>
      </c>
      <c r="F435" s="4">
        <v>15000</v>
      </c>
    </row>
    <row r="436" spans="1:6" x14ac:dyDescent="0.35">
      <c r="A436">
        <v>17</v>
      </c>
      <c r="B436">
        <v>3</v>
      </c>
      <c r="C436" t="s">
        <v>320</v>
      </c>
      <c r="D436" s="4">
        <v>1000</v>
      </c>
      <c r="E436" s="4">
        <v>2000</v>
      </c>
      <c r="F436" s="4">
        <v>4000</v>
      </c>
    </row>
    <row r="437" spans="1:6" x14ac:dyDescent="0.35">
      <c r="A437">
        <v>17</v>
      </c>
      <c r="B437">
        <v>4</v>
      </c>
      <c r="C437" t="s">
        <v>321</v>
      </c>
      <c r="D437" s="4">
        <v>1</v>
      </c>
      <c r="E437" s="4">
        <v>10</v>
      </c>
      <c r="F437" s="4">
        <v>90</v>
      </c>
    </row>
    <row r="438" spans="1:6" x14ac:dyDescent="0.35">
      <c r="A438">
        <v>17</v>
      </c>
      <c r="B438">
        <v>5</v>
      </c>
      <c r="C438" t="s">
        <v>322</v>
      </c>
      <c r="D438" s="4">
        <v>0</v>
      </c>
      <c r="E438" s="4">
        <v>2</v>
      </c>
      <c r="F438" s="4">
        <v>10</v>
      </c>
    </row>
    <row r="439" spans="1:6" x14ac:dyDescent="0.35">
      <c r="A439">
        <v>17</v>
      </c>
      <c r="B439">
        <v>6</v>
      </c>
      <c r="C439" t="s">
        <v>323</v>
      </c>
      <c r="D439" s="4">
        <v>1</v>
      </c>
      <c r="E439" s="4">
        <v>2</v>
      </c>
      <c r="F439" s="4">
        <v>20</v>
      </c>
    </row>
    <row r="440" spans="1:6" x14ac:dyDescent="0.35">
      <c r="A440">
        <v>17</v>
      </c>
      <c r="B440">
        <v>7</v>
      </c>
      <c r="C440" t="s">
        <v>324</v>
      </c>
      <c r="D440" s="4">
        <v>0</v>
      </c>
      <c r="E440" s="4">
        <v>8</v>
      </c>
      <c r="F440" s="4">
        <v>25</v>
      </c>
    </row>
    <row r="441" spans="1:6" x14ac:dyDescent="0.35">
      <c r="A441">
        <v>17</v>
      </c>
      <c r="B441">
        <v>8</v>
      </c>
      <c r="C441" t="s">
        <v>325</v>
      </c>
      <c r="D441" s="4">
        <v>10000</v>
      </c>
      <c r="E441" s="4">
        <v>1000000</v>
      </c>
      <c r="F441" s="4">
        <v>100000000</v>
      </c>
    </row>
    <row r="442" spans="1:6" x14ac:dyDescent="0.35">
      <c r="A442">
        <v>17</v>
      </c>
      <c r="B442">
        <v>9</v>
      </c>
      <c r="C442" t="s">
        <v>326</v>
      </c>
      <c r="D442" s="4">
        <v>12</v>
      </c>
      <c r="E442" s="4">
        <v>360</v>
      </c>
      <c r="F442" s="4">
        <v>600</v>
      </c>
    </row>
    <row r="443" spans="1:6" x14ac:dyDescent="0.35">
      <c r="A443">
        <v>17</v>
      </c>
      <c r="B443">
        <v>10</v>
      </c>
      <c r="C443" t="s">
        <v>327</v>
      </c>
      <c r="D443" s="4">
        <v>75</v>
      </c>
      <c r="E443" s="4">
        <v>150</v>
      </c>
      <c r="F443" s="4">
        <v>300</v>
      </c>
    </row>
    <row r="444" spans="1:6" x14ac:dyDescent="0.35">
      <c r="A444">
        <v>17</v>
      </c>
      <c r="B444">
        <v>11</v>
      </c>
      <c r="C444" t="s">
        <v>1046</v>
      </c>
      <c r="D444" s="4">
        <v>10</v>
      </c>
      <c r="E444" s="4">
        <v>50</v>
      </c>
      <c r="F444" s="4">
        <v>100</v>
      </c>
    </row>
    <row r="445" spans="1:6" x14ac:dyDescent="0.35">
      <c r="A445">
        <v>17</v>
      </c>
      <c r="B445">
        <v>12</v>
      </c>
      <c r="C445" t="s">
        <v>328</v>
      </c>
      <c r="D445" s="4">
        <v>3</v>
      </c>
      <c r="E445" s="4">
        <v>24</v>
      </c>
      <c r="F445" s="4">
        <v>72</v>
      </c>
    </row>
    <row r="446" spans="1:6" x14ac:dyDescent="0.35">
      <c r="A446">
        <v>17</v>
      </c>
      <c r="B446">
        <v>13</v>
      </c>
      <c r="C446" t="s">
        <v>329</v>
      </c>
      <c r="D446" s="4">
        <v>5000</v>
      </c>
      <c r="E446" s="4">
        <v>8000</v>
      </c>
      <c r="F446" s="4">
        <v>20000</v>
      </c>
    </row>
    <row r="447" spans="1:6" x14ac:dyDescent="0.35">
      <c r="A447">
        <v>17</v>
      </c>
      <c r="B447">
        <v>14</v>
      </c>
      <c r="C447" t="s">
        <v>1059</v>
      </c>
      <c r="D447" s="4">
        <v>1</v>
      </c>
      <c r="E447" s="4">
        <v>7</v>
      </c>
      <c r="F447" s="4">
        <v>30</v>
      </c>
    </row>
    <row r="448" spans="1:6" x14ac:dyDescent="0.35">
      <c r="A448">
        <v>17</v>
      </c>
      <c r="B448">
        <v>15</v>
      </c>
      <c r="C448" t="s">
        <v>1060</v>
      </c>
      <c r="D448" s="4">
        <v>1800</v>
      </c>
      <c r="E448" s="4">
        <v>1900</v>
      </c>
      <c r="F448" s="4">
        <v>1960</v>
      </c>
    </row>
    <row r="449" spans="1:6" x14ac:dyDescent="0.35">
      <c r="A449">
        <v>17</v>
      </c>
      <c r="B449">
        <v>16</v>
      </c>
      <c r="C449" t="s">
        <v>1061</v>
      </c>
      <c r="D449" s="4">
        <v>0</v>
      </c>
      <c r="E449" s="4">
        <v>25</v>
      </c>
      <c r="F449" s="4">
        <v>75</v>
      </c>
    </row>
    <row r="450" spans="1:6" x14ac:dyDescent="0.35">
      <c r="A450">
        <v>17</v>
      </c>
      <c r="B450">
        <v>17</v>
      </c>
      <c r="C450" t="s">
        <v>1062</v>
      </c>
      <c r="D450" s="4">
        <v>25</v>
      </c>
      <c r="E450" s="4">
        <v>75</v>
      </c>
      <c r="F450" s="4">
        <v>100</v>
      </c>
    </row>
    <row r="451" spans="1:6" x14ac:dyDescent="0.35">
      <c r="A451">
        <v>17</v>
      </c>
      <c r="B451">
        <v>18</v>
      </c>
      <c r="C451" t="s">
        <v>1063</v>
      </c>
      <c r="D451" s="4">
        <v>25</v>
      </c>
      <c r="E451" s="4">
        <v>75</v>
      </c>
      <c r="F451" s="4">
        <v>100</v>
      </c>
    </row>
    <row r="452" spans="1:6" x14ac:dyDescent="0.35">
      <c r="A452">
        <v>17</v>
      </c>
      <c r="B452">
        <v>19</v>
      </c>
      <c r="C452" t="s">
        <v>1064</v>
      </c>
      <c r="D452" s="4">
        <v>2000</v>
      </c>
      <c r="E452" s="4">
        <v>5000</v>
      </c>
      <c r="F452" s="4">
        <v>25000</v>
      </c>
    </row>
    <row r="453" spans="1:6" x14ac:dyDescent="0.35">
      <c r="A453">
        <v>17</v>
      </c>
      <c r="B453">
        <v>20</v>
      </c>
      <c r="C453" t="s">
        <v>1065</v>
      </c>
      <c r="D453" s="4">
        <v>50</v>
      </c>
      <c r="E453" s="4">
        <v>120</v>
      </c>
      <c r="F453" s="4">
        <v>300</v>
      </c>
    </row>
    <row r="454" spans="1:6" x14ac:dyDescent="0.35">
      <c r="A454">
        <v>17</v>
      </c>
      <c r="B454">
        <v>21</v>
      </c>
      <c r="C454" t="s">
        <v>1066</v>
      </c>
      <c r="D454" s="4">
        <v>12</v>
      </c>
      <c r="E454" s="4">
        <v>336</v>
      </c>
      <c r="F454" s="4">
        <v>4800</v>
      </c>
    </row>
    <row r="455" spans="1:6" x14ac:dyDescent="0.35">
      <c r="A455">
        <v>17</v>
      </c>
      <c r="B455">
        <v>22</v>
      </c>
      <c r="C455" t="s">
        <v>1067</v>
      </c>
      <c r="D455" s="4">
        <v>9</v>
      </c>
      <c r="E455" s="4">
        <v>16</v>
      </c>
      <c r="F455" s="4">
        <v>48</v>
      </c>
    </row>
    <row r="456" spans="1:6" x14ac:dyDescent="0.35">
      <c r="A456">
        <v>17</v>
      </c>
      <c r="B456">
        <v>23</v>
      </c>
      <c r="C456" t="s">
        <v>1068</v>
      </c>
      <c r="D456" s="4">
        <v>50</v>
      </c>
      <c r="E456" s="4">
        <v>500</v>
      </c>
      <c r="F456" s="4">
        <v>1500</v>
      </c>
    </row>
    <row r="457" spans="1:6" x14ac:dyDescent="0.35">
      <c r="A457">
        <v>17</v>
      </c>
      <c r="B457">
        <v>24</v>
      </c>
      <c r="C457" t="s">
        <v>1069</v>
      </c>
      <c r="D457" s="4">
        <v>100</v>
      </c>
      <c r="E457" s="4">
        <v>200</v>
      </c>
      <c r="F457" s="4">
        <v>1000</v>
      </c>
    </row>
    <row r="458" spans="1:6" x14ac:dyDescent="0.35">
      <c r="A458">
        <v>17</v>
      </c>
      <c r="B458">
        <v>25</v>
      </c>
      <c r="C458" t="s">
        <v>1070</v>
      </c>
      <c r="D458" s="4">
        <v>24</v>
      </c>
      <c r="E458" s="4">
        <v>120</v>
      </c>
      <c r="F458" s="4">
        <v>720</v>
      </c>
    </row>
    <row r="459" spans="1:6" x14ac:dyDescent="0.35">
      <c r="A459">
        <v>17</v>
      </c>
      <c r="B459">
        <v>26</v>
      </c>
      <c r="C459" t="s">
        <v>1071</v>
      </c>
      <c r="D459" s="4">
        <v>40</v>
      </c>
      <c r="E459" s="4">
        <v>80</v>
      </c>
      <c r="F459" s="4">
        <v>100</v>
      </c>
    </row>
    <row r="460" spans="1:6" x14ac:dyDescent="0.35">
      <c r="A460">
        <v>17</v>
      </c>
      <c r="B460">
        <v>27</v>
      </c>
      <c r="C460" t="s">
        <v>1072</v>
      </c>
      <c r="D460" s="4">
        <v>4</v>
      </c>
      <c r="E460" s="4">
        <v>7</v>
      </c>
      <c r="F460" s="4">
        <v>24</v>
      </c>
    </row>
    <row r="461" spans="1:6" x14ac:dyDescent="0.35">
      <c r="A461">
        <v>18</v>
      </c>
      <c r="B461">
        <v>1</v>
      </c>
      <c r="C461" t="s">
        <v>318</v>
      </c>
      <c r="D461" s="4">
        <v>1979</v>
      </c>
      <c r="E461" s="4">
        <v>1980</v>
      </c>
      <c r="F461" s="4">
        <v>1981</v>
      </c>
    </row>
    <row r="462" spans="1:6" x14ac:dyDescent="0.35">
      <c r="A462">
        <v>18</v>
      </c>
      <c r="B462">
        <v>2</v>
      </c>
      <c r="C462" t="s">
        <v>319</v>
      </c>
      <c r="D462" s="4">
        <v>9350</v>
      </c>
      <c r="E462" s="4">
        <v>9365</v>
      </c>
      <c r="F462" s="4">
        <v>9380</v>
      </c>
    </row>
    <row r="463" spans="1:6" x14ac:dyDescent="0.35">
      <c r="A463">
        <v>18</v>
      </c>
      <c r="B463">
        <v>3</v>
      </c>
      <c r="C463" t="s">
        <v>320</v>
      </c>
      <c r="D463" s="4">
        <v>3000</v>
      </c>
      <c r="E463" s="4">
        <v>3070</v>
      </c>
      <c r="F463" s="4">
        <v>3100</v>
      </c>
    </row>
    <row r="464" spans="1:6" x14ac:dyDescent="0.35">
      <c r="A464">
        <v>18</v>
      </c>
      <c r="B464">
        <v>4</v>
      </c>
      <c r="C464" t="s">
        <v>321</v>
      </c>
      <c r="D464" s="4">
        <v>10</v>
      </c>
      <c r="E464" s="4">
        <v>30</v>
      </c>
      <c r="F464" s="4">
        <v>50</v>
      </c>
    </row>
    <row r="465" spans="1:6" x14ac:dyDescent="0.35">
      <c r="A465">
        <v>18</v>
      </c>
      <c r="B465">
        <v>5</v>
      </c>
      <c r="C465" t="s">
        <v>322</v>
      </c>
      <c r="D465" s="4">
        <v>2</v>
      </c>
      <c r="E465" s="4">
        <v>6</v>
      </c>
      <c r="F465" s="4">
        <v>10</v>
      </c>
    </row>
    <row r="466" spans="1:6" x14ac:dyDescent="0.35">
      <c r="A466">
        <v>18</v>
      </c>
      <c r="B466">
        <v>6</v>
      </c>
      <c r="C466" t="s">
        <v>323</v>
      </c>
      <c r="D466" s="4">
        <v>5</v>
      </c>
      <c r="E466" s="4">
        <v>8</v>
      </c>
      <c r="F466" s="4">
        <v>10</v>
      </c>
    </row>
    <row r="467" spans="1:6" x14ac:dyDescent="0.35">
      <c r="A467">
        <v>18</v>
      </c>
      <c r="B467">
        <v>7</v>
      </c>
      <c r="C467" t="s">
        <v>324</v>
      </c>
      <c r="D467" s="4">
        <v>1</v>
      </c>
      <c r="E467" s="4">
        <v>4</v>
      </c>
      <c r="F467" s="4">
        <v>6</v>
      </c>
    </row>
    <row r="468" spans="1:6" x14ac:dyDescent="0.35">
      <c r="A468">
        <v>18</v>
      </c>
      <c r="B468">
        <v>8</v>
      </c>
      <c r="C468" t="s">
        <v>325</v>
      </c>
      <c r="D468" s="4">
        <v>5</v>
      </c>
      <c r="E468" s="4">
        <v>19</v>
      </c>
      <c r="F468" s="4">
        <v>40</v>
      </c>
    </row>
    <row r="469" spans="1:6" x14ac:dyDescent="0.35">
      <c r="A469">
        <v>18</v>
      </c>
      <c r="B469">
        <v>9</v>
      </c>
      <c r="C469" t="s">
        <v>326</v>
      </c>
      <c r="D469" s="4">
        <v>120</v>
      </c>
      <c r="E469" s="4">
        <v>360</v>
      </c>
      <c r="F469" s="4">
        <v>600</v>
      </c>
    </row>
    <row r="470" spans="1:6" x14ac:dyDescent="0.35">
      <c r="A470">
        <v>18</v>
      </c>
      <c r="B470">
        <v>10</v>
      </c>
      <c r="C470" t="s">
        <v>327</v>
      </c>
      <c r="D470" s="4">
        <v>100</v>
      </c>
      <c r="E470" s="4">
        <v>300</v>
      </c>
      <c r="F470" s="4">
        <v>500</v>
      </c>
    </row>
    <row r="471" spans="1:6" x14ac:dyDescent="0.35">
      <c r="A471">
        <v>18</v>
      </c>
      <c r="B471">
        <v>11</v>
      </c>
      <c r="C471" t="s">
        <v>1046</v>
      </c>
      <c r="D471" s="4">
        <v>40</v>
      </c>
      <c r="E471" s="4">
        <v>60</v>
      </c>
      <c r="F471" s="4">
        <v>80</v>
      </c>
    </row>
    <row r="472" spans="1:6" x14ac:dyDescent="0.35">
      <c r="A472">
        <v>18</v>
      </c>
      <c r="B472">
        <v>12</v>
      </c>
      <c r="C472" t="s">
        <v>328</v>
      </c>
      <c r="D472" s="4">
        <v>6</v>
      </c>
      <c r="E472" s="4">
        <v>11</v>
      </c>
      <c r="F472" s="4">
        <v>24</v>
      </c>
    </row>
    <row r="473" spans="1:6" x14ac:dyDescent="0.35">
      <c r="A473">
        <v>18</v>
      </c>
      <c r="B473">
        <v>13</v>
      </c>
      <c r="C473" t="s">
        <v>329</v>
      </c>
      <c r="D473" s="4">
        <v>3000</v>
      </c>
      <c r="E473" s="4">
        <v>6000</v>
      </c>
      <c r="F473" s="4">
        <v>9000</v>
      </c>
    </row>
    <row r="474" spans="1:6" x14ac:dyDescent="0.35">
      <c r="A474">
        <v>18</v>
      </c>
      <c r="B474">
        <v>14</v>
      </c>
      <c r="C474" t="s">
        <v>1059</v>
      </c>
      <c r="D474" s="4">
        <v>5</v>
      </c>
      <c r="E474" s="4">
        <v>15</v>
      </c>
      <c r="F474" s="4">
        <v>30</v>
      </c>
    </row>
    <row r="475" spans="1:6" x14ac:dyDescent="0.35">
      <c r="A475">
        <v>18</v>
      </c>
      <c r="B475">
        <v>15</v>
      </c>
      <c r="C475" t="s">
        <v>1060</v>
      </c>
      <c r="D475" s="4">
        <v>1800</v>
      </c>
      <c r="E475" s="4">
        <v>1895</v>
      </c>
      <c r="F475" s="4">
        <v>2000</v>
      </c>
    </row>
    <row r="476" spans="1:6" x14ac:dyDescent="0.35">
      <c r="A476">
        <v>18</v>
      </c>
      <c r="B476">
        <v>16</v>
      </c>
      <c r="C476" t="s">
        <v>1061</v>
      </c>
      <c r="D476" s="4">
        <v>10</v>
      </c>
      <c r="E476" s="4">
        <v>50</v>
      </c>
      <c r="F476" s="4">
        <v>90</v>
      </c>
    </row>
    <row r="477" spans="1:6" x14ac:dyDescent="0.35">
      <c r="A477">
        <v>18</v>
      </c>
      <c r="B477">
        <v>17</v>
      </c>
      <c r="C477" t="s">
        <v>1062</v>
      </c>
      <c r="D477" s="4">
        <v>40</v>
      </c>
      <c r="E477" s="4">
        <v>70</v>
      </c>
      <c r="F477" s="4">
        <v>90</v>
      </c>
    </row>
    <row r="478" spans="1:6" x14ac:dyDescent="0.35">
      <c r="A478">
        <v>18</v>
      </c>
      <c r="B478">
        <v>18</v>
      </c>
      <c r="C478" t="s">
        <v>1063</v>
      </c>
      <c r="D478" s="4">
        <v>5</v>
      </c>
      <c r="E478" s="4">
        <v>20</v>
      </c>
      <c r="F478" s="4">
        <v>40</v>
      </c>
    </row>
    <row r="479" spans="1:6" x14ac:dyDescent="0.35">
      <c r="A479">
        <v>18</v>
      </c>
      <c r="B479">
        <v>19</v>
      </c>
      <c r="C479" t="s">
        <v>1064</v>
      </c>
      <c r="D479" s="4">
        <v>300</v>
      </c>
      <c r="E479" s="4">
        <v>1200</v>
      </c>
      <c r="F479" s="4">
        <v>2000</v>
      </c>
    </row>
    <row r="480" spans="1:6" x14ac:dyDescent="0.35">
      <c r="A480">
        <v>18</v>
      </c>
      <c r="B480">
        <v>20</v>
      </c>
      <c r="C480" t="s">
        <v>1065</v>
      </c>
      <c r="D480" s="4">
        <v>50</v>
      </c>
      <c r="E480" s="4">
        <v>350</v>
      </c>
      <c r="F480" s="4">
        <v>550</v>
      </c>
    </row>
    <row r="481" spans="1:6" x14ac:dyDescent="0.35">
      <c r="A481">
        <v>18</v>
      </c>
      <c r="B481">
        <v>21</v>
      </c>
      <c r="C481" t="s">
        <v>1066</v>
      </c>
      <c r="D481" s="4">
        <v>720</v>
      </c>
      <c r="E481" s="4">
        <v>5760</v>
      </c>
      <c r="F481" s="4">
        <v>13680</v>
      </c>
    </row>
    <row r="482" spans="1:6" x14ac:dyDescent="0.35">
      <c r="A482">
        <v>18</v>
      </c>
      <c r="B482">
        <v>22</v>
      </c>
      <c r="C482" t="s">
        <v>1067</v>
      </c>
      <c r="D482" s="4">
        <v>1</v>
      </c>
      <c r="E482" s="4">
        <v>7</v>
      </c>
      <c r="F482" s="4">
        <v>20</v>
      </c>
    </row>
    <row r="483" spans="1:6" x14ac:dyDescent="0.35">
      <c r="A483">
        <v>18</v>
      </c>
      <c r="B483">
        <v>23</v>
      </c>
      <c r="C483" t="s">
        <v>1068</v>
      </c>
      <c r="D483" s="4">
        <v>50</v>
      </c>
      <c r="E483" s="4">
        <v>300</v>
      </c>
      <c r="F483" s="4">
        <v>600</v>
      </c>
    </row>
    <row r="484" spans="1:6" x14ac:dyDescent="0.35">
      <c r="A484">
        <v>18</v>
      </c>
      <c r="B484">
        <v>24</v>
      </c>
      <c r="C484" t="s">
        <v>1069</v>
      </c>
      <c r="D484" s="4">
        <v>50</v>
      </c>
      <c r="E484" s="4">
        <v>450</v>
      </c>
      <c r="F484" s="4">
        <v>1100</v>
      </c>
    </row>
    <row r="485" spans="1:6" x14ac:dyDescent="0.35">
      <c r="A485">
        <v>18</v>
      </c>
      <c r="B485">
        <v>25</v>
      </c>
      <c r="C485" t="s">
        <v>1070</v>
      </c>
      <c r="D485" s="4">
        <v>720</v>
      </c>
      <c r="E485" s="4">
        <v>5760</v>
      </c>
      <c r="F485" s="4">
        <v>13680</v>
      </c>
    </row>
    <row r="486" spans="1:6" x14ac:dyDescent="0.35">
      <c r="A486">
        <v>18</v>
      </c>
      <c r="B486">
        <v>26</v>
      </c>
      <c r="C486" t="s">
        <v>1071</v>
      </c>
      <c r="D486" s="4">
        <v>30</v>
      </c>
      <c r="E486" s="4">
        <v>70</v>
      </c>
      <c r="F486" s="4">
        <v>90</v>
      </c>
    </row>
    <row r="487" spans="1:6" x14ac:dyDescent="0.35">
      <c r="A487">
        <v>18</v>
      </c>
      <c r="B487">
        <v>27</v>
      </c>
      <c r="C487" t="s">
        <v>1072</v>
      </c>
      <c r="D487" s="4">
        <v>7</v>
      </c>
      <c r="E487" s="4">
        <v>24</v>
      </c>
      <c r="F487" s="4">
        <v>40</v>
      </c>
    </row>
    <row r="488" spans="1:6" x14ac:dyDescent="0.35">
      <c r="A488">
        <v>19</v>
      </c>
      <c r="B488">
        <v>1</v>
      </c>
      <c r="C488" t="s">
        <v>318</v>
      </c>
      <c r="D488" s="4">
        <v>1965</v>
      </c>
      <c r="E488" s="4">
        <v>1970</v>
      </c>
      <c r="F488" s="4">
        <v>1978</v>
      </c>
    </row>
    <row r="489" spans="1:6" x14ac:dyDescent="0.35">
      <c r="A489">
        <v>19</v>
      </c>
      <c r="B489">
        <v>2</v>
      </c>
      <c r="C489" t="s">
        <v>319</v>
      </c>
      <c r="D489" s="4">
        <v>8500</v>
      </c>
      <c r="E489" s="4">
        <v>9000</v>
      </c>
      <c r="F489" s="4">
        <v>11000</v>
      </c>
    </row>
    <row r="490" spans="1:6" x14ac:dyDescent="0.35">
      <c r="A490">
        <v>19</v>
      </c>
      <c r="B490">
        <v>3</v>
      </c>
      <c r="C490" t="s">
        <v>320</v>
      </c>
      <c r="D490" s="4">
        <v>2500</v>
      </c>
      <c r="E490" s="4">
        <v>2700</v>
      </c>
      <c r="F490" s="4">
        <v>3000</v>
      </c>
    </row>
    <row r="491" spans="1:6" x14ac:dyDescent="0.35">
      <c r="A491">
        <v>19</v>
      </c>
      <c r="B491">
        <v>4</v>
      </c>
      <c r="C491" t="s">
        <v>321</v>
      </c>
      <c r="D491" s="4">
        <v>7</v>
      </c>
      <c r="E491" s="4">
        <v>20</v>
      </c>
      <c r="F491" s="4">
        <v>30</v>
      </c>
    </row>
    <row r="492" spans="1:6" x14ac:dyDescent="0.35">
      <c r="A492">
        <v>19</v>
      </c>
      <c r="B492">
        <v>5</v>
      </c>
      <c r="C492" t="s">
        <v>322</v>
      </c>
      <c r="D492" s="4">
        <v>5</v>
      </c>
      <c r="E492" s="4">
        <v>7</v>
      </c>
      <c r="F492" s="4">
        <v>15</v>
      </c>
    </row>
    <row r="493" spans="1:6" x14ac:dyDescent="0.35">
      <c r="A493">
        <v>19</v>
      </c>
      <c r="B493">
        <v>6</v>
      </c>
      <c r="C493" t="s">
        <v>323</v>
      </c>
      <c r="D493" s="4">
        <v>5</v>
      </c>
      <c r="E493" s="4">
        <v>10</v>
      </c>
      <c r="F493" s="4">
        <v>18</v>
      </c>
    </row>
    <row r="494" spans="1:6" x14ac:dyDescent="0.35">
      <c r="A494">
        <v>19</v>
      </c>
      <c r="B494">
        <v>7</v>
      </c>
      <c r="C494" t="s">
        <v>324</v>
      </c>
      <c r="D494" s="4">
        <v>8</v>
      </c>
      <c r="E494" s="4">
        <v>10</v>
      </c>
      <c r="F494" s="4">
        <v>15</v>
      </c>
    </row>
    <row r="495" spans="1:6" x14ac:dyDescent="0.35">
      <c r="A495">
        <v>19</v>
      </c>
      <c r="B495">
        <v>8</v>
      </c>
      <c r="C495" t="s">
        <v>325</v>
      </c>
      <c r="D495" s="4">
        <v>1000000000</v>
      </c>
      <c r="E495" s="4">
        <v>2000000000</v>
      </c>
      <c r="F495" s="4">
        <v>3000000000</v>
      </c>
    </row>
    <row r="496" spans="1:6" x14ac:dyDescent="0.35">
      <c r="A496">
        <v>19</v>
      </c>
      <c r="B496">
        <v>9</v>
      </c>
      <c r="C496" t="s">
        <v>326</v>
      </c>
      <c r="D496" s="4">
        <v>240</v>
      </c>
      <c r="E496" s="4">
        <v>720</v>
      </c>
      <c r="F496" s="4">
        <v>960</v>
      </c>
    </row>
    <row r="497" spans="1:6" x14ac:dyDescent="0.35">
      <c r="A497">
        <v>19</v>
      </c>
      <c r="B497">
        <v>10</v>
      </c>
      <c r="C497" t="s">
        <v>327</v>
      </c>
      <c r="D497" s="4">
        <v>90</v>
      </c>
      <c r="E497" s="4">
        <v>120</v>
      </c>
      <c r="F497" s="4">
        <v>150</v>
      </c>
    </row>
    <row r="498" spans="1:6" x14ac:dyDescent="0.35">
      <c r="A498">
        <v>19</v>
      </c>
      <c r="B498">
        <v>11</v>
      </c>
      <c r="C498" t="s">
        <v>1046</v>
      </c>
      <c r="D498" s="4">
        <v>15</v>
      </c>
      <c r="E498" s="4">
        <v>20</v>
      </c>
      <c r="F498" s="4">
        <v>30</v>
      </c>
    </row>
    <row r="499" spans="1:6" x14ac:dyDescent="0.35">
      <c r="A499">
        <v>19</v>
      </c>
      <c r="B499">
        <v>12</v>
      </c>
      <c r="C499" t="s">
        <v>328</v>
      </c>
      <c r="D499" s="4">
        <v>12</v>
      </c>
      <c r="E499" s="4">
        <v>48</v>
      </c>
      <c r="F499" s="4">
        <v>72</v>
      </c>
    </row>
    <row r="500" spans="1:6" x14ac:dyDescent="0.35">
      <c r="A500">
        <v>19</v>
      </c>
      <c r="B500">
        <v>13</v>
      </c>
      <c r="C500" t="s">
        <v>329</v>
      </c>
      <c r="D500" s="4">
        <v>7500</v>
      </c>
      <c r="E500" s="4">
        <v>8000</v>
      </c>
      <c r="F500" s="4">
        <v>8500</v>
      </c>
    </row>
    <row r="501" spans="1:6" x14ac:dyDescent="0.35">
      <c r="A501">
        <v>19</v>
      </c>
      <c r="B501">
        <v>14</v>
      </c>
      <c r="C501" t="s">
        <v>1059</v>
      </c>
      <c r="D501" s="4">
        <v>7</v>
      </c>
      <c r="E501" s="4">
        <v>11</v>
      </c>
      <c r="F501" s="4">
        <v>18</v>
      </c>
    </row>
    <row r="502" spans="1:6" x14ac:dyDescent="0.35">
      <c r="A502">
        <v>19</v>
      </c>
      <c r="B502">
        <v>15</v>
      </c>
      <c r="C502" t="s">
        <v>1060</v>
      </c>
      <c r="D502" s="4">
        <v>1985</v>
      </c>
      <c r="E502" s="4">
        <v>1990</v>
      </c>
      <c r="F502" s="4">
        <v>1992</v>
      </c>
    </row>
    <row r="503" spans="1:6" x14ac:dyDescent="0.35">
      <c r="A503">
        <v>19</v>
      </c>
      <c r="B503">
        <v>16</v>
      </c>
      <c r="C503" t="s">
        <v>1061</v>
      </c>
      <c r="D503" s="4">
        <v>15</v>
      </c>
      <c r="E503" s="4">
        <v>25</v>
      </c>
      <c r="F503" s="4">
        <v>28</v>
      </c>
    </row>
    <row r="504" spans="1:6" x14ac:dyDescent="0.35">
      <c r="A504">
        <v>19</v>
      </c>
      <c r="B504">
        <v>17</v>
      </c>
      <c r="C504" t="s">
        <v>1062</v>
      </c>
      <c r="D504" s="4">
        <v>45</v>
      </c>
      <c r="E504" s="4">
        <v>50</v>
      </c>
      <c r="F504" s="4">
        <v>55</v>
      </c>
    </row>
    <row r="505" spans="1:6" x14ac:dyDescent="0.35">
      <c r="A505">
        <v>19</v>
      </c>
      <c r="B505">
        <v>18</v>
      </c>
      <c r="C505" t="s">
        <v>1063</v>
      </c>
      <c r="D505" s="4">
        <v>55</v>
      </c>
      <c r="E505" s="4">
        <v>65</v>
      </c>
      <c r="F505" s="4">
        <v>70</v>
      </c>
    </row>
    <row r="506" spans="1:6" x14ac:dyDescent="0.35">
      <c r="A506">
        <v>19</v>
      </c>
      <c r="B506">
        <v>19</v>
      </c>
      <c r="C506" t="s">
        <v>1064</v>
      </c>
      <c r="D506" s="4">
        <v>500</v>
      </c>
      <c r="E506" s="4">
        <v>800</v>
      </c>
      <c r="F506" s="4">
        <v>1200</v>
      </c>
    </row>
    <row r="507" spans="1:6" x14ac:dyDescent="0.35">
      <c r="A507">
        <v>19</v>
      </c>
      <c r="B507">
        <v>20</v>
      </c>
      <c r="C507" t="s">
        <v>1065</v>
      </c>
      <c r="D507" s="4">
        <v>100</v>
      </c>
      <c r="E507" s="4">
        <v>120</v>
      </c>
      <c r="F507" s="4">
        <v>150</v>
      </c>
    </row>
    <row r="508" spans="1:6" x14ac:dyDescent="0.35">
      <c r="A508">
        <v>19</v>
      </c>
      <c r="B508">
        <v>21</v>
      </c>
      <c r="C508" t="s">
        <v>1066</v>
      </c>
      <c r="D508" s="4">
        <v>1080</v>
      </c>
      <c r="E508" s="4">
        <v>1440</v>
      </c>
      <c r="F508" s="4">
        <v>2160</v>
      </c>
    </row>
    <row r="509" spans="1:6" x14ac:dyDescent="0.35">
      <c r="A509">
        <v>19</v>
      </c>
      <c r="B509">
        <v>22</v>
      </c>
      <c r="C509" t="s">
        <v>1067</v>
      </c>
      <c r="D509" s="4">
        <v>2.17</v>
      </c>
      <c r="E509" s="4">
        <v>3</v>
      </c>
      <c r="F509" s="4">
        <v>4</v>
      </c>
    </row>
    <row r="510" spans="1:6" x14ac:dyDescent="0.35">
      <c r="A510">
        <v>19</v>
      </c>
      <c r="B510">
        <v>23</v>
      </c>
      <c r="C510" t="s">
        <v>1068</v>
      </c>
      <c r="D510" s="4">
        <v>40</v>
      </c>
      <c r="E510" s="4">
        <v>60</v>
      </c>
      <c r="F510" s="4">
        <v>80</v>
      </c>
    </row>
    <row r="511" spans="1:6" x14ac:dyDescent="0.35">
      <c r="A511">
        <v>19</v>
      </c>
      <c r="B511">
        <v>24</v>
      </c>
      <c r="C511" t="s">
        <v>1069</v>
      </c>
      <c r="D511" s="4">
        <v>10</v>
      </c>
      <c r="E511" s="4">
        <v>20</v>
      </c>
      <c r="F511" s="4">
        <v>30</v>
      </c>
    </row>
    <row r="512" spans="1:6" x14ac:dyDescent="0.35">
      <c r="A512">
        <v>19</v>
      </c>
      <c r="B512">
        <v>25</v>
      </c>
      <c r="C512" t="s">
        <v>1070</v>
      </c>
      <c r="D512" s="4">
        <v>480</v>
      </c>
      <c r="E512" s="4">
        <v>720</v>
      </c>
      <c r="F512" s="4">
        <v>2160</v>
      </c>
    </row>
    <row r="513" spans="1:6" x14ac:dyDescent="0.35">
      <c r="A513">
        <v>19</v>
      </c>
      <c r="B513">
        <v>26</v>
      </c>
      <c r="C513" t="s">
        <v>1071</v>
      </c>
      <c r="D513" s="4">
        <v>40</v>
      </c>
      <c r="E513" s="4">
        <v>65</v>
      </c>
      <c r="F513" s="4">
        <v>70</v>
      </c>
    </row>
    <row r="514" spans="1:6" x14ac:dyDescent="0.35">
      <c r="A514">
        <v>19</v>
      </c>
      <c r="B514">
        <v>27</v>
      </c>
      <c r="C514" t="s">
        <v>1072</v>
      </c>
      <c r="D514" s="4">
        <v>8</v>
      </c>
      <c r="E514" s="4">
        <v>10</v>
      </c>
      <c r="F514" s="4">
        <v>12</v>
      </c>
    </row>
    <row r="515" spans="1:6" x14ac:dyDescent="0.35">
      <c r="A515">
        <v>20</v>
      </c>
      <c r="B515">
        <v>1</v>
      </c>
      <c r="C515" t="s">
        <v>318</v>
      </c>
      <c r="D515" s="4">
        <v>1979</v>
      </c>
      <c r="E515" s="4">
        <v>1980</v>
      </c>
      <c r="F515" s="4">
        <v>1983</v>
      </c>
    </row>
    <row r="516" spans="1:6" x14ac:dyDescent="0.35">
      <c r="A516">
        <v>20</v>
      </c>
      <c r="B516">
        <v>2</v>
      </c>
      <c r="C516" t="s">
        <v>319</v>
      </c>
      <c r="D516" s="4">
        <v>4000</v>
      </c>
      <c r="E516" s="4">
        <v>6000</v>
      </c>
      <c r="F516" s="4">
        <v>8000</v>
      </c>
    </row>
    <row r="517" spans="1:6" x14ac:dyDescent="0.35">
      <c r="A517">
        <v>20</v>
      </c>
      <c r="B517">
        <v>3</v>
      </c>
      <c r="C517" t="s">
        <v>320</v>
      </c>
      <c r="D517" s="4">
        <v>2300</v>
      </c>
      <c r="E517" s="4">
        <v>2350</v>
      </c>
      <c r="F517" s="4">
        <v>2500</v>
      </c>
    </row>
    <row r="518" spans="1:6" x14ac:dyDescent="0.35">
      <c r="A518">
        <v>20</v>
      </c>
      <c r="B518">
        <v>4</v>
      </c>
      <c r="C518" t="s">
        <v>321</v>
      </c>
      <c r="D518" s="4">
        <v>20</v>
      </c>
      <c r="E518" s="4">
        <v>40</v>
      </c>
      <c r="F518" s="4">
        <v>60</v>
      </c>
    </row>
    <row r="519" spans="1:6" x14ac:dyDescent="0.35">
      <c r="A519">
        <v>20</v>
      </c>
      <c r="B519">
        <v>5</v>
      </c>
      <c r="C519" t="s">
        <v>322</v>
      </c>
      <c r="D519" s="4">
        <v>1</v>
      </c>
      <c r="E519" s="4">
        <v>2</v>
      </c>
      <c r="F519" s="4">
        <v>3</v>
      </c>
    </row>
    <row r="520" spans="1:6" x14ac:dyDescent="0.35">
      <c r="A520">
        <v>20</v>
      </c>
      <c r="B520">
        <v>6</v>
      </c>
      <c r="C520" t="s">
        <v>323</v>
      </c>
      <c r="D520" s="4">
        <v>5</v>
      </c>
      <c r="E520" s="4">
        <v>10</v>
      </c>
      <c r="F520" s="4">
        <v>20</v>
      </c>
    </row>
    <row r="521" spans="1:6" x14ac:dyDescent="0.35">
      <c r="A521">
        <v>20</v>
      </c>
      <c r="B521">
        <v>7</v>
      </c>
      <c r="C521" t="s">
        <v>324</v>
      </c>
      <c r="D521" s="4">
        <v>1</v>
      </c>
      <c r="E521" s="4">
        <v>2</v>
      </c>
      <c r="F521" s="4">
        <v>3</v>
      </c>
    </row>
    <row r="522" spans="1:6" x14ac:dyDescent="0.35">
      <c r="A522">
        <v>20</v>
      </c>
      <c r="B522">
        <v>8</v>
      </c>
      <c r="C522" t="s">
        <v>325</v>
      </c>
      <c r="D522" s="4">
        <v>10000000</v>
      </c>
      <c r="E522" s="4">
        <v>16000000</v>
      </c>
      <c r="F522" s="4">
        <v>25000000</v>
      </c>
    </row>
    <row r="523" spans="1:6" x14ac:dyDescent="0.35">
      <c r="A523">
        <v>20</v>
      </c>
      <c r="B523">
        <v>9</v>
      </c>
      <c r="C523" t="s">
        <v>326</v>
      </c>
      <c r="D523" s="4">
        <v>360</v>
      </c>
      <c r="E523" s="4">
        <v>528</v>
      </c>
      <c r="F523" s="4">
        <v>720</v>
      </c>
    </row>
    <row r="524" spans="1:6" x14ac:dyDescent="0.35">
      <c r="A524">
        <v>20</v>
      </c>
      <c r="B524">
        <v>10</v>
      </c>
      <c r="C524" t="s">
        <v>327</v>
      </c>
      <c r="D524" s="4">
        <v>60</v>
      </c>
      <c r="E524" s="4">
        <v>150</v>
      </c>
      <c r="F524" s="4">
        <v>300</v>
      </c>
    </row>
    <row r="525" spans="1:6" x14ac:dyDescent="0.35">
      <c r="A525">
        <v>20</v>
      </c>
      <c r="B525">
        <v>11</v>
      </c>
      <c r="C525" t="s">
        <v>1046</v>
      </c>
      <c r="D525" s="4">
        <v>20</v>
      </c>
      <c r="E525" s="4">
        <v>50</v>
      </c>
      <c r="F525" s="4">
        <v>70</v>
      </c>
    </row>
    <row r="526" spans="1:6" x14ac:dyDescent="0.35">
      <c r="A526">
        <v>20</v>
      </c>
      <c r="B526">
        <v>12</v>
      </c>
      <c r="C526" t="s">
        <v>328</v>
      </c>
      <c r="D526" s="4">
        <v>0.5</v>
      </c>
      <c r="E526" s="4">
        <v>0.75</v>
      </c>
      <c r="F526" s="4">
        <v>2</v>
      </c>
    </row>
    <row r="527" spans="1:6" x14ac:dyDescent="0.35">
      <c r="A527">
        <v>20</v>
      </c>
      <c r="B527">
        <v>13</v>
      </c>
      <c r="C527" t="s">
        <v>329</v>
      </c>
      <c r="D527" s="4">
        <v>8000</v>
      </c>
      <c r="E527" s="4">
        <v>9000</v>
      </c>
      <c r="F527" s="4">
        <v>11000</v>
      </c>
    </row>
    <row r="528" spans="1:6" x14ac:dyDescent="0.35">
      <c r="A528">
        <v>20</v>
      </c>
      <c r="B528">
        <v>14</v>
      </c>
      <c r="C528" t="s">
        <v>1059</v>
      </c>
      <c r="D528" s="4">
        <v>10</v>
      </c>
      <c r="E528" s="4">
        <v>12</v>
      </c>
      <c r="F528" s="4">
        <v>15</v>
      </c>
    </row>
    <row r="529" spans="1:6" x14ac:dyDescent="0.35">
      <c r="A529">
        <v>20</v>
      </c>
      <c r="B529">
        <v>15</v>
      </c>
      <c r="C529" t="s">
        <v>1060</v>
      </c>
      <c r="D529" s="4">
        <v>1850</v>
      </c>
      <c r="E529" s="4">
        <v>1910</v>
      </c>
      <c r="F529" s="4">
        <v>1940</v>
      </c>
    </row>
    <row r="530" spans="1:6" x14ac:dyDescent="0.35">
      <c r="A530">
        <v>20</v>
      </c>
      <c r="B530">
        <v>16</v>
      </c>
      <c r="C530" t="s">
        <v>1061</v>
      </c>
      <c r="D530" s="4">
        <v>90</v>
      </c>
      <c r="E530" s="4">
        <v>95</v>
      </c>
      <c r="F530" s="4">
        <v>100</v>
      </c>
    </row>
    <row r="531" spans="1:6" x14ac:dyDescent="0.35">
      <c r="A531">
        <v>20</v>
      </c>
      <c r="B531">
        <v>17</v>
      </c>
      <c r="C531" t="s">
        <v>1062</v>
      </c>
      <c r="D531" s="4">
        <v>0</v>
      </c>
      <c r="E531" s="4">
        <v>10</v>
      </c>
      <c r="F531" s="4">
        <v>20</v>
      </c>
    </row>
    <row r="532" spans="1:6" x14ac:dyDescent="0.35">
      <c r="A532">
        <v>20</v>
      </c>
      <c r="B532">
        <v>18</v>
      </c>
      <c r="C532" t="s">
        <v>1063</v>
      </c>
      <c r="D532" s="4">
        <v>10</v>
      </c>
      <c r="E532" s="4">
        <v>20</v>
      </c>
      <c r="F532" s="4">
        <v>30</v>
      </c>
    </row>
    <row r="533" spans="1:6" x14ac:dyDescent="0.35">
      <c r="A533">
        <v>20</v>
      </c>
      <c r="B533">
        <v>19</v>
      </c>
      <c r="C533" t="s">
        <v>1064</v>
      </c>
      <c r="D533" s="4">
        <v>500</v>
      </c>
      <c r="E533" s="4">
        <v>1000</v>
      </c>
      <c r="F533" s="4">
        <v>2000</v>
      </c>
    </row>
    <row r="534" spans="1:6" x14ac:dyDescent="0.35">
      <c r="A534">
        <v>20</v>
      </c>
      <c r="B534">
        <v>20</v>
      </c>
      <c r="C534" t="s">
        <v>1065</v>
      </c>
      <c r="D534" s="4">
        <v>110</v>
      </c>
      <c r="E534" s="4">
        <v>120</v>
      </c>
      <c r="F534" s="4">
        <v>121</v>
      </c>
    </row>
    <row r="535" spans="1:6" x14ac:dyDescent="0.35">
      <c r="A535">
        <v>20</v>
      </c>
      <c r="B535">
        <v>21</v>
      </c>
      <c r="C535" t="s">
        <v>1066</v>
      </c>
      <c r="D535" s="4">
        <v>2160</v>
      </c>
      <c r="E535" s="4">
        <v>3600</v>
      </c>
      <c r="F535" s="4">
        <v>4800</v>
      </c>
    </row>
    <row r="536" spans="1:6" x14ac:dyDescent="0.35">
      <c r="A536">
        <v>20</v>
      </c>
      <c r="B536">
        <v>22</v>
      </c>
      <c r="C536" t="s">
        <v>1067</v>
      </c>
      <c r="D536" s="4">
        <v>0.5</v>
      </c>
      <c r="E536" s="4">
        <v>1</v>
      </c>
      <c r="F536" s="4">
        <v>1.5</v>
      </c>
    </row>
    <row r="537" spans="1:6" x14ac:dyDescent="0.35">
      <c r="A537">
        <v>20</v>
      </c>
      <c r="B537">
        <v>23</v>
      </c>
      <c r="C537" t="s">
        <v>1068</v>
      </c>
      <c r="D537" s="4">
        <v>300</v>
      </c>
      <c r="E537" s="4">
        <v>400</v>
      </c>
      <c r="F537" s="4">
        <v>800</v>
      </c>
    </row>
    <row r="538" spans="1:6" x14ac:dyDescent="0.35">
      <c r="A538">
        <v>20</v>
      </c>
      <c r="B538">
        <v>24</v>
      </c>
      <c r="C538" t="s">
        <v>1069</v>
      </c>
      <c r="D538" s="4">
        <v>200</v>
      </c>
      <c r="E538" s="4">
        <v>500</v>
      </c>
      <c r="F538" s="4">
        <v>1000</v>
      </c>
    </row>
    <row r="539" spans="1:6" x14ac:dyDescent="0.35">
      <c r="A539">
        <v>20</v>
      </c>
      <c r="B539">
        <v>25</v>
      </c>
      <c r="C539" t="s">
        <v>1070</v>
      </c>
      <c r="D539" s="4">
        <v>72</v>
      </c>
      <c r="E539" s="4">
        <v>120</v>
      </c>
      <c r="F539" s="4">
        <v>168</v>
      </c>
    </row>
    <row r="540" spans="1:6" x14ac:dyDescent="0.35">
      <c r="A540">
        <v>20</v>
      </c>
      <c r="B540">
        <v>26</v>
      </c>
      <c r="C540" t="s">
        <v>1071</v>
      </c>
      <c r="D540" s="4">
        <v>80</v>
      </c>
      <c r="E540" s="4">
        <v>95</v>
      </c>
      <c r="F540" s="4">
        <v>100</v>
      </c>
    </row>
    <row r="541" spans="1:6" x14ac:dyDescent="0.35">
      <c r="A541">
        <v>20</v>
      </c>
      <c r="B541">
        <v>27</v>
      </c>
      <c r="C541" t="s">
        <v>1072</v>
      </c>
      <c r="D541" s="4">
        <v>6</v>
      </c>
      <c r="E541" s="4">
        <v>7.5</v>
      </c>
      <c r="F541" s="4">
        <v>9</v>
      </c>
    </row>
    <row r="542" spans="1:6" x14ac:dyDescent="0.35">
      <c r="A542">
        <v>21</v>
      </c>
      <c r="B542">
        <v>1</v>
      </c>
      <c r="C542" t="s">
        <v>318</v>
      </c>
      <c r="D542" s="4">
        <v>1978</v>
      </c>
      <c r="E542" s="4">
        <v>1980</v>
      </c>
      <c r="F542" s="4">
        <v>1982</v>
      </c>
    </row>
    <row r="543" spans="1:6" x14ac:dyDescent="0.35">
      <c r="A543">
        <v>21</v>
      </c>
      <c r="B543">
        <v>2</v>
      </c>
      <c r="C543" t="s">
        <v>319</v>
      </c>
      <c r="D543" s="4">
        <v>5000</v>
      </c>
      <c r="E543" s="4">
        <v>6000</v>
      </c>
      <c r="F543" s="4">
        <v>8000</v>
      </c>
    </row>
    <row r="544" spans="1:6" x14ac:dyDescent="0.35">
      <c r="A544">
        <v>21</v>
      </c>
      <c r="B544">
        <v>3</v>
      </c>
      <c r="C544" t="s">
        <v>320</v>
      </c>
      <c r="D544" s="4">
        <v>3000</v>
      </c>
      <c r="E544" s="4">
        <v>3200</v>
      </c>
      <c r="F544" s="4">
        <v>3400</v>
      </c>
    </row>
    <row r="545" spans="1:6" x14ac:dyDescent="0.35">
      <c r="A545">
        <v>21</v>
      </c>
      <c r="B545">
        <v>4</v>
      </c>
      <c r="C545" t="s">
        <v>321</v>
      </c>
      <c r="D545" s="4">
        <v>20</v>
      </c>
      <c r="E545" s="4">
        <v>30</v>
      </c>
      <c r="F545" s="4">
        <v>50</v>
      </c>
    </row>
    <row r="546" spans="1:6" x14ac:dyDescent="0.35">
      <c r="A546">
        <v>21</v>
      </c>
      <c r="B546">
        <v>5</v>
      </c>
      <c r="C546" t="s">
        <v>322</v>
      </c>
      <c r="D546" s="4">
        <v>2</v>
      </c>
      <c r="E546" s="4">
        <v>3</v>
      </c>
      <c r="F546" s="4">
        <v>4</v>
      </c>
    </row>
    <row r="547" spans="1:6" x14ac:dyDescent="0.35">
      <c r="A547">
        <v>21</v>
      </c>
      <c r="B547">
        <v>6</v>
      </c>
      <c r="C547" t="s">
        <v>323</v>
      </c>
      <c r="D547" s="4">
        <v>15</v>
      </c>
      <c r="E547" s="4">
        <v>20</v>
      </c>
      <c r="F547" s="4">
        <v>30</v>
      </c>
    </row>
    <row r="548" spans="1:6" x14ac:dyDescent="0.35">
      <c r="A548">
        <v>21</v>
      </c>
      <c r="B548">
        <v>7</v>
      </c>
      <c r="C548" t="s">
        <v>324</v>
      </c>
      <c r="D548" s="4">
        <v>2</v>
      </c>
      <c r="E548" s="4">
        <v>4</v>
      </c>
      <c r="F548" s="4">
        <v>8</v>
      </c>
    </row>
    <row r="549" spans="1:6" x14ac:dyDescent="0.35">
      <c r="A549">
        <v>21</v>
      </c>
      <c r="B549">
        <v>8</v>
      </c>
      <c r="C549" t="s">
        <v>325</v>
      </c>
      <c r="D549" s="4">
        <v>3000000</v>
      </c>
      <c r="E549" s="4">
        <v>5000000</v>
      </c>
      <c r="F549" s="4">
        <v>7000000</v>
      </c>
    </row>
    <row r="550" spans="1:6" x14ac:dyDescent="0.35">
      <c r="A550">
        <v>21</v>
      </c>
      <c r="B550">
        <v>9</v>
      </c>
      <c r="C550" t="s">
        <v>326</v>
      </c>
      <c r="D550" s="4">
        <v>360</v>
      </c>
      <c r="E550" s="4">
        <v>480</v>
      </c>
      <c r="F550" s="4">
        <v>720</v>
      </c>
    </row>
    <row r="551" spans="1:6" x14ac:dyDescent="0.35">
      <c r="A551">
        <v>21</v>
      </c>
      <c r="B551">
        <v>10</v>
      </c>
      <c r="C551" t="s">
        <v>327</v>
      </c>
      <c r="D551" s="4">
        <v>180</v>
      </c>
      <c r="E551" s="4">
        <v>200</v>
      </c>
      <c r="F551" s="4">
        <v>220</v>
      </c>
    </row>
    <row r="552" spans="1:6" x14ac:dyDescent="0.35">
      <c r="A552">
        <v>21</v>
      </c>
      <c r="B552">
        <v>11</v>
      </c>
      <c r="C552" t="s">
        <v>1046</v>
      </c>
      <c r="D552" s="4">
        <v>45</v>
      </c>
      <c r="E552" s="4">
        <v>50</v>
      </c>
      <c r="F552" s="4">
        <v>60</v>
      </c>
    </row>
    <row r="553" spans="1:6" x14ac:dyDescent="0.35">
      <c r="A553">
        <v>21</v>
      </c>
      <c r="B553">
        <v>12</v>
      </c>
      <c r="C553" t="s">
        <v>328</v>
      </c>
      <c r="D553" s="4">
        <v>0.5</v>
      </c>
      <c r="E553" s="4">
        <v>1</v>
      </c>
      <c r="F553" s="4">
        <v>3</v>
      </c>
    </row>
    <row r="554" spans="1:6" x14ac:dyDescent="0.35">
      <c r="A554">
        <v>21</v>
      </c>
      <c r="B554">
        <v>13</v>
      </c>
      <c r="C554" t="s">
        <v>329</v>
      </c>
      <c r="D554" s="4">
        <v>8000</v>
      </c>
      <c r="E554" s="4">
        <v>10000</v>
      </c>
      <c r="F554" s="4">
        <v>11000</v>
      </c>
    </row>
    <row r="555" spans="1:6" x14ac:dyDescent="0.35">
      <c r="A555">
        <v>21</v>
      </c>
      <c r="B555">
        <v>14</v>
      </c>
      <c r="C555" t="s">
        <v>1059</v>
      </c>
      <c r="D555" s="4">
        <v>10</v>
      </c>
      <c r="E555" s="4">
        <v>15</v>
      </c>
      <c r="F555" s="4">
        <v>17</v>
      </c>
    </row>
    <row r="556" spans="1:6" x14ac:dyDescent="0.35">
      <c r="A556">
        <v>21</v>
      </c>
      <c r="B556">
        <v>15</v>
      </c>
      <c r="C556" t="s">
        <v>1060</v>
      </c>
      <c r="D556" s="4">
        <v>1850</v>
      </c>
      <c r="E556" s="4">
        <v>1900</v>
      </c>
      <c r="F556" s="4">
        <v>1910</v>
      </c>
    </row>
    <row r="557" spans="1:6" x14ac:dyDescent="0.35">
      <c r="A557">
        <v>21</v>
      </c>
      <c r="B557">
        <v>16</v>
      </c>
      <c r="C557" t="s">
        <v>1061</v>
      </c>
      <c r="D557" s="4">
        <v>5</v>
      </c>
      <c r="E557" s="4">
        <v>20</v>
      </c>
      <c r="F557" s="4">
        <v>25</v>
      </c>
    </row>
    <row r="558" spans="1:6" x14ac:dyDescent="0.35">
      <c r="A558">
        <v>21</v>
      </c>
      <c r="B558">
        <v>17</v>
      </c>
      <c r="C558" t="s">
        <v>1062</v>
      </c>
      <c r="D558" s="4">
        <v>25</v>
      </c>
      <c r="E558" s="4">
        <v>50</v>
      </c>
      <c r="F558" s="4">
        <v>75</v>
      </c>
    </row>
    <row r="559" spans="1:6" x14ac:dyDescent="0.35">
      <c r="A559">
        <v>21</v>
      </c>
      <c r="B559">
        <v>18</v>
      </c>
      <c r="C559" t="s">
        <v>1063</v>
      </c>
      <c r="D559" s="4">
        <v>5</v>
      </c>
      <c r="E559" s="4">
        <v>10</v>
      </c>
      <c r="F559" s="4">
        <v>15</v>
      </c>
    </row>
    <row r="560" spans="1:6" x14ac:dyDescent="0.35">
      <c r="A560">
        <v>21</v>
      </c>
      <c r="B560">
        <v>19</v>
      </c>
      <c r="C560" t="s">
        <v>1064</v>
      </c>
      <c r="D560" s="4">
        <v>1000</v>
      </c>
      <c r="E560" s="4">
        <v>2000</v>
      </c>
      <c r="F560" s="4">
        <v>3000</v>
      </c>
    </row>
    <row r="561" spans="1:6" x14ac:dyDescent="0.35">
      <c r="A561">
        <v>21</v>
      </c>
      <c r="B561">
        <v>20</v>
      </c>
      <c r="C561" t="s">
        <v>1065</v>
      </c>
      <c r="D561" s="4">
        <v>120</v>
      </c>
      <c r="E561" s="4">
        <v>200</v>
      </c>
      <c r="F561" s="4">
        <v>300</v>
      </c>
    </row>
    <row r="562" spans="1:6" x14ac:dyDescent="0.35">
      <c r="A562">
        <v>21</v>
      </c>
      <c r="B562">
        <v>21</v>
      </c>
      <c r="C562" t="s">
        <v>1066</v>
      </c>
      <c r="D562" s="4">
        <v>360</v>
      </c>
      <c r="E562" s="4">
        <v>2160</v>
      </c>
      <c r="F562" s="4">
        <v>105100</v>
      </c>
    </row>
    <row r="563" spans="1:6" x14ac:dyDescent="0.35">
      <c r="A563">
        <v>21</v>
      </c>
      <c r="B563">
        <v>22</v>
      </c>
      <c r="C563" t="s">
        <v>1067</v>
      </c>
      <c r="D563" s="4">
        <v>0.5</v>
      </c>
      <c r="E563" s="4">
        <v>1.5</v>
      </c>
      <c r="F563" s="4">
        <v>2</v>
      </c>
    </row>
    <row r="564" spans="1:6" x14ac:dyDescent="0.35">
      <c r="A564">
        <v>21</v>
      </c>
      <c r="B564">
        <v>23</v>
      </c>
      <c r="C564" t="s">
        <v>1068</v>
      </c>
      <c r="D564" s="4">
        <v>100</v>
      </c>
      <c r="E564" s="4">
        <v>200</v>
      </c>
      <c r="F564" s="4">
        <v>400</v>
      </c>
    </row>
    <row r="565" spans="1:6" x14ac:dyDescent="0.35">
      <c r="A565">
        <v>21</v>
      </c>
      <c r="B565">
        <v>24</v>
      </c>
      <c r="C565" t="s">
        <v>1069</v>
      </c>
      <c r="D565" s="4">
        <v>200</v>
      </c>
      <c r="E565" s="4">
        <v>500</v>
      </c>
      <c r="F565" s="4">
        <v>1000</v>
      </c>
    </row>
    <row r="566" spans="1:6" x14ac:dyDescent="0.35">
      <c r="A566">
        <v>21</v>
      </c>
      <c r="B566">
        <v>25</v>
      </c>
      <c r="C566" t="s">
        <v>1070</v>
      </c>
      <c r="D566" s="4">
        <v>360</v>
      </c>
      <c r="E566" s="4">
        <v>2160</v>
      </c>
      <c r="F566" s="4">
        <v>105100</v>
      </c>
    </row>
    <row r="567" spans="1:6" x14ac:dyDescent="0.35">
      <c r="A567">
        <v>21</v>
      </c>
      <c r="B567">
        <v>26</v>
      </c>
      <c r="C567" t="s">
        <v>1071</v>
      </c>
      <c r="D567" s="4">
        <v>50</v>
      </c>
      <c r="E567" s="4">
        <v>90</v>
      </c>
      <c r="F567" s="4">
        <v>95</v>
      </c>
    </row>
    <row r="568" spans="1:6" x14ac:dyDescent="0.35">
      <c r="A568">
        <v>21</v>
      </c>
      <c r="B568">
        <v>27</v>
      </c>
      <c r="C568" t="s">
        <v>1072</v>
      </c>
      <c r="D568" s="4">
        <v>3</v>
      </c>
      <c r="E568" s="4">
        <v>6</v>
      </c>
      <c r="F568" s="4">
        <v>24</v>
      </c>
    </row>
    <row r="569" spans="1:6" x14ac:dyDescent="0.35">
      <c r="A569">
        <v>22</v>
      </c>
      <c r="B569">
        <v>1</v>
      </c>
      <c r="C569" t="s">
        <v>318</v>
      </c>
      <c r="D569" s="4">
        <v>1940</v>
      </c>
      <c r="E569" s="4">
        <v>1960</v>
      </c>
      <c r="F569" s="4">
        <v>1970</v>
      </c>
    </row>
    <row r="570" spans="1:6" x14ac:dyDescent="0.35">
      <c r="A570">
        <v>22</v>
      </c>
      <c r="B570">
        <v>2</v>
      </c>
      <c r="C570" t="s">
        <v>319</v>
      </c>
      <c r="D570" s="4">
        <v>5000</v>
      </c>
      <c r="E570" s="4">
        <v>6500</v>
      </c>
      <c r="F570" s="4">
        <v>8000</v>
      </c>
    </row>
    <row r="571" spans="1:6" x14ac:dyDescent="0.35">
      <c r="A571">
        <v>22</v>
      </c>
      <c r="B571">
        <v>3</v>
      </c>
      <c r="C571" t="s">
        <v>320</v>
      </c>
      <c r="D571" s="4">
        <v>2800</v>
      </c>
      <c r="E571" s="4">
        <v>3000</v>
      </c>
      <c r="F571" s="4">
        <v>3200</v>
      </c>
    </row>
    <row r="572" spans="1:6" x14ac:dyDescent="0.35">
      <c r="A572">
        <v>22</v>
      </c>
      <c r="B572">
        <v>4</v>
      </c>
      <c r="C572" t="s">
        <v>321</v>
      </c>
      <c r="D572" s="4">
        <v>40</v>
      </c>
      <c r="E572" s="4">
        <v>50</v>
      </c>
      <c r="F572" s="4">
        <v>70</v>
      </c>
    </row>
    <row r="573" spans="1:6" x14ac:dyDescent="0.35">
      <c r="A573">
        <v>22</v>
      </c>
      <c r="B573">
        <v>5</v>
      </c>
      <c r="C573" t="s">
        <v>322</v>
      </c>
      <c r="D573" s="4">
        <v>2</v>
      </c>
      <c r="E573" s="4">
        <v>10</v>
      </c>
      <c r="F573" s="4">
        <v>15</v>
      </c>
    </row>
    <row r="574" spans="1:6" x14ac:dyDescent="0.35">
      <c r="A574">
        <v>22</v>
      </c>
      <c r="B574">
        <v>6</v>
      </c>
      <c r="C574" t="s">
        <v>323</v>
      </c>
      <c r="D574" s="4">
        <v>25</v>
      </c>
      <c r="E574" s="4">
        <v>60</v>
      </c>
      <c r="F574" s="4">
        <v>70</v>
      </c>
    </row>
    <row r="575" spans="1:6" x14ac:dyDescent="0.35">
      <c r="A575">
        <v>22</v>
      </c>
      <c r="B575">
        <v>7</v>
      </c>
      <c r="C575" t="s">
        <v>324</v>
      </c>
      <c r="D575" s="4">
        <v>2</v>
      </c>
      <c r="E575" s="4">
        <v>4</v>
      </c>
      <c r="F575" s="4">
        <v>6</v>
      </c>
    </row>
    <row r="576" spans="1:6" x14ac:dyDescent="0.35">
      <c r="A576">
        <v>22</v>
      </c>
      <c r="B576">
        <v>8</v>
      </c>
      <c r="C576" t="s">
        <v>325</v>
      </c>
      <c r="D576" s="4">
        <v>10000</v>
      </c>
      <c r="E576" s="4">
        <v>90000</v>
      </c>
      <c r="F576" s="4">
        <v>200000</v>
      </c>
    </row>
    <row r="577" spans="1:6" x14ac:dyDescent="0.35">
      <c r="A577">
        <v>22</v>
      </c>
      <c r="B577">
        <v>9</v>
      </c>
      <c r="C577" t="s">
        <v>326</v>
      </c>
      <c r="D577" s="4">
        <v>72</v>
      </c>
      <c r="E577" s="4">
        <v>120</v>
      </c>
      <c r="F577" s="4">
        <v>240</v>
      </c>
    </row>
    <row r="578" spans="1:6" x14ac:dyDescent="0.35">
      <c r="A578">
        <v>22</v>
      </c>
      <c r="B578">
        <v>10</v>
      </c>
      <c r="C578" t="s">
        <v>327</v>
      </c>
      <c r="D578" s="4">
        <v>70</v>
      </c>
      <c r="E578" s="4">
        <v>200</v>
      </c>
      <c r="F578" s="4">
        <v>250</v>
      </c>
    </row>
    <row r="579" spans="1:6" x14ac:dyDescent="0.35">
      <c r="A579">
        <v>22</v>
      </c>
      <c r="B579">
        <v>11</v>
      </c>
      <c r="C579" t="s">
        <v>1046</v>
      </c>
      <c r="D579" s="4">
        <v>15</v>
      </c>
      <c r="E579" s="4">
        <v>25</v>
      </c>
      <c r="F579" s="4">
        <v>40</v>
      </c>
    </row>
    <row r="580" spans="1:6" x14ac:dyDescent="0.35">
      <c r="A580">
        <v>22</v>
      </c>
      <c r="B580">
        <v>12</v>
      </c>
      <c r="C580" t="s">
        <v>328</v>
      </c>
      <c r="D580" s="4">
        <v>0.5</v>
      </c>
      <c r="E580" s="4">
        <v>1</v>
      </c>
      <c r="F580" s="4">
        <v>6</v>
      </c>
    </row>
    <row r="581" spans="1:6" x14ac:dyDescent="0.35">
      <c r="A581">
        <v>22</v>
      </c>
      <c r="B581">
        <v>13</v>
      </c>
      <c r="C581" t="s">
        <v>329</v>
      </c>
      <c r="D581" s="4">
        <v>4000</v>
      </c>
      <c r="E581" s="4">
        <v>5000</v>
      </c>
      <c r="F581" s="4">
        <v>6000</v>
      </c>
    </row>
    <row r="582" spans="1:6" x14ac:dyDescent="0.35">
      <c r="A582">
        <v>22</v>
      </c>
      <c r="B582">
        <v>14</v>
      </c>
      <c r="C582" t="s">
        <v>1059</v>
      </c>
      <c r="D582" s="4">
        <v>19</v>
      </c>
      <c r="E582" s="4">
        <v>21</v>
      </c>
      <c r="F582" s="4">
        <v>25</v>
      </c>
    </row>
    <row r="583" spans="1:6" x14ac:dyDescent="0.35">
      <c r="A583">
        <v>22</v>
      </c>
      <c r="B583">
        <v>15</v>
      </c>
      <c r="C583" t="s">
        <v>1060</v>
      </c>
      <c r="D583" s="4">
        <v>1800</v>
      </c>
      <c r="E583" s="4">
        <v>1880</v>
      </c>
      <c r="F583" s="4">
        <v>1900</v>
      </c>
    </row>
    <row r="584" spans="1:6" x14ac:dyDescent="0.35">
      <c r="A584">
        <v>22</v>
      </c>
      <c r="B584">
        <v>16</v>
      </c>
      <c r="C584" t="s">
        <v>1061</v>
      </c>
      <c r="D584" s="4">
        <v>10</v>
      </c>
      <c r="E584" s="4">
        <v>15</v>
      </c>
      <c r="F584" s="4">
        <v>25</v>
      </c>
    </row>
    <row r="585" spans="1:6" x14ac:dyDescent="0.35">
      <c r="A585">
        <v>22</v>
      </c>
      <c r="B585">
        <v>17</v>
      </c>
      <c r="C585" t="s">
        <v>1062</v>
      </c>
      <c r="D585" s="4">
        <v>20</v>
      </c>
      <c r="E585" s="4">
        <v>30</v>
      </c>
      <c r="F585" s="4">
        <v>40</v>
      </c>
    </row>
    <row r="586" spans="1:6" x14ac:dyDescent="0.35">
      <c r="A586">
        <v>22</v>
      </c>
      <c r="B586">
        <v>18</v>
      </c>
      <c r="C586" t="s">
        <v>1063</v>
      </c>
      <c r="D586" s="4">
        <v>5</v>
      </c>
      <c r="E586" s="4">
        <v>10</v>
      </c>
      <c r="F586" s="4">
        <v>15</v>
      </c>
    </row>
    <row r="587" spans="1:6" x14ac:dyDescent="0.35">
      <c r="A587">
        <v>22</v>
      </c>
      <c r="B587">
        <v>19</v>
      </c>
      <c r="C587" t="s">
        <v>1064</v>
      </c>
      <c r="D587" s="4">
        <v>150</v>
      </c>
      <c r="E587" s="4">
        <v>400</v>
      </c>
      <c r="F587" s="4">
        <v>600</v>
      </c>
    </row>
    <row r="588" spans="1:6" x14ac:dyDescent="0.35">
      <c r="A588">
        <v>22</v>
      </c>
      <c r="B588">
        <v>20</v>
      </c>
      <c r="C588" t="s">
        <v>1065</v>
      </c>
      <c r="D588" s="4">
        <v>70</v>
      </c>
      <c r="E588" s="4">
        <v>90</v>
      </c>
      <c r="F588" s="4">
        <v>100</v>
      </c>
    </row>
    <row r="589" spans="1:6" x14ac:dyDescent="0.35">
      <c r="A589">
        <v>22</v>
      </c>
      <c r="B589">
        <v>21</v>
      </c>
      <c r="C589" t="s">
        <v>1066</v>
      </c>
      <c r="D589" s="4">
        <v>24</v>
      </c>
      <c r="E589" s="4">
        <v>48</v>
      </c>
      <c r="F589" s="4">
        <v>96</v>
      </c>
    </row>
    <row r="590" spans="1:6" x14ac:dyDescent="0.35">
      <c r="A590">
        <v>22</v>
      </c>
      <c r="B590">
        <v>22</v>
      </c>
      <c r="C590" t="s">
        <v>1067</v>
      </c>
      <c r="D590" s="4">
        <v>6</v>
      </c>
      <c r="E590" s="4">
        <v>10</v>
      </c>
      <c r="F590" s="4">
        <v>15</v>
      </c>
    </row>
    <row r="591" spans="1:6" x14ac:dyDescent="0.35">
      <c r="A591">
        <v>22</v>
      </c>
      <c r="B591">
        <v>23</v>
      </c>
      <c r="C591" t="s">
        <v>1068</v>
      </c>
      <c r="D591" s="4">
        <v>20</v>
      </c>
      <c r="E591" s="4">
        <v>50</v>
      </c>
      <c r="F591" s="4">
        <v>150</v>
      </c>
    </row>
    <row r="592" spans="1:6" x14ac:dyDescent="0.35">
      <c r="A592">
        <v>22</v>
      </c>
      <c r="B592">
        <v>24</v>
      </c>
      <c r="C592" t="s">
        <v>1069</v>
      </c>
      <c r="D592" s="4">
        <v>200</v>
      </c>
      <c r="E592" s="4">
        <v>500</v>
      </c>
      <c r="F592" s="4">
        <v>700</v>
      </c>
    </row>
    <row r="593" spans="1:6" x14ac:dyDescent="0.35">
      <c r="A593">
        <v>22</v>
      </c>
      <c r="B593">
        <v>25</v>
      </c>
      <c r="C593" t="s">
        <v>1070</v>
      </c>
      <c r="D593" s="4">
        <v>24</v>
      </c>
      <c r="E593" s="4">
        <v>48</v>
      </c>
      <c r="F593" s="4">
        <v>96</v>
      </c>
    </row>
    <row r="594" spans="1:6" x14ac:dyDescent="0.35">
      <c r="A594">
        <v>22</v>
      </c>
      <c r="B594">
        <v>26</v>
      </c>
      <c r="C594" t="s">
        <v>1071</v>
      </c>
      <c r="D594" s="4">
        <v>40</v>
      </c>
      <c r="E594" s="4">
        <v>60</v>
      </c>
      <c r="F594" s="4">
        <v>70</v>
      </c>
    </row>
    <row r="595" spans="1:6" x14ac:dyDescent="0.35">
      <c r="A595">
        <v>22</v>
      </c>
      <c r="B595">
        <v>27</v>
      </c>
      <c r="C595" t="s">
        <v>1072</v>
      </c>
      <c r="D595" s="4">
        <v>14</v>
      </c>
      <c r="E595" s="4">
        <v>17</v>
      </c>
      <c r="F595" s="4">
        <v>20</v>
      </c>
    </row>
    <row r="596" spans="1:6" x14ac:dyDescent="0.35">
      <c r="A596">
        <v>23</v>
      </c>
      <c r="B596">
        <v>1</v>
      </c>
      <c r="C596" t="s">
        <v>318</v>
      </c>
      <c r="D596" s="4">
        <v>1975</v>
      </c>
      <c r="E596" s="4">
        <v>1982</v>
      </c>
      <c r="F596" s="4">
        <v>1985</v>
      </c>
    </row>
    <row r="597" spans="1:6" x14ac:dyDescent="0.35">
      <c r="A597">
        <v>23</v>
      </c>
      <c r="B597">
        <v>2</v>
      </c>
      <c r="C597" t="s">
        <v>319</v>
      </c>
      <c r="D597" s="4">
        <v>5000</v>
      </c>
      <c r="E597" s="4">
        <v>7000</v>
      </c>
      <c r="F597" s="4">
        <v>9000</v>
      </c>
    </row>
    <row r="598" spans="1:6" x14ac:dyDescent="0.35">
      <c r="A598">
        <v>23</v>
      </c>
      <c r="B598">
        <v>3</v>
      </c>
      <c r="C598" t="s">
        <v>320</v>
      </c>
      <c r="D598" s="4">
        <v>1800</v>
      </c>
      <c r="E598" s="4">
        <v>2100</v>
      </c>
      <c r="F598" s="4">
        <v>2300</v>
      </c>
    </row>
    <row r="599" spans="1:6" x14ac:dyDescent="0.35">
      <c r="A599">
        <v>23</v>
      </c>
      <c r="B599">
        <v>4</v>
      </c>
      <c r="C599" t="s">
        <v>321</v>
      </c>
      <c r="D599" s="4">
        <v>10</v>
      </c>
      <c r="E599" s="4">
        <v>25</v>
      </c>
      <c r="F599" s="4">
        <v>35</v>
      </c>
    </row>
    <row r="600" spans="1:6" x14ac:dyDescent="0.35">
      <c r="A600">
        <v>23</v>
      </c>
      <c r="B600">
        <v>5</v>
      </c>
      <c r="C600" t="s">
        <v>322</v>
      </c>
      <c r="D600" s="4">
        <v>2</v>
      </c>
      <c r="E600" s="4">
        <v>3</v>
      </c>
      <c r="F600" s="4">
        <v>4</v>
      </c>
    </row>
    <row r="601" spans="1:6" x14ac:dyDescent="0.35">
      <c r="A601">
        <v>23</v>
      </c>
      <c r="B601">
        <v>6</v>
      </c>
      <c r="C601" t="s">
        <v>323</v>
      </c>
      <c r="D601" s="4">
        <v>10</v>
      </c>
      <c r="E601" s="4">
        <v>15</v>
      </c>
      <c r="F601" s="4">
        <v>25</v>
      </c>
    </row>
    <row r="602" spans="1:6" x14ac:dyDescent="0.35">
      <c r="A602">
        <v>23</v>
      </c>
      <c r="B602">
        <v>7</v>
      </c>
      <c r="C602" t="s">
        <v>324</v>
      </c>
      <c r="D602" s="4">
        <v>4</v>
      </c>
      <c r="E602" s="4">
        <v>8</v>
      </c>
      <c r="F602" s="4">
        <v>10</v>
      </c>
    </row>
    <row r="603" spans="1:6" x14ac:dyDescent="0.35">
      <c r="A603">
        <v>23</v>
      </c>
      <c r="B603">
        <v>8</v>
      </c>
      <c r="C603" t="s">
        <v>325</v>
      </c>
      <c r="D603" s="4">
        <v>60000000</v>
      </c>
      <c r="E603" s="4">
        <v>80000000</v>
      </c>
      <c r="F603" s="4">
        <v>150000000</v>
      </c>
    </row>
    <row r="604" spans="1:6" x14ac:dyDescent="0.35">
      <c r="A604">
        <v>23</v>
      </c>
      <c r="B604">
        <v>9</v>
      </c>
      <c r="C604" t="s">
        <v>326</v>
      </c>
      <c r="D604" s="4">
        <v>480</v>
      </c>
      <c r="E604" s="4">
        <v>840</v>
      </c>
      <c r="F604" s="4">
        <v>960</v>
      </c>
    </row>
    <row r="605" spans="1:6" x14ac:dyDescent="0.35">
      <c r="A605">
        <v>23</v>
      </c>
      <c r="B605">
        <v>10</v>
      </c>
      <c r="C605" t="s">
        <v>327</v>
      </c>
      <c r="D605" s="4">
        <v>30</v>
      </c>
      <c r="E605" s="4">
        <v>45</v>
      </c>
      <c r="F605" s="4">
        <v>60</v>
      </c>
    </row>
    <row r="606" spans="1:6" x14ac:dyDescent="0.35">
      <c r="A606">
        <v>23</v>
      </c>
      <c r="B606">
        <v>11</v>
      </c>
      <c r="C606" t="s">
        <v>1046</v>
      </c>
      <c r="D606" s="4">
        <v>13</v>
      </c>
      <c r="E606" s="4">
        <v>15</v>
      </c>
      <c r="F606" s="4">
        <v>30</v>
      </c>
    </row>
    <row r="607" spans="1:6" x14ac:dyDescent="0.35">
      <c r="A607">
        <v>23</v>
      </c>
      <c r="B607">
        <v>12</v>
      </c>
      <c r="C607" t="s">
        <v>328</v>
      </c>
      <c r="D607" s="4">
        <v>3</v>
      </c>
      <c r="E607" s="4">
        <v>6</v>
      </c>
      <c r="F607" s="4">
        <v>8</v>
      </c>
    </row>
    <row r="608" spans="1:6" x14ac:dyDescent="0.35">
      <c r="A608">
        <v>23</v>
      </c>
      <c r="B608">
        <v>13</v>
      </c>
      <c r="C608" t="s">
        <v>329</v>
      </c>
      <c r="D608" s="4">
        <v>4000</v>
      </c>
      <c r="E608" s="4">
        <v>5000</v>
      </c>
      <c r="F608" s="4">
        <v>6000</v>
      </c>
    </row>
    <row r="609" spans="1:6" x14ac:dyDescent="0.35">
      <c r="A609">
        <v>23</v>
      </c>
      <c r="B609">
        <v>14</v>
      </c>
      <c r="C609" t="s">
        <v>1059</v>
      </c>
      <c r="D609" s="4">
        <v>10</v>
      </c>
      <c r="E609" s="4">
        <v>15</v>
      </c>
      <c r="F609" s="4">
        <v>20</v>
      </c>
    </row>
    <row r="610" spans="1:6" x14ac:dyDescent="0.35">
      <c r="A610">
        <v>23</v>
      </c>
      <c r="B610">
        <v>15</v>
      </c>
      <c r="C610" t="s">
        <v>1060</v>
      </c>
      <c r="D610" s="4">
        <v>1920</v>
      </c>
      <c r="E610" s="4">
        <v>1925</v>
      </c>
      <c r="F610" s="4">
        <v>1930</v>
      </c>
    </row>
    <row r="611" spans="1:6" x14ac:dyDescent="0.35">
      <c r="A611">
        <v>23</v>
      </c>
      <c r="B611">
        <v>16</v>
      </c>
      <c r="C611" t="s">
        <v>1061</v>
      </c>
      <c r="D611" s="4">
        <v>15</v>
      </c>
      <c r="E611" s="4">
        <v>20</v>
      </c>
      <c r="F611" s="4">
        <v>25</v>
      </c>
    </row>
    <row r="612" spans="1:6" x14ac:dyDescent="0.35">
      <c r="A612">
        <v>23</v>
      </c>
      <c r="B612">
        <v>17</v>
      </c>
      <c r="C612" t="s">
        <v>1062</v>
      </c>
      <c r="D612" s="4">
        <v>20</v>
      </c>
      <c r="E612" s="4">
        <v>30</v>
      </c>
      <c r="F612" s="4">
        <v>40</v>
      </c>
    </row>
    <row r="613" spans="1:6" x14ac:dyDescent="0.35">
      <c r="A613">
        <v>23</v>
      </c>
      <c r="B613">
        <v>18</v>
      </c>
      <c r="C613" t="s">
        <v>1063</v>
      </c>
      <c r="D613" s="4">
        <v>10</v>
      </c>
      <c r="E613" s="4">
        <v>20</v>
      </c>
      <c r="F613" s="4">
        <v>30</v>
      </c>
    </row>
    <row r="614" spans="1:6" x14ac:dyDescent="0.35">
      <c r="A614">
        <v>23</v>
      </c>
      <c r="B614">
        <v>19</v>
      </c>
      <c r="C614" t="s">
        <v>1064</v>
      </c>
      <c r="D614" s="4">
        <v>1000</v>
      </c>
      <c r="E614" s="4">
        <v>1300</v>
      </c>
      <c r="F614" s="4">
        <v>1600</v>
      </c>
    </row>
    <row r="615" spans="1:6" x14ac:dyDescent="0.35">
      <c r="A615">
        <v>23</v>
      </c>
      <c r="B615">
        <v>20</v>
      </c>
      <c r="C615" t="s">
        <v>1065</v>
      </c>
      <c r="D615" s="4">
        <v>130</v>
      </c>
      <c r="E615" s="4">
        <v>140</v>
      </c>
      <c r="F615" s="4">
        <v>150</v>
      </c>
    </row>
    <row r="616" spans="1:6" x14ac:dyDescent="0.35">
      <c r="A616">
        <v>23</v>
      </c>
      <c r="B616">
        <v>21</v>
      </c>
      <c r="C616" t="s">
        <v>1066</v>
      </c>
      <c r="D616" s="4">
        <v>480</v>
      </c>
      <c r="E616" s="4">
        <v>720</v>
      </c>
      <c r="F616" s="4">
        <v>960</v>
      </c>
    </row>
    <row r="617" spans="1:6" x14ac:dyDescent="0.35">
      <c r="A617">
        <v>23</v>
      </c>
      <c r="B617">
        <v>22</v>
      </c>
      <c r="C617" t="s">
        <v>1067</v>
      </c>
      <c r="D617" s="4">
        <v>1.75</v>
      </c>
      <c r="E617" s="4">
        <v>2</v>
      </c>
      <c r="F617" s="4">
        <v>2.25</v>
      </c>
    </row>
    <row r="618" spans="1:6" x14ac:dyDescent="0.35">
      <c r="A618">
        <v>23</v>
      </c>
      <c r="B618">
        <v>23</v>
      </c>
      <c r="C618" t="s">
        <v>1068</v>
      </c>
      <c r="D618" s="4">
        <v>20</v>
      </c>
      <c r="E618" s="4">
        <v>25</v>
      </c>
      <c r="F618" s="4">
        <v>30</v>
      </c>
    </row>
    <row r="619" spans="1:6" x14ac:dyDescent="0.35">
      <c r="A619">
        <v>23</v>
      </c>
      <c r="B619">
        <v>24</v>
      </c>
      <c r="C619" t="s">
        <v>1069</v>
      </c>
      <c r="D619" s="4">
        <v>5</v>
      </c>
      <c r="E619" s="4">
        <v>10</v>
      </c>
      <c r="F619" s="4">
        <v>20</v>
      </c>
    </row>
    <row r="620" spans="1:6" x14ac:dyDescent="0.35">
      <c r="A620">
        <v>23</v>
      </c>
      <c r="B620">
        <v>25</v>
      </c>
      <c r="C620" t="s">
        <v>1070</v>
      </c>
      <c r="D620" s="4">
        <v>600</v>
      </c>
      <c r="E620" s="4">
        <v>840</v>
      </c>
      <c r="F620" s="4">
        <v>1200</v>
      </c>
    </row>
    <row r="621" spans="1:6" x14ac:dyDescent="0.35">
      <c r="A621">
        <v>23</v>
      </c>
      <c r="B621">
        <v>26</v>
      </c>
      <c r="C621" t="s">
        <v>1071</v>
      </c>
      <c r="D621" s="4">
        <v>50</v>
      </c>
      <c r="E621" s="4">
        <v>65</v>
      </c>
      <c r="F621" s="4">
        <v>80</v>
      </c>
    </row>
    <row r="622" spans="1:6" x14ac:dyDescent="0.35">
      <c r="A622">
        <v>23</v>
      </c>
      <c r="B622">
        <v>27</v>
      </c>
      <c r="C622" t="s">
        <v>1072</v>
      </c>
      <c r="D622" s="4">
        <v>7</v>
      </c>
      <c r="E622" s="4">
        <v>8</v>
      </c>
      <c r="F622" s="4">
        <v>9</v>
      </c>
    </row>
    <row r="623" spans="1:6" x14ac:dyDescent="0.35">
      <c r="A623">
        <v>24</v>
      </c>
      <c r="B623">
        <v>1</v>
      </c>
      <c r="C623" t="s">
        <v>318</v>
      </c>
      <c r="D623" s="4">
        <v>1974</v>
      </c>
      <c r="E623" s="4">
        <v>1976</v>
      </c>
      <c r="F623" s="4">
        <v>1980</v>
      </c>
    </row>
    <row r="624" spans="1:6" x14ac:dyDescent="0.35">
      <c r="A624">
        <v>24</v>
      </c>
      <c r="B624">
        <v>2</v>
      </c>
      <c r="C624" t="s">
        <v>319</v>
      </c>
      <c r="D624" s="4">
        <v>3</v>
      </c>
      <c r="E624" s="4">
        <v>5</v>
      </c>
      <c r="F624" s="4">
        <v>8</v>
      </c>
    </row>
    <row r="625" spans="1:6" x14ac:dyDescent="0.35">
      <c r="A625">
        <v>24</v>
      </c>
      <c r="B625">
        <v>3</v>
      </c>
      <c r="C625" t="s">
        <v>320</v>
      </c>
      <c r="D625" s="4">
        <v>2300</v>
      </c>
      <c r="E625" s="4">
        <v>2450</v>
      </c>
      <c r="F625" s="4">
        <v>2700</v>
      </c>
    </row>
    <row r="626" spans="1:6" x14ac:dyDescent="0.35">
      <c r="A626">
        <v>24</v>
      </c>
      <c r="B626">
        <v>4</v>
      </c>
      <c r="C626" t="s">
        <v>321</v>
      </c>
      <c r="D626" s="4">
        <v>5</v>
      </c>
      <c r="E626" s="4">
        <v>20</v>
      </c>
      <c r="F626" s="4">
        <v>30</v>
      </c>
    </row>
    <row r="627" spans="1:6" x14ac:dyDescent="0.35">
      <c r="A627">
        <v>24</v>
      </c>
      <c r="B627">
        <v>5</v>
      </c>
      <c r="C627" t="s">
        <v>322</v>
      </c>
      <c r="D627" s="4">
        <v>2</v>
      </c>
      <c r="E627" s="4">
        <v>3</v>
      </c>
      <c r="F627" s="4">
        <v>6</v>
      </c>
    </row>
    <row r="628" spans="1:6" x14ac:dyDescent="0.35">
      <c r="A628">
        <v>24</v>
      </c>
      <c r="B628">
        <v>6</v>
      </c>
      <c r="C628" t="s">
        <v>323</v>
      </c>
      <c r="D628" s="4">
        <v>10</v>
      </c>
      <c r="E628" s="4">
        <v>25</v>
      </c>
      <c r="F628" s="4">
        <v>30</v>
      </c>
    </row>
    <row r="629" spans="1:6" x14ac:dyDescent="0.35">
      <c r="A629">
        <v>24</v>
      </c>
      <c r="B629">
        <v>7</v>
      </c>
      <c r="C629" t="s">
        <v>324</v>
      </c>
      <c r="D629" s="4">
        <v>5</v>
      </c>
      <c r="E629" s="4">
        <v>8</v>
      </c>
      <c r="F629" s="4">
        <v>13</v>
      </c>
    </row>
    <row r="630" spans="1:6" x14ac:dyDescent="0.35">
      <c r="A630">
        <v>24</v>
      </c>
      <c r="B630">
        <v>8</v>
      </c>
      <c r="C630" t="s">
        <v>325</v>
      </c>
      <c r="D630" s="4">
        <v>15</v>
      </c>
      <c r="E630" s="4">
        <v>25</v>
      </c>
      <c r="F630" s="4">
        <v>30</v>
      </c>
    </row>
    <row r="631" spans="1:6" x14ac:dyDescent="0.35">
      <c r="A631">
        <v>24</v>
      </c>
      <c r="B631">
        <v>9</v>
      </c>
      <c r="C631" t="s">
        <v>326</v>
      </c>
      <c r="D631" s="4">
        <v>240</v>
      </c>
      <c r="E631" s="4">
        <v>360</v>
      </c>
      <c r="F631" s="4">
        <v>480</v>
      </c>
    </row>
    <row r="632" spans="1:6" x14ac:dyDescent="0.35">
      <c r="A632">
        <v>24</v>
      </c>
      <c r="B632">
        <v>10</v>
      </c>
      <c r="C632" t="s">
        <v>327</v>
      </c>
      <c r="D632" s="4">
        <v>2.5</v>
      </c>
      <c r="E632" s="4">
        <v>3.2</v>
      </c>
      <c r="F632" s="4">
        <v>4</v>
      </c>
    </row>
    <row r="633" spans="1:6" x14ac:dyDescent="0.35">
      <c r="A633">
        <v>24</v>
      </c>
      <c r="B633">
        <v>11</v>
      </c>
      <c r="C633" t="s">
        <v>1046</v>
      </c>
      <c r="D633" s="4">
        <v>20</v>
      </c>
      <c r="E633" s="4">
        <v>25</v>
      </c>
      <c r="F633" s="4">
        <v>35</v>
      </c>
    </row>
    <row r="634" spans="1:6" x14ac:dyDescent="0.35">
      <c r="A634">
        <v>24</v>
      </c>
      <c r="B634">
        <v>12</v>
      </c>
      <c r="C634" t="s">
        <v>328</v>
      </c>
      <c r="D634" s="4">
        <v>2</v>
      </c>
      <c r="E634" s="4">
        <v>4</v>
      </c>
      <c r="F634" s="4">
        <v>6</v>
      </c>
    </row>
    <row r="635" spans="1:6" x14ac:dyDescent="0.35">
      <c r="A635">
        <v>24</v>
      </c>
      <c r="B635">
        <v>13</v>
      </c>
      <c r="C635" t="s">
        <v>329</v>
      </c>
      <c r="D635" s="4">
        <v>11000</v>
      </c>
      <c r="E635" s="4">
        <v>12000</v>
      </c>
      <c r="F635" s="4">
        <v>14000</v>
      </c>
    </row>
    <row r="636" spans="1:6" x14ac:dyDescent="0.35">
      <c r="A636">
        <v>24</v>
      </c>
      <c r="B636">
        <v>14</v>
      </c>
      <c r="C636" t="s">
        <v>1059</v>
      </c>
      <c r="D636" s="4">
        <v>12</v>
      </c>
      <c r="E636" s="4">
        <v>14</v>
      </c>
      <c r="F636" s="4">
        <v>16</v>
      </c>
    </row>
    <row r="637" spans="1:6" x14ac:dyDescent="0.35">
      <c r="A637">
        <v>24</v>
      </c>
      <c r="B637">
        <v>15</v>
      </c>
      <c r="C637" t="s">
        <v>1060</v>
      </c>
      <c r="D637" s="4">
        <v>1990</v>
      </c>
      <c r="E637" s="4">
        <v>1995</v>
      </c>
      <c r="F637" s="4">
        <v>1998</v>
      </c>
    </row>
    <row r="638" spans="1:6" x14ac:dyDescent="0.35">
      <c r="A638">
        <v>24</v>
      </c>
      <c r="B638">
        <v>16</v>
      </c>
      <c r="C638" t="s">
        <v>1061</v>
      </c>
      <c r="D638" s="4">
        <v>25</v>
      </c>
      <c r="E638" s="4">
        <v>35</v>
      </c>
      <c r="F638" s="4">
        <v>40</v>
      </c>
    </row>
    <row r="639" spans="1:6" x14ac:dyDescent="0.35">
      <c r="A639">
        <v>24</v>
      </c>
      <c r="B639">
        <v>17</v>
      </c>
      <c r="C639" t="s">
        <v>1062</v>
      </c>
      <c r="D639" s="4">
        <v>5</v>
      </c>
      <c r="E639" s="4">
        <v>10</v>
      </c>
      <c r="F639" s="4">
        <v>15</v>
      </c>
    </row>
    <row r="640" spans="1:6" x14ac:dyDescent="0.35">
      <c r="A640">
        <v>24</v>
      </c>
      <c r="B640">
        <v>18</v>
      </c>
      <c r="C640" t="s">
        <v>1063</v>
      </c>
      <c r="D640" s="4">
        <v>5</v>
      </c>
      <c r="E640" s="4">
        <v>10</v>
      </c>
      <c r="F640" s="4">
        <v>15</v>
      </c>
    </row>
    <row r="641" spans="1:6" x14ac:dyDescent="0.35">
      <c r="A641">
        <v>24</v>
      </c>
      <c r="B641">
        <v>19</v>
      </c>
      <c r="C641" t="s">
        <v>1064</v>
      </c>
      <c r="D641" s="4">
        <v>300</v>
      </c>
      <c r="E641" s="4">
        <v>400</v>
      </c>
      <c r="F641" s="4">
        <v>500</v>
      </c>
    </row>
    <row r="642" spans="1:6" x14ac:dyDescent="0.35">
      <c r="A642">
        <v>24</v>
      </c>
      <c r="B642">
        <v>20</v>
      </c>
      <c r="C642" t="s">
        <v>1065</v>
      </c>
      <c r="D642" s="4">
        <v>130</v>
      </c>
      <c r="E642" s="4">
        <v>140</v>
      </c>
      <c r="F642" s="4">
        <v>150</v>
      </c>
    </row>
    <row r="643" spans="1:6" x14ac:dyDescent="0.35">
      <c r="A643">
        <v>24</v>
      </c>
      <c r="B643">
        <v>21</v>
      </c>
      <c r="C643" t="s">
        <v>1066</v>
      </c>
      <c r="D643" s="4">
        <v>72</v>
      </c>
      <c r="E643" s="4">
        <v>120</v>
      </c>
      <c r="F643" s="4">
        <v>168</v>
      </c>
    </row>
    <row r="644" spans="1:6" x14ac:dyDescent="0.35">
      <c r="A644">
        <v>24</v>
      </c>
      <c r="B644">
        <v>22</v>
      </c>
      <c r="C644" t="s">
        <v>1067</v>
      </c>
      <c r="D644" s="4">
        <v>3.5</v>
      </c>
      <c r="E644" s="4">
        <v>4</v>
      </c>
      <c r="F644" s="4">
        <v>6</v>
      </c>
    </row>
    <row r="645" spans="1:6" x14ac:dyDescent="0.35">
      <c r="A645">
        <v>24</v>
      </c>
      <c r="B645">
        <v>23</v>
      </c>
      <c r="C645" t="s">
        <v>1068</v>
      </c>
      <c r="D645" s="4">
        <v>30</v>
      </c>
      <c r="E645" s="4">
        <v>35</v>
      </c>
      <c r="F645" s="4">
        <v>40</v>
      </c>
    </row>
    <row r="646" spans="1:6" x14ac:dyDescent="0.35">
      <c r="A646">
        <v>24</v>
      </c>
      <c r="B646">
        <v>24</v>
      </c>
      <c r="C646" t="s">
        <v>1069</v>
      </c>
      <c r="D646" s="4">
        <v>15</v>
      </c>
      <c r="E646" s="4">
        <v>20</v>
      </c>
      <c r="F646" s="4">
        <v>25</v>
      </c>
    </row>
    <row r="647" spans="1:6" x14ac:dyDescent="0.35">
      <c r="A647">
        <v>24</v>
      </c>
      <c r="B647">
        <v>25</v>
      </c>
      <c r="C647" t="s">
        <v>1070</v>
      </c>
      <c r="D647" s="4">
        <v>72</v>
      </c>
      <c r="E647" s="4">
        <v>96</v>
      </c>
      <c r="F647" s="4">
        <v>120</v>
      </c>
    </row>
    <row r="648" spans="1:6" x14ac:dyDescent="0.35">
      <c r="A648">
        <v>24</v>
      </c>
      <c r="B648">
        <v>26</v>
      </c>
      <c r="C648" t="s">
        <v>1071</v>
      </c>
      <c r="D648" s="4">
        <v>40</v>
      </c>
      <c r="E648" s="4">
        <v>45</v>
      </c>
      <c r="F648" s="4">
        <v>50</v>
      </c>
    </row>
    <row r="649" spans="1:6" x14ac:dyDescent="0.35">
      <c r="A649">
        <v>24</v>
      </c>
      <c r="B649">
        <v>27</v>
      </c>
      <c r="C649" t="s">
        <v>1072</v>
      </c>
      <c r="D649" s="4">
        <v>19.2</v>
      </c>
      <c r="E649" s="4">
        <v>24</v>
      </c>
      <c r="F649" s="4">
        <v>48</v>
      </c>
    </row>
    <row r="650" spans="1:6" x14ac:dyDescent="0.35">
      <c r="A650">
        <v>25</v>
      </c>
      <c r="B650">
        <v>1</v>
      </c>
      <c r="C650" t="s">
        <v>318</v>
      </c>
      <c r="D650" s="4">
        <v>1978</v>
      </c>
      <c r="E650" s="4">
        <v>1979</v>
      </c>
      <c r="F650" s="4">
        <v>1980</v>
      </c>
    </row>
    <row r="651" spans="1:6" x14ac:dyDescent="0.35">
      <c r="A651">
        <v>25</v>
      </c>
      <c r="B651">
        <v>2</v>
      </c>
      <c r="C651" t="s">
        <v>319</v>
      </c>
      <c r="D651" s="4">
        <v>9900</v>
      </c>
      <c r="E651" s="4">
        <v>10000</v>
      </c>
      <c r="F651" s="4">
        <v>12000</v>
      </c>
    </row>
    <row r="652" spans="1:6" x14ac:dyDescent="0.35">
      <c r="A652">
        <v>25</v>
      </c>
      <c r="B652">
        <v>3</v>
      </c>
      <c r="C652" t="s">
        <v>320</v>
      </c>
      <c r="D652" s="4">
        <v>3069.5</v>
      </c>
      <c r="E652" s="4">
        <v>3070</v>
      </c>
      <c r="F652" s="4">
        <v>3072</v>
      </c>
    </row>
    <row r="653" spans="1:6" x14ac:dyDescent="0.35">
      <c r="A653">
        <v>25</v>
      </c>
      <c r="B653">
        <v>4</v>
      </c>
      <c r="C653" t="s">
        <v>321</v>
      </c>
      <c r="D653" s="4">
        <v>33</v>
      </c>
      <c r="E653" s="4">
        <v>35</v>
      </c>
      <c r="F653" s="4">
        <v>40</v>
      </c>
    </row>
    <row r="654" spans="1:6" x14ac:dyDescent="0.35">
      <c r="A654">
        <v>25</v>
      </c>
      <c r="B654">
        <v>5</v>
      </c>
      <c r="C654" t="s">
        <v>322</v>
      </c>
      <c r="D654" s="4">
        <v>2</v>
      </c>
      <c r="E654" s="4">
        <v>3</v>
      </c>
      <c r="F654" s="4">
        <v>4</v>
      </c>
    </row>
    <row r="655" spans="1:6" x14ac:dyDescent="0.35">
      <c r="A655">
        <v>25</v>
      </c>
      <c r="B655">
        <v>6</v>
      </c>
      <c r="C655" t="s">
        <v>323</v>
      </c>
      <c r="D655" s="4">
        <v>10</v>
      </c>
      <c r="E655" s="4">
        <v>10.6</v>
      </c>
      <c r="F655" s="4">
        <v>11</v>
      </c>
    </row>
    <row r="656" spans="1:6" x14ac:dyDescent="0.35">
      <c r="A656">
        <v>25</v>
      </c>
      <c r="B656">
        <v>7</v>
      </c>
      <c r="C656" t="s">
        <v>324</v>
      </c>
      <c r="D656" s="4">
        <v>3.9</v>
      </c>
      <c r="E656" s="4">
        <v>4</v>
      </c>
      <c r="F656" s="4">
        <v>12</v>
      </c>
    </row>
    <row r="657" spans="1:6" x14ac:dyDescent="0.35">
      <c r="A657">
        <v>25</v>
      </c>
      <c r="B657">
        <v>8</v>
      </c>
      <c r="C657" t="s">
        <v>325</v>
      </c>
      <c r="D657" s="4">
        <v>8000000</v>
      </c>
      <c r="E657" s="4">
        <v>9000000</v>
      </c>
      <c r="F657" s="4">
        <v>19200000</v>
      </c>
    </row>
    <row r="658" spans="1:6" x14ac:dyDescent="0.35">
      <c r="A658">
        <v>25</v>
      </c>
      <c r="B658">
        <v>9</v>
      </c>
      <c r="C658" t="s">
        <v>326</v>
      </c>
      <c r="D658" s="4">
        <v>432</v>
      </c>
      <c r="E658" s="4">
        <v>456</v>
      </c>
      <c r="F658" s="4">
        <v>480</v>
      </c>
    </row>
    <row r="659" spans="1:6" x14ac:dyDescent="0.35">
      <c r="A659">
        <v>25</v>
      </c>
      <c r="B659">
        <v>10</v>
      </c>
      <c r="C659" t="s">
        <v>327</v>
      </c>
      <c r="D659" s="4">
        <v>200</v>
      </c>
      <c r="E659" s="4">
        <v>220</v>
      </c>
      <c r="F659" s="4">
        <v>400</v>
      </c>
    </row>
    <row r="660" spans="1:6" x14ac:dyDescent="0.35">
      <c r="A660">
        <v>25</v>
      </c>
      <c r="B660">
        <v>11</v>
      </c>
      <c r="C660" t="s">
        <v>1046</v>
      </c>
      <c r="D660" s="4">
        <v>50</v>
      </c>
      <c r="E660" s="4">
        <v>60</v>
      </c>
      <c r="F660" s="4">
        <v>70</v>
      </c>
    </row>
    <row r="661" spans="1:6" x14ac:dyDescent="0.35">
      <c r="A661">
        <v>25</v>
      </c>
      <c r="B661">
        <v>12</v>
      </c>
      <c r="C661" t="s">
        <v>328</v>
      </c>
      <c r="D661" s="4">
        <v>9</v>
      </c>
      <c r="E661" s="4">
        <v>10</v>
      </c>
      <c r="F661" s="4">
        <v>12</v>
      </c>
    </row>
    <row r="662" spans="1:6" x14ac:dyDescent="0.35">
      <c r="A662">
        <v>25</v>
      </c>
      <c r="B662">
        <v>13</v>
      </c>
      <c r="C662" t="s">
        <v>329</v>
      </c>
      <c r="D662" s="4">
        <v>8000</v>
      </c>
      <c r="E662" s="4">
        <v>10000</v>
      </c>
      <c r="F662" s="4">
        <v>10001</v>
      </c>
    </row>
    <row r="663" spans="1:6" x14ac:dyDescent="0.35">
      <c r="A663">
        <v>25</v>
      </c>
      <c r="B663">
        <v>14</v>
      </c>
      <c r="C663" t="s">
        <v>1059</v>
      </c>
      <c r="D663" s="4">
        <v>13</v>
      </c>
      <c r="E663" s="4">
        <v>14</v>
      </c>
      <c r="F663" s="4">
        <v>15</v>
      </c>
    </row>
    <row r="664" spans="1:6" x14ac:dyDescent="0.35">
      <c r="A664">
        <v>25</v>
      </c>
      <c r="B664">
        <v>15</v>
      </c>
      <c r="C664" t="s">
        <v>1060</v>
      </c>
      <c r="D664" s="4">
        <v>1900</v>
      </c>
      <c r="E664" s="4">
        <v>1910</v>
      </c>
      <c r="F664" s="4">
        <v>1920</v>
      </c>
    </row>
    <row r="665" spans="1:6" x14ac:dyDescent="0.35">
      <c r="A665">
        <v>25</v>
      </c>
      <c r="B665">
        <v>16</v>
      </c>
      <c r="C665" t="s">
        <v>1061</v>
      </c>
      <c r="D665" s="4">
        <v>65</v>
      </c>
      <c r="E665" s="4">
        <v>70</v>
      </c>
      <c r="F665" s="4">
        <v>75</v>
      </c>
    </row>
    <row r="666" spans="1:6" x14ac:dyDescent="0.35">
      <c r="A666">
        <v>25</v>
      </c>
      <c r="B666">
        <v>17</v>
      </c>
      <c r="C666" t="s">
        <v>1062</v>
      </c>
      <c r="D666" s="4">
        <v>5</v>
      </c>
      <c r="E666" s="4">
        <v>10</v>
      </c>
      <c r="F666" s="4">
        <v>15</v>
      </c>
    </row>
    <row r="667" spans="1:6" x14ac:dyDescent="0.35">
      <c r="A667">
        <v>25</v>
      </c>
      <c r="B667">
        <v>18</v>
      </c>
      <c r="C667" t="s">
        <v>1063</v>
      </c>
      <c r="D667" s="4">
        <v>60</v>
      </c>
      <c r="E667" s="4">
        <v>65</v>
      </c>
      <c r="F667" s="4">
        <v>70</v>
      </c>
    </row>
    <row r="668" spans="1:6" x14ac:dyDescent="0.35">
      <c r="A668">
        <v>25</v>
      </c>
      <c r="B668">
        <v>19</v>
      </c>
      <c r="C668" t="s">
        <v>1064</v>
      </c>
      <c r="D668" s="4">
        <v>2000</v>
      </c>
      <c r="E668" s="4">
        <v>3000</v>
      </c>
      <c r="F668" s="4">
        <v>3500</v>
      </c>
    </row>
    <row r="669" spans="1:6" x14ac:dyDescent="0.35">
      <c r="A669">
        <v>25</v>
      </c>
      <c r="B669">
        <v>20</v>
      </c>
      <c r="C669" t="s">
        <v>1065</v>
      </c>
      <c r="D669" s="4">
        <v>250</v>
      </c>
      <c r="E669" s="4">
        <v>300</v>
      </c>
      <c r="F669" s="4">
        <v>350</v>
      </c>
    </row>
    <row r="670" spans="1:6" x14ac:dyDescent="0.35">
      <c r="A670">
        <v>25</v>
      </c>
      <c r="B670">
        <v>21</v>
      </c>
      <c r="C670" t="s">
        <v>1066</v>
      </c>
      <c r="D670" s="4">
        <v>2160</v>
      </c>
      <c r="E670" s="4">
        <v>4320</v>
      </c>
      <c r="F670" s="4">
        <v>5760</v>
      </c>
    </row>
    <row r="671" spans="1:6" x14ac:dyDescent="0.35">
      <c r="A671">
        <v>25</v>
      </c>
      <c r="B671">
        <v>22</v>
      </c>
      <c r="C671" t="s">
        <v>1067</v>
      </c>
      <c r="D671" s="4">
        <v>20</v>
      </c>
      <c r="E671" s="4">
        <v>21</v>
      </c>
      <c r="F671" s="4">
        <v>22</v>
      </c>
    </row>
    <row r="672" spans="1:6" x14ac:dyDescent="0.35">
      <c r="A672">
        <v>25</v>
      </c>
      <c r="B672">
        <v>23</v>
      </c>
      <c r="C672" t="s">
        <v>1068</v>
      </c>
      <c r="D672" s="4">
        <v>25</v>
      </c>
      <c r="E672" s="4">
        <v>30</v>
      </c>
      <c r="F672" s="4">
        <v>35</v>
      </c>
    </row>
    <row r="673" spans="1:6" x14ac:dyDescent="0.35">
      <c r="A673">
        <v>25</v>
      </c>
      <c r="B673">
        <v>24</v>
      </c>
      <c r="C673" t="s">
        <v>1069</v>
      </c>
      <c r="D673" s="4">
        <v>800</v>
      </c>
      <c r="E673" s="4">
        <v>900</v>
      </c>
      <c r="F673" s="4">
        <v>1200</v>
      </c>
    </row>
    <row r="674" spans="1:6" x14ac:dyDescent="0.35">
      <c r="A674">
        <v>25</v>
      </c>
      <c r="B674">
        <v>25</v>
      </c>
      <c r="C674" t="s">
        <v>1070</v>
      </c>
      <c r="D674" s="4">
        <v>720</v>
      </c>
      <c r="E674" s="4">
        <v>1440</v>
      </c>
      <c r="F674" s="4">
        <v>2160</v>
      </c>
    </row>
    <row r="675" spans="1:6" x14ac:dyDescent="0.35">
      <c r="A675">
        <v>25</v>
      </c>
      <c r="B675">
        <v>26</v>
      </c>
      <c r="C675" t="s">
        <v>1071</v>
      </c>
      <c r="D675" s="4">
        <v>70</v>
      </c>
      <c r="E675" s="4">
        <v>80</v>
      </c>
      <c r="F675" s="4">
        <v>90</v>
      </c>
    </row>
    <row r="676" spans="1:6" x14ac:dyDescent="0.35">
      <c r="A676">
        <v>25</v>
      </c>
      <c r="B676">
        <v>27</v>
      </c>
      <c r="C676" t="s">
        <v>1072</v>
      </c>
      <c r="D676" s="4">
        <v>16.5</v>
      </c>
      <c r="E676" s="4">
        <v>18</v>
      </c>
      <c r="F676" s="4">
        <v>18.3</v>
      </c>
    </row>
    <row r="677" spans="1:6" x14ac:dyDescent="0.35">
      <c r="A677">
        <v>26</v>
      </c>
      <c r="B677">
        <v>1</v>
      </c>
      <c r="C677" t="s">
        <v>318</v>
      </c>
      <c r="D677" s="4">
        <v>1973</v>
      </c>
      <c r="E677" s="4">
        <v>1975</v>
      </c>
      <c r="F677" s="4">
        <v>1980</v>
      </c>
    </row>
    <row r="678" spans="1:6" x14ac:dyDescent="0.35">
      <c r="A678">
        <v>26</v>
      </c>
      <c r="B678">
        <v>2</v>
      </c>
      <c r="C678" t="s">
        <v>319</v>
      </c>
      <c r="D678" s="4">
        <v>8800</v>
      </c>
      <c r="E678" s="4">
        <v>9000</v>
      </c>
      <c r="F678" s="4">
        <v>9001</v>
      </c>
    </row>
    <row r="679" spans="1:6" x14ac:dyDescent="0.35">
      <c r="A679">
        <v>26</v>
      </c>
      <c r="B679">
        <v>3</v>
      </c>
      <c r="C679" t="s">
        <v>320</v>
      </c>
      <c r="D679" s="4">
        <v>2800</v>
      </c>
      <c r="E679" s="4">
        <v>3000</v>
      </c>
      <c r="F679" s="4">
        <v>3200</v>
      </c>
    </row>
    <row r="680" spans="1:6" x14ac:dyDescent="0.35">
      <c r="A680">
        <v>26</v>
      </c>
      <c r="B680">
        <v>4</v>
      </c>
      <c r="C680" t="s">
        <v>321</v>
      </c>
      <c r="D680" s="4">
        <v>30</v>
      </c>
      <c r="E680" s="4">
        <v>35</v>
      </c>
      <c r="F680" s="4">
        <v>40</v>
      </c>
    </row>
    <row r="681" spans="1:6" x14ac:dyDescent="0.35">
      <c r="A681">
        <v>26</v>
      </c>
      <c r="B681">
        <v>5</v>
      </c>
      <c r="C681" t="s">
        <v>322</v>
      </c>
      <c r="D681" s="4">
        <v>2</v>
      </c>
      <c r="E681" s="4">
        <v>5</v>
      </c>
      <c r="F681" s="4">
        <v>10</v>
      </c>
    </row>
    <row r="682" spans="1:6" x14ac:dyDescent="0.35">
      <c r="A682">
        <v>26</v>
      </c>
      <c r="B682">
        <v>6</v>
      </c>
      <c r="C682" t="s">
        <v>323</v>
      </c>
      <c r="D682" s="4">
        <v>25</v>
      </c>
      <c r="E682" s="4">
        <v>30</v>
      </c>
      <c r="F682" s="4">
        <v>45</v>
      </c>
    </row>
    <row r="683" spans="1:6" x14ac:dyDescent="0.35">
      <c r="A683">
        <v>26</v>
      </c>
      <c r="B683">
        <v>7</v>
      </c>
      <c r="C683" t="s">
        <v>324</v>
      </c>
      <c r="D683" s="4">
        <v>2</v>
      </c>
      <c r="E683" s="4">
        <v>5</v>
      </c>
      <c r="F683" s="4">
        <v>10</v>
      </c>
    </row>
    <row r="684" spans="1:6" x14ac:dyDescent="0.35">
      <c r="A684">
        <v>26</v>
      </c>
      <c r="B684">
        <v>8</v>
      </c>
      <c r="C684" t="s">
        <v>325</v>
      </c>
      <c r="D684" s="4">
        <v>40000000</v>
      </c>
      <c r="E684" s="4">
        <v>50000000</v>
      </c>
      <c r="F684" s="4">
        <v>55000000</v>
      </c>
    </row>
    <row r="685" spans="1:6" x14ac:dyDescent="0.35">
      <c r="A685">
        <v>26</v>
      </c>
      <c r="B685">
        <v>9</v>
      </c>
      <c r="C685" t="s">
        <v>326</v>
      </c>
      <c r="D685" s="4">
        <v>240</v>
      </c>
      <c r="E685" s="4">
        <v>360</v>
      </c>
      <c r="F685" s="4">
        <v>480</v>
      </c>
    </row>
    <row r="686" spans="1:6" x14ac:dyDescent="0.35">
      <c r="A686">
        <v>26</v>
      </c>
      <c r="B686">
        <v>10</v>
      </c>
      <c r="C686" t="s">
        <v>327</v>
      </c>
      <c r="D686" s="4">
        <v>60</v>
      </c>
      <c r="E686" s="4">
        <v>80</v>
      </c>
      <c r="F686" s="4">
        <v>100</v>
      </c>
    </row>
    <row r="687" spans="1:6" x14ac:dyDescent="0.35">
      <c r="A687">
        <v>26</v>
      </c>
      <c r="B687">
        <v>11</v>
      </c>
      <c r="C687" t="s">
        <v>1046</v>
      </c>
      <c r="D687" s="4">
        <v>15</v>
      </c>
      <c r="E687" s="4">
        <v>25</v>
      </c>
      <c r="F687" s="4">
        <v>35</v>
      </c>
    </row>
    <row r="688" spans="1:6" x14ac:dyDescent="0.35">
      <c r="A688">
        <v>26</v>
      </c>
      <c r="B688">
        <v>12</v>
      </c>
      <c r="C688" t="s">
        <v>328</v>
      </c>
      <c r="D688" s="4">
        <v>1</v>
      </c>
      <c r="E688" s="4">
        <v>2</v>
      </c>
      <c r="F688" s="4">
        <v>3</v>
      </c>
    </row>
    <row r="689" spans="1:6" x14ac:dyDescent="0.35">
      <c r="A689">
        <v>26</v>
      </c>
      <c r="B689">
        <v>13</v>
      </c>
      <c r="C689" t="s">
        <v>329</v>
      </c>
      <c r="D689" s="4">
        <v>7500</v>
      </c>
      <c r="E689" s="4">
        <v>8000</v>
      </c>
      <c r="F689" s="4">
        <v>9000</v>
      </c>
    </row>
    <row r="690" spans="1:6" x14ac:dyDescent="0.35">
      <c r="A690">
        <v>26</v>
      </c>
      <c r="B690">
        <v>14</v>
      </c>
      <c r="C690" t="s">
        <v>1059</v>
      </c>
      <c r="D690" s="4">
        <v>1.2</v>
      </c>
      <c r="E690" s="4">
        <v>1.5</v>
      </c>
      <c r="F690" s="4">
        <v>1.7</v>
      </c>
    </row>
    <row r="691" spans="1:6" x14ac:dyDescent="0.35">
      <c r="A691">
        <v>26</v>
      </c>
      <c r="B691">
        <v>15</v>
      </c>
      <c r="C691" t="s">
        <v>1060</v>
      </c>
      <c r="D691" s="4">
        <v>1800</v>
      </c>
      <c r="E691" s="4">
        <v>1840</v>
      </c>
      <c r="F691" s="4">
        <v>1890</v>
      </c>
    </row>
    <row r="692" spans="1:6" x14ac:dyDescent="0.35">
      <c r="A692">
        <v>26</v>
      </c>
      <c r="B692">
        <v>16</v>
      </c>
      <c r="C692" t="s">
        <v>1061</v>
      </c>
      <c r="D692" s="4">
        <v>30</v>
      </c>
      <c r="E692" s="4">
        <v>35</v>
      </c>
      <c r="F692" s="4">
        <v>50</v>
      </c>
    </row>
    <row r="693" spans="1:6" x14ac:dyDescent="0.35">
      <c r="A693">
        <v>26</v>
      </c>
      <c r="B693">
        <v>17</v>
      </c>
      <c r="C693" t="s">
        <v>1062</v>
      </c>
      <c r="D693" s="4">
        <v>40</v>
      </c>
      <c r="E693" s="4">
        <v>60</v>
      </c>
      <c r="F693" s="4">
        <v>65</v>
      </c>
    </row>
    <row r="694" spans="1:6" x14ac:dyDescent="0.35">
      <c r="A694">
        <v>26</v>
      </c>
      <c r="B694">
        <v>18</v>
      </c>
      <c r="C694" t="s">
        <v>1063</v>
      </c>
      <c r="D694" s="4">
        <v>10</v>
      </c>
      <c r="E694" s="4">
        <v>15</v>
      </c>
      <c r="F694" s="4">
        <v>16</v>
      </c>
    </row>
    <row r="695" spans="1:6" x14ac:dyDescent="0.35">
      <c r="A695">
        <v>26</v>
      </c>
      <c r="B695">
        <v>19</v>
      </c>
      <c r="C695" t="s">
        <v>1064</v>
      </c>
      <c r="D695" s="4">
        <v>15</v>
      </c>
      <c r="E695" s="4">
        <v>25</v>
      </c>
      <c r="F695" s="4">
        <v>50</v>
      </c>
    </row>
    <row r="696" spans="1:6" x14ac:dyDescent="0.35">
      <c r="A696">
        <v>26</v>
      </c>
      <c r="B696">
        <v>20</v>
      </c>
      <c r="C696" t="s">
        <v>1065</v>
      </c>
      <c r="D696" s="4">
        <v>5</v>
      </c>
      <c r="E696" s="4">
        <v>10</v>
      </c>
      <c r="F696" s="4">
        <v>20</v>
      </c>
    </row>
    <row r="697" spans="1:6" x14ac:dyDescent="0.35">
      <c r="A697">
        <v>26</v>
      </c>
      <c r="B697">
        <v>21</v>
      </c>
      <c r="C697" t="s">
        <v>1066</v>
      </c>
      <c r="D697" s="4">
        <v>72</v>
      </c>
      <c r="E697" s="4">
        <v>120</v>
      </c>
      <c r="F697" s="4">
        <v>360</v>
      </c>
    </row>
    <row r="698" spans="1:6" x14ac:dyDescent="0.35">
      <c r="A698">
        <v>26</v>
      </c>
      <c r="B698">
        <v>22</v>
      </c>
      <c r="C698" t="s">
        <v>1067</v>
      </c>
      <c r="D698" s="4">
        <v>1</v>
      </c>
      <c r="E698" s="4">
        <v>1.33</v>
      </c>
      <c r="F698" s="4">
        <v>1.67</v>
      </c>
    </row>
    <row r="699" spans="1:6" x14ac:dyDescent="0.35">
      <c r="A699">
        <v>26</v>
      </c>
      <c r="B699">
        <v>23</v>
      </c>
      <c r="C699" t="s">
        <v>1068</v>
      </c>
      <c r="D699" s="4">
        <v>15</v>
      </c>
      <c r="E699" s="4">
        <v>20</v>
      </c>
      <c r="F699" s="4">
        <v>21</v>
      </c>
    </row>
    <row r="700" spans="1:6" x14ac:dyDescent="0.35">
      <c r="A700">
        <v>26</v>
      </c>
      <c r="B700">
        <v>24</v>
      </c>
      <c r="C700" t="s">
        <v>1069</v>
      </c>
      <c r="D700" s="4">
        <v>150</v>
      </c>
      <c r="E700" s="4">
        <v>200</v>
      </c>
      <c r="F700" s="4">
        <v>500</v>
      </c>
    </row>
    <row r="701" spans="1:6" x14ac:dyDescent="0.35">
      <c r="A701">
        <v>26</v>
      </c>
      <c r="B701">
        <v>25</v>
      </c>
      <c r="C701" t="s">
        <v>1070</v>
      </c>
      <c r="D701" s="4">
        <v>48</v>
      </c>
      <c r="E701" s="4">
        <v>96</v>
      </c>
      <c r="F701" s="4">
        <v>144</v>
      </c>
    </row>
    <row r="702" spans="1:6" x14ac:dyDescent="0.35">
      <c r="A702">
        <v>26</v>
      </c>
      <c r="B702">
        <v>26</v>
      </c>
      <c r="C702" t="s">
        <v>1071</v>
      </c>
      <c r="D702" s="4">
        <v>45</v>
      </c>
      <c r="E702" s="4">
        <v>65</v>
      </c>
      <c r="F702" s="4">
        <v>85</v>
      </c>
    </row>
    <row r="703" spans="1:6" x14ac:dyDescent="0.35">
      <c r="A703">
        <v>26</v>
      </c>
      <c r="B703">
        <v>27</v>
      </c>
      <c r="C703" t="s">
        <v>1072</v>
      </c>
      <c r="D703" s="4">
        <v>15</v>
      </c>
      <c r="E703" s="4">
        <v>16</v>
      </c>
      <c r="F703" s="4">
        <v>20</v>
      </c>
    </row>
    <row r="704" spans="1:6" x14ac:dyDescent="0.35">
      <c r="A704">
        <v>27</v>
      </c>
      <c r="B704">
        <v>1</v>
      </c>
      <c r="C704" t="s">
        <v>318</v>
      </c>
      <c r="D704" s="4">
        <v>1978</v>
      </c>
      <c r="E704" s="4">
        <v>1979</v>
      </c>
      <c r="F704" s="4">
        <v>1980</v>
      </c>
    </row>
    <row r="705" spans="1:6" x14ac:dyDescent="0.35">
      <c r="A705">
        <v>27</v>
      </c>
      <c r="B705">
        <v>2</v>
      </c>
      <c r="C705" t="s">
        <v>319</v>
      </c>
      <c r="D705" s="4">
        <v>9299</v>
      </c>
      <c r="E705" s="4">
        <v>9300</v>
      </c>
      <c r="F705" s="4">
        <v>9301</v>
      </c>
    </row>
    <row r="706" spans="1:6" x14ac:dyDescent="0.35">
      <c r="A706">
        <v>27</v>
      </c>
      <c r="B706">
        <v>3</v>
      </c>
      <c r="C706" t="s">
        <v>320</v>
      </c>
      <c r="D706" s="4">
        <v>3069</v>
      </c>
      <c r="E706" s="4">
        <v>3070</v>
      </c>
      <c r="F706" s="4">
        <v>3071</v>
      </c>
    </row>
    <row r="707" spans="1:6" x14ac:dyDescent="0.35">
      <c r="A707">
        <v>27</v>
      </c>
      <c r="B707">
        <v>4</v>
      </c>
      <c r="C707" t="s">
        <v>321</v>
      </c>
      <c r="D707" s="4">
        <v>25</v>
      </c>
      <c r="E707" s="4">
        <v>26</v>
      </c>
      <c r="F707" s="4">
        <v>27</v>
      </c>
    </row>
    <row r="708" spans="1:6" x14ac:dyDescent="0.35">
      <c r="A708">
        <v>27</v>
      </c>
      <c r="B708">
        <v>5</v>
      </c>
      <c r="C708" t="s">
        <v>322</v>
      </c>
      <c r="D708" s="4">
        <v>1</v>
      </c>
      <c r="E708" s="4">
        <v>2</v>
      </c>
      <c r="F708" s="4">
        <v>3</v>
      </c>
    </row>
    <row r="709" spans="1:6" x14ac:dyDescent="0.35">
      <c r="A709">
        <v>27</v>
      </c>
      <c r="B709">
        <v>6</v>
      </c>
      <c r="C709" t="s">
        <v>323</v>
      </c>
      <c r="D709" s="4">
        <v>8.09</v>
      </c>
      <c r="E709" s="4">
        <v>9.09</v>
      </c>
      <c r="F709" s="4">
        <v>10.09</v>
      </c>
    </row>
    <row r="710" spans="1:6" x14ac:dyDescent="0.35">
      <c r="A710">
        <v>27</v>
      </c>
      <c r="B710">
        <v>7</v>
      </c>
      <c r="C710" t="s">
        <v>324</v>
      </c>
      <c r="D710" s="4">
        <v>3</v>
      </c>
      <c r="E710" s="4">
        <v>4</v>
      </c>
      <c r="F710" s="4">
        <v>5</v>
      </c>
    </row>
    <row r="711" spans="1:6" x14ac:dyDescent="0.35">
      <c r="A711">
        <v>27</v>
      </c>
      <c r="B711">
        <v>8</v>
      </c>
      <c r="C711" t="s">
        <v>325</v>
      </c>
      <c r="D711" s="4">
        <v>5000000</v>
      </c>
      <c r="E711" s="4">
        <v>10000000</v>
      </c>
      <c r="F711" s="4">
        <v>15000000</v>
      </c>
    </row>
    <row r="712" spans="1:6" x14ac:dyDescent="0.35">
      <c r="A712">
        <v>27</v>
      </c>
      <c r="B712">
        <v>9</v>
      </c>
      <c r="C712" t="s">
        <v>326</v>
      </c>
      <c r="D712" s="4">
        <v>407</v>
      </c>
      <c r="E712" s="4">
        <v>408</v>
      </c>
      <c r="F712" s="4">
        <v>409</v>
      </c>
    </row>
    <row r="713" spans="1:6" x14ac:dyDescent="0.35">
      <c r="A713">
        <v>27</v>
      </c>
      <c r="B713">
        <v>10</v>
      </c>
      <c r="C713" t="s">
        <v>327</v>
      </c>
      <c r="D713" s="4">
        <v>199</v>
      </c>
      <c r="E713" s="4">
        <v>200</v>
      </c>
      <c r="F713" s="4">
        <v>201</v>
      </c>
    </row>
    <row r="714" spans="1:6" x14ac:dyDescent="0.35">
      <c r="A714">
        <v>27</v>
      </c>
      <c r="B714">
        <v>11</v>
      </c>
      <c r="C714" t="s">
        <v>1046</v>
      </c>
      <c r="D714" s="4">
        <v>62</v>
      </c>
      <c r="E714" s="4">
        <v>63</v>
      </c>
      <c r="F714" s="4">
        <v>64</v>
      </c>
    </row>
    <row r="715" spans="1:6" x14ac:dyDescent="0.35">
      <c r="A715">
        <v>27</v>
      </c>
      <c r="B715">
        <v>12</v>
      </c>
      <c r="C715" t="s">
        <v>328</v>
      </c>
      <c r="D715" s="4">
        <v>4</v>
      </c>
      <c r="E715" s="4">
        <v>5</v>
      </c>
      <c r="F715" s="4">
        <v>6</v>
      </c>
    </row>
    <row r="716" spans="1:6" x14ac:dyDescent="0.35">
      <c r="A716">
        <v>27</v>
      </c>
      <c r="B716">
        <v>13</v>
      </c>
      <c r="C716" t="s">
        <v>329</v>
      </c>
      <c r="D716" s="4">
        <v>8000</v>
      </c>
      <c r="E716" s="4">
        <v>9000</v>
      </c>
      <c r="F716" s="4">
        <v>10000</v>
      </c>
    </row>
    <row r="717" spans="1:6" x14ac:dyDescent="0.35">
      <c r="A717">
        <v>27</v>
      </c>
      <c r="B717">
        <v>14</v>
      </c>
      <c r="C717" t="s">
        <v>1059</v>
      </c>
      <c r="D717" s="4">
        <v>14</v>
      </c>
      <c r="E717" s="4">
        <v>15</v>
      </c>
      <c r="F717" s="4">
        <v>16</v>
      </c>
    </row>
    <row r="718" spans="1:6" x14ac:dyDescent="0.35">
      <c r="A718">
        <v>27</v>
      </c>
      <c r="B718">
        <v>15</v>
      </c>
      <c r="C718" t="s">
        <v>1060</v>
      </c>
      <c r="D718" s="4">
        <v>1900</v>
      </c>
      <c r="E718" s="4">
        <v>1920</v>
      </c>
      <c r="F718" s="4">
        <v>1940</v>
      </c>
    </row>
    <row r="719" spans="1:6" x14ac:dyDescent="0.35">
      <c r="A719">
        <v>27</v>
      </c>
      <c r="B719">
        <v>16</v>
      </c>
      <c r="C719" t="s">
        <v>1061</v>
      </c>
      <c r="D719" s="4">
        <v>20</v>
      </c>
      <c r="E719" s="4">
        <v>60</v>
      </c>
      <c r="F719" s="4">
        <v>80</v>
      </c>
    </row>
    <row r="720" spans="1:6" x14ac:dyDescent="0.35">
      <c r="A720">
        <v>27</v>
      </c>
      <c r="B720">
        <v>17</v>
      </c>
      <c r="C720" t="s">
        <v>1062</v>
      </c>
      <c r="D720" s="4">
        <v>0.1</v>
      </c>
      <c r="E720" s="4">
        <v>10</v>
      </c>
      <c r="F720" s="4">
        <v>20</v>
      </c>
    </row>
    <row r="721" spans="1:6" x14ac:dyDescent="0.35">
      <c r="A721">
        <v>27</v>
      </c>
      <c r="B721">
        <v>18</v>
      </c>
      <c r="C721" t="s">
        <v>1063</v>
      </c>
      <c r="D721" s="4">
        <v>10</v>
      </c>
      <c r="E721" s="4">
        <v>20</v>
      </c>
      <c r="F721" s="4">
        <v>30</v>
      </c>
    </row>
    <row r="722" spans="1:6" x14ac:dyDescent="0.35">
      <c r="A722">
        <v>27</v>
      </c>
      <c r="B722">
        <v>19</v>
      </c>
      <c r="C722" t="s">
        <v>1064</v>
      </c>
      <c r="D722" s="4">
        <v>250</v>
      </c>
      <c r="E722" s="4">
        <v>400</v>
      </c>
      <c r="F722" s="4">
        <v>600</v>
      </c>
    </row>
    <row r="723" spans="1:6" x14ac:dyDescent="0.35">
      <c r="A723">
        <v>27</v>
      </c>
      <c r="B723">
        <v>20</v>
      </c>
      <c r="C723" t="s">
        <v>1065</v>
      </c>
      <c r="D723" s="4">
        <v>100</v>
      </c>
      <c r="E723" s="4">
        <v>150</v>
      </c>
      <c r="F723" s="4">
        <v>151</v>
      </c>
    </row>
    <row r="724" spans="1:6" x14ac:dyDescent="0.35">
      <c r="A724">
        <v>27</v>
      </c>
      <c r="B724">
        <v>21</v>
      </c>
      <c r="C724" t="s">
        <v>1066</v>
      </c>
      <c r="D724" s="4">
        <v>336</v>
      </c>
      <c r="E724" s="4">
        <v>360</v>
      </c>
      <c r="F724" s="4">
        <v>720</v>
      </c>
    </row>
    <row r="725" spans="1:6" x14ac:dyDescent="0.35">
      <c r="A725">
        <v>27</v>
      </c>
      <c r="B725">
        <v>22</v>
      </c>
      <c r="C725" t="s">
        <v>1067</v>
      </c>
      <c r="D725" s="4">
        <v>23</v>
      </c>
      <c r="E725" s="4">
        <v>24</v>
      </c>
      <c r="F725" s="4">
        <v>36</v>
      </c>
    </row>
    <row r="726" spans="1:6" x14ac:dyDescent="0.35">
      <c r="A726">
        <v>27</v>
      </c>
      <c r="B726">
        <v>23</v>
      </c>
      <c r="C726" t="s">
        <v>1068</v>
      </c>
      <c r="D726" s="4">
        <v>150</v>
      </c>
      <c r="E726" s="4">
        <v>200</v>
      </c>
      <c r="F726" s="4">
        <v>250</v>
      </c>
    </row>
    <row r="727" spans="1:6" x14ac:dyDescent="0.35">
      <c r="A727">
        <v>27</v>
      </c>
      <c r="B727">
        <v>24</v>
      </c>
      <c r="C727" t="s">
        <v>1069</v>
      </c>
      <c r="D727" s="4">
        <v>199</v>
      </c>
      <c r="E727" s="4">
        <v>200</v>
      </c>
      <c r="F727" s="4">
        <v>300</v>
      </c>
    </row>
    <row r="728" spans="1:6" x14ac:dyDescent="0.35">
      <c r="A728">
        <v>27</v>
      </c>
      <c r="B728">
        <v>25</v>
      </c>
      <c r="C728" t="s">
        <v>1070</v>
      </c>
      <c r="D728" s="4">
        <v>336</v>
      </c>
      <c r="E728" s="4">
        <v>360</v>
      </c>
      <c r="F728" s="4">
        <v>720</v>
      </c>
    </row>
    <row r="729" spans="1:6" x14ac:dyDescent="0.35">
      <c r="A729">
        <v>27</v>
      </c>
      <c r="B729">
        <v>26</v>
      </c>
      <c r="C729" t="s">
        <v>1071</v>
      </c>
      <c r="D729" s="4">
        <v>20</v>
      </c>
      <c r="E729" s="4">
        <v>30</v>
      </c>
      <c r="F729" s="4">
        <v>50</v>
      </c>
    </row>
    <row r="730" spans="1:6" x14ac:dyDescent="0.35">
      <c r="A730">
        <v>27</v>
      </c>
      <c r="B730">
        <v>27</v>
      </c>
      <c r="C730" t="s">
        <v>1072</v>
      </c>
      <c r="D730" s="4">
        <v>23</v>
      </c>
      <c r="E730" s="4">
        <v>24</v>
      </c>
      <c r="F730" s="4">
        <v>36</v>
      </c>
    </row>
    <row r="731" spans="1:6" x14ac:dyDescent="0.35">
      <c r="A731">
        <v>28</v>
      </c>
      <c r="B731">
        <v>1</v>
      </c>
      <c r="C731" t="s">
        <v>318</v>
      </c>
      <c r="D731" s="4">
        <v>1978</v>
      </c>
      <c r="E731" s="4">
        <v>1979</v>
      </c>
      <c r="F731" s="4">
        <v>1980</v>
      </c>
    </row>
    <row r="732" spans="1:6" x14ac:dyDescent="0.35">
      <c r="A732">
        <v>28</v>
      </c>
      <c r="B732">
        <v>2</v>
      </c>
      <c r="C732" t="s">
        <v>319</v>
      </c>
      <c r="D732" s="4">
        <v>9000</v>
      </c>
      <c r="E732" s="4">
        <v>9500</v>
      </c>
      <c r="F732" s="4">
        <v>10000</v>
      </c>
    </row>
    <row r="733" spans="1:6" x14ac:dyDescent="0.35">
      <c r="A733">
        <v>28</v>
      </c>
      <c r="B733">
        <v>3</v>
      </c>
      <c r="C733" t="s">
        <v>320</v>
      </c>
      <c r="D733" s="4">
        <v>3060</v>
      </c>
      <c r="E733" s="4">
        <v>3069</v>
      </c>
      <c r="F733" s="4">
        <v>3071</v>
      </c>
    </row>
    <row r="734" spans="1:6" x14ac:dyDescent="0.35">
      <c r="A734">
        <v>28</v>
      </c>
      <c r="B734">
        <v>4</v>
      </c>
      <c r="C734" t="s">
        <v>321</v>
      </c>
      <c r="D734" s="4">
        <v>10</v>
      </c>
      <c r="E734" s="4">
        <v>18</v>
      </c>
      <c r="F734" s="4">
        <v>30</v>
      </c>
    </row>
    <row r="735" spans="1:6" x14ac:dyDescent="0.35">
      <c r="A735">
        <v>28</v>
      </c>
      <c r="B735">
        <v>5</v>
      </c>
      <c r="C735" t="s">
        <v>322</v>
      </c>
      <c r="D735" s="4">
        <v>1</v>
      </c>
      <c r="E735" s="4">
        <v>2</v>
      </c>
      <c r="F735" s="4">
        <v>3</v>
      </c>
    </row>
    <row r="736" spans="1:6" x14ac:dyDescent="0.35">
      <c r="A736">
        <v>28</v>
      </c>
      <c r="B736">
        <v>6</v>
      </c>
      <c r="C736" t="s">
        <v>323</v>
      </c>
      <c r="D736" s="4">
        <v>5</v>
      </c>
      <c r="E736" s="4">
        <v>10</v>
      </c>
      <c r="F736" s="4">
        <v>12</v>
      </c>
    </row>
    <row r="737" spans="1:6" x14ac:dyDescent="0.35">
      <c r="A737">
        <v>28</v>
      </c>
      <c r="B737">
        <v>7</v>
      </c>
      <c r="C737" t="s">
        <v>324</v>
      </c>
      <c r="D737" s="4">
        <v>3</v>
      </c>
      <c r="E737" s="4">
        <v>4</v>
      </c>
      <c r="F737" s="4">
        <v>6</v>
      </c>
    </row>
    <row r="738" spans="1:6" x14ac:dyDescent="0.35">
      <c r="A738">
        <v>28</v>
      </c>
      <c r="B738">
        <v>8</v>
      </c>
      <c r="C738" t="s">
        <v>325</v>
      </c>
      <c r="D738" s="4">
        <v>7000000</v>
      </c>
      <c r="E738" s="4">
        <v>10000000</v>
      </c>
      <c r="F738" s="4">
        <v>14000000</v>
      </c>
    </row>
    <row r="739" spans="1:6" x14ac:dyDescent="0.35">
      <c r="A739">
        <v>28</v>
      </c>
      <c r="B739">
        <v>9</v>
      </c>
      <c r="C739" t="s">
        <v>326</v>
      </c>
      <c r="D739" s="4">
        <v>72</v>
      </c>
      <c r="E739" s="4">
        <v>240</v>
      </c>
      <c r="F739" s="4">
        <v>480</v>
      </c>
    </row>
    <row r="740" spans="1:6" x14ac:dyDescent="0.35">
      <c r="A740">
        <v>28</v>
      </c>
      <c r="B740">
        <v>10</v>
      </c>
      <c r="C740" t="s">
        <v>327</v>
      </c>
      <c r="D740" s="4">
        <v>80</v>
      </c>
      <c r="E740" s="4">
        <v>110</v>
      </c>
      <c r="F740" s="4">
        <v>120</v>
      </c>
    </row>
    <row r="741" spans="1:6" x14ac:dyDescent="0.35">
      <c r="A741">
        <v>28</v>
      </c>
      <c r="B741">
        <v>11</v>
      </c>
      <c r="C741" t="s">
        <v>1046</v>
      </c>
      <c r="D741" s="4">
        <v>35</v>
      </c>
      <c r="E741" s="4">
        <v>55</v>
      </c>
      <c r="F741" s="4">
        <v>65</v>
      </c>
    </row>
    <row r="742" spans="1:6" x14ac:dyDescent="0.35">
      <c r="A742">
        <v>28</v>
      </c>
      <c r="B742">
        <v>12</v>
      </c>
      <c r="C742" t="s">
        <v>328</v>
      </c>
      <c r="D742" s="4">
        <v>5</v>
      </c>
      <c r="E742" s="4">
        <v>10</v>
      </c>
      <c r="F742" s="4">
        <v>20</v>
      </c>
    </row>
    <row r="743" spans="1:6" x14ac:dyDescent="0.35">
      <c r="A743">
        <v>28</v>
      </c>
      <c r="B743">
        <v>13</v>
      </c>
      <c r="C743" t="s">
        <v>329</v>
      </c>
      <c r="D743" s="4">
        <v>8000</v>
      </c>
      <c r="E743" s="4">
        <v>9000</v>
      </c>
      <c r="F743" s="4">
        <v>9500</v>
      </c>
    </row>
    <row r="744" spans="1:6" x14ac:dyDescent="0.35">
      <c r="A744">
        <v>28</v>
      </c>
      <c r="B744">
        <v>14</v>
      </c>
      <c r="C744" t="s">
        <v>1059</v>
      </c>
      <c r="D744" s="4">
        <v>10</v>
      </c>
      <c r="E744" s="4">
        <v>30</v>
      </c>
      <c r="F744" s="4">
        <v>35</v>
      </c>
    </row>
    <row r="745" spans="1:6" x14ac:dyDescent="0.35">
      <c r="A745">
        <v>28</v>
      </c>
      <c r="B745">
        <v>15</v>
      </c>
      <c r="C745" t="s">
        <v>1060</v>
      </c>
      <c r="D745" s="4">
        <v>1810</v>
      </c>
      <c r="E745" s="4">
        <v>1820</v>
      </c>
      <c r="F745" s="4">
        <v>1850</v>
      </c>
    </row>
    <row r="746" spans="1:6" x14ac:dyDescent="0.35">
      <c r="A746">
        <v>28</v>
      </c>
      <c r="B746">
        <v>16</v>
      </c>
      <c r="C746" t="s">
        <v>1061</v>
      </c>
      <c r="D746" s="4">
        <v>10</v>
      </c>
      <c r="E746" s="4">
        <v>50</v>
      </c>
      <c r="F746" s="4">
        <v>55</v>
      </c>
    </row>
    <row r="747" spans="1:6" x14ac:dyDescent="0.35">
      <c r="A747">
        <v>28</v>
      </c>
      <c r="B747">
        <v>17</v>
      </c>
      <c r="C747" t="s">
        <v>1062</v>
      </c>
      <c r="D747" s="4">
        <v>65</v>
      </c>
      <c r="E747" s="4">
        <v>85</v>
      </c>
      <c r="F747" s="4">
        <v>90</v>
      </c>
    </row>
    <row r="748" spans="1:6" x14ac:dyDescent="0.35">
      <c r="A748">
        <v>28</v>
      </c>
      <c r="B748">
        <v>18</v>
      </c>
      <c r="C748" t="s">
        <v>1063</v>
      </c>
      <c r="D748" s="4">
        <v>0.1</v>
      </c>
      <c r="E748" s="4">
        <v>3</v>
      </c>
      <c r="F748" s="4">
        <v>5</v>
      </c>
    </row>
    <row r="749" spans="1:6" x14ac:dyDescent="0.35">
      <c r="A749">
        <v>28</v>
      </c>
      <c r="B749">
        <v>19</v>
      </c>
      <c r="C749" t="s">
        <v>1064</v>
      </c>
      <c r="D749" s="4">
        <v>500</v>
      </c>
      <c r="E749" s="4">
        <v>800</v>
      </c>
      <c r="F749" s="4">
        <v>1000</v>
      </c>
    </row>
    <row r="750" spans="1:6" x14ac:dyDescent="0.35">
      <c r="A750">
        <v>28</v>
      </c>
      <c r="B750">
        <v>20</v>
      </c>
      <c r="C750" t="s">
        <v>1065</v>
      </c>
      <c r="D750" s="4">
        <v>100</v>
      </c>
      <c r="E750" s="4">
        <v>130</v>
      </c>
      <c r="F750" s="4">
        <v>150</v>
      </c>
    </row>
    <row r="751" spans="1:6" x14ac:dyDescent="0.35">
      <c r="A751">
        <v>28</v>
      </c>
      <c r="B751">
        <v>21</v>
      </c>
      <c r="C751" t="s">
        <v>1066</v>
      </c>
      <c r="D751" s="4">
        <v>24</v>
      </c>
      <c r="E751" s="4">
        <v>720</v>
      </c>
      <c r="F751" s="4">
        <v>1440</v>
      </c>
    </row>
    <row r="752" spans="1:6" x14ac:dyDescent="0.35">
      <c r="A752">
        <v>28</v>
      </c>
      <c r="B752">
        <v>22</v>
      </c>
      <c r="C752" t="s">
        <v>1067</v>
      </c>
      <c r="D752" s="4">
        <v>9</v>
      </c>
      <c r="E752" s="4">
        <v>10</v>
      </c>
      <c r="F752" s="4">
        <v>15</v>
      </c>
    </row>
    <row r="753" spans="1:6" x14ac:dyDescent="0.35">
      <c r="A753">
        <v>28</v>
      </c>
      <c r="B753">
        <v>23</v>
      </c>
      <c r="C753" t="s">
        <v>1068</v>
      </c>
      <c r="D753" s="4">
        <v>100</v>
      </c>
      <c r="E753" s="4">
        <v>450</v>
      </c>
      <c r="F753" s="4">
        <v>600</v>
      </c>
    </row>
    <row r="754" spans="1:6" x14ac:dyDescent="0.35">
      <c r="A754">
        <v>28</v>
      </c>
      <c r="B754">
        <v>24</v>
      </c>
      <c r="C754" t="s">
        <v>1069</v>
      </c>
      <c r="D754" s="4">
        <v>200</v>
      </c>
      <c r="E754" s="4">
        <v>300</v>
      </c>
      <c r="F754" s="4">
        <v>500</v>
      </c>
    </row>
    <row r="755" spans="1:6" x14ac:dyDescent="0.35">
      <c r="A755">
        <v>28</v>
      </c>
      <c r="B755">
        <v>25</v>
      </c>
      <c r="C755" t="s">
        <v>1070</v>
      </c>
      <c r="D755" s="4">
        <v>24</v>
      </c>
      <c r="E755" s="4">
        <v>672</v>
      </c>
      <c r="F755" s="4">
        <v>1344</v>
      </c>
    </row>
    <row r="756" spans="1:6" x14ac:dyDescent="0.35">
      <c r="A756">
        <v>28</v>
      </c>
      <c r="B756">
        <v>26</v>
      </c>
      <c r="C756" t="s">
        <v>1071</v>
      </c>
      <c r="D756" s="4">
        <v>50</v>
      </c>
      <c r="E756" s="4">
        <v>70</v>
      </c>
      <c r="F756" s="4">
        <v>99.9</v>
      </c>
    </row>
    <row r="757" spans="1:6" x14ac:dyDescent="0.35">
      <c r="A757">
        <v>28</v>
      </c>
      <c r="B757">
        <v>27</v>
      </c>
      <c r="C757" t="s">
        <v>1072</v>
      </c>
      <c r="D757" s="4">
        <v>14</v>
      </c>
      <c r="E757" s="4">
        <v>15</v>
      </c>
      <c r="F757" s="4">
        <v>18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78"/>
  <dimension ref="A1:H316"/>
  <sheetViews>
    <sheetView workbookViewId="0">
      <selection activeCell="G13" sqref="G13"/>
    </sheetView>
  </sheetViews>
  <sheetFormatPr defaultRowHeight="14.5" x14ac:dyDescent="0.35"/>
  <sheetData>
    <row r="1" spans="1:8" x14ac:dyDescent="0.35">
      <c r="A1" s="17" t="s">
        <v>975</v>
      </c>
      <c r="B1" s="17"/>
      <c r="D1" s="18"/>
      <c r="E1" s="18"/>
      <c r="F1" s="18"/>
    </row>
    <row r="2" spans="1:8" x14ac:dyDescent="0.35">
      <c r="A2" s="17">
        <v>1</v>
      </c>
      <c r="B2" s="11">
        <v>1</v>
      </c>
      <c r="D2" s="12">
        <v>10</v>
      </c>
      <c r="E2" s="4">
        <v>20</v>
      </c>
      <c r="F2" s="4">
        <v>30</v>
      </c>
      <c r="H2" s="4">
        <v>421</v>
      </c>
    </row>
    <row r="3" spans="1:8" x14ac:dyDescent="0.35">
      <c r="A3" s="17">
        <v>1</v>
      </c>
      <c r="B3" s="11">
        <v>2</v>
      </c>
      <c r="D3" s="12">
        <v>20</v>
      </c>
      <c r="E3" s="4">
        <v>50</v>
      </c>
      <c r="F3" s="4">
        <v>70</v>
      </c>
      <c r="H3" s="4">
        <v>1134</v>
      </c>
    </row>
    <row r="4" spans="1:8" x14ac:dyDescent="0.35">
      <c r="A4" s="17">
        <v>1</v>
      </c>
      <c r="B4" s="11">
        <v>3</v>
      </c>
      <c r="D4" s="12">
        <v>5</v>
      </c>
      <c r="E4" s="4">
        <v>15</v>
      </c>
      <c r="F4" s="4">
        <v>30</v>
      </c>
      <c r="H4" s="4">
        <v>8208</v>
      </c>
    </row>
    <row r="5" spans="1:8" x14ac:dyDescent="0.35">
      <c r="A5" s="17">
        <v>1</v>
      </c>
      <c r="B5" s="11">
        <v>4</v>
      </c>
      <c r="D5" s="12">
        <v>20</v>
      </c>
      <c r="E5" s="4">
        <v>30</v>
      </c>
      <c r="F5" s="4">
        <v>70</v>
      </c>
      <c r="H5" s="4">
        <v>71</v>
      </c>
    </row>
    <row r="6" spans="1:8" x14ac:dyDescent="0.35">
      <c r="A6" s="17">
        <v>1</v>
      </c>
      <c r="B6" s="11">
        <v>5</v>
      </c>
      <c r="D6" s="12">
        <v>20</v>
      </c>
      <c r="E6" s="4">
        <v>30</v>
      </c>
      <c r="F6" s="4">
        <v>50</v>
      </c>
      <c r="H6" s="4">
        <v>93</v>
      </c>
    </row>
    <row r="7" spans="1:8" x14ac:dyDescent="0.35">
      <c r="A7" s="17">
        <v>1</v>
      </c>
      <c r="B7" s="11">
        <v>6</v>
      </c>
      <c r="D7" s="12">
        <v>50</v>
      </c>
      <c r="E7" s="4">
        <v>65</v>
      </c>
      <c r="F7" s="4">
        <v>80</v>
      </c>
      <c r="H7" s="4">
        <v>34</v>
      </c>
    </row>
    <row r="8" spans="1:8" x14ac:dyDescent="0.35">
      <c r="A8" s="17">
        <v>1</v>
      </c>
      <c r="B8" s="11">
        <v>7</v>
      </c>
      <c r="D8" s="12">
        <v>5</v>
      </c>
      <c r="E8" s="4">
        <v>7</v>
      </c>
      <c r="F8" s="4">
        <v>10</v>
      </c>
      <c r="H8" s="4">
        <v>16</v>
      </c>
    </row>
    <row r="9" spans="1:8" x14ac:dyDescent="0.35">
      <c r="A9" s="17">
        <v>1</v>
      </c>
      <c r="B9" s="11">
        <v>8</v>
      </c>
      <c r="D9" s="12">
        <v>10</v>
      </c>
      <c r="E9" s="4">
        <v>12</v>
      </c>
      <c r="F9" s="4">
        <v>15</v>
      </c>
      <c r="H9" s="4">
        <v>29</v>
      </c>
    </row>
    <row r="10" spans="1:8" x14ac:dyDescent="0.35">
      <c r="A10" s="17">
        <v>1</v>
      </c>
      <c r="B10" s="11">
        <v>9</v>
      </c>
      <c r="D10" s="12">
        <v>10</v>
      </c>
      <c r="E10" s="4">
        <v>15</v>
      </c>
      <c r="F10" s="4">
        <v>30</v>
      </c>
      <c r="H10" s="4">
        <v>59</v>
      </c>
    </row>
    <row r="11" spans="1:8" x14ac:dyDescent="0.35">
      <c r="A11" s="17">
        <v>1</v>
      </c>
      <c r="B11" s="11">
        <v>10</v>
      </c>
      <c r="D11" s="12">
        <v>5</v>
      </c>
      <c r="E11" s="4">
        <v>7</v>
      </c>
      <c r="F11" s="4">
        <v>10</v>
      </c>
      <c r="H11" s="4">
        <v>166</v>
      </c>
    </row>
    <row r="12" spans="1:8" x14ac:dyDescent="0.35">
      <c r="A12" s="17">
        <v>1</v>
      </c>
      <c r="B12" s="11">
        <v>11</v>
      </c>
      <c r="D12" s="12">
        <v>20</v>
      </c>
      <c r="E12" s="4">
        <v>27</v>
      </c>
      <c r="F12" s="4">
        <v>40</v>
      </c>
      <c r="H12" s="4">
        <v>841</v>
      </c>
    </row>
    <row r="13" spans="1:8" x14ac:dyDescent="0.35">
      <c r="A13" s="17">
        <v>1</v>
      </c>
      <c r="B13" s="11">
        <v>12</v>
      </c>
      <c r="D13" s="12">
        <v>200</v>
      </c>
      <c r="E13" s="4">
        <v>300</v>
      </c>
      <c r="F13" s="4">
        <v>400</v>
      </c>
      <c r="H13" s="4">
        <v>1602</v>
      </c>
    </row>
    <row r="14" spans="1:8" x14ac:dyDescent="0.35">
      <c r="A14" s="17">
        <v>1</v>
      </c>
      <c r="B14" s="11">
        <v>13</v>
      </c>
      <c r="D14" s="12">
        <v>10</v>
      </c>
      <c r="E14" s="4">
        <v>16</v>
      </c>
      <c r="F14" s="4">
        <v>20</v>
      </c>
      <c r="H14" s="4">
        <v>1</v>
      </c>
    </row>
    <row r="15" spans="1:8" x14ac:dyDescent="0.35">
      <c r="A15" s="17">
        <v>1</v>
      </c>
      <c r="B15" s="11">
        <v>14</v>
      </c>
      <c r="D15" s="12">
        <v>5</v>
      </c>
      <c r="E15" s="4">
        <v>7</v>
      </c>
      <c r="F15" s="4">
        <v>8</v>
      </c>
      <c r="H15" s="4">
        <v>27</v>
      </c>
    </row>
    <row r="16" spans="1:8" x14ac:dyDescent="0.35">
      <c r="A16" s="17">
        <v>1</v>
      </c>
      <c r="B16" s="11">
        <v>15</v>
      </c>
      <c r="D16" s="12">
        <v>5</v>
      </c>
      <c r="E16" s="4">
        <v>8</v>
      </c>
      <c r="F16" s="4">
        <v>10</v>
      </c>
      <c r="H16" s="4">
        <v>43</v>
      </c>
    </row>
    <row r="17" spans="1:8" x14ac:dyDescent="0.35">
      <c r="A17" s="17">
        <v>1</v>
      </c>
      <c r="B17" s="11">
        <v>16</v>
      </c>
      <c r="D17" s="12">
        <v>15</v>
      </c>
      <c r="E17" s="4">
        <v>17</v>
      </c>
      <c r="F17" s="4">
        <v>20</v>
      </c>
      <c r="H17" s="4">
        <v>286</v>
      </c>
    </row>
    <row r="18" spans="1:8" x14ac:dyDescent="0.35">
      <c r="A18" s="17">
        <v>1</v>
      </c>
      <c r="B18" s="11">
        <v>17</v>
      </c>
      <c r="D18" s="12">
        <v>15</v>
      </c>
      <c r="E18" s="4">
        <v>25</v>
      </c>
      <c r="F18" s="4">
        <v>30</v>
      </c>
      <c r="H18" s="4">
        <v>3</v>
      </c>
    </row>
    <row r="19" spans="1:8" x14ac:dyDescent="0.35">
      <c r="A19" s="17">
        <v>1</v>
      </c>
      <c r="B19" s="11">
        <v>18</v>
      </c>
      <c r="D19" s="12">
        <v>5</v>
      </c>
      <c r="E19" s="4">
        <v>10</v>
      </c>
      <c r="F19" s="4">
        <v>15</v>
      </c>
      <c r="H19" s="4">
        <v>11</v>
      </c>
    </row>
    <row r="20" spans="1:8" x14ac:dyDescent="0.35">
      <c r="A20" s="17">
        <v>1</v>
      </c>
      <c r="B20" s="11">
        <v>19</v>
      </c>
      <c r="D20" s="12">
        <v>5</v>
      </c>
      <c r="E20" s="4">
        <v>10</v>
      </c>
      <c r="F20" s="4">
        <v>15</v>
      </c>
      <c r="H20" s="4">
        <v>18</v>
      </c>
    </row>
    <row r="21" spans="1:8" x14ac:dyDescent="0.35">
      <c r="A21" s="17">
        <v>1</v>
      </c>
      <c r="B21" s="11">
        <v>20</v>
      </c>
      <c r="D21" s="12">
        <v>50</v>
      </c>
      <c r="E21" s="4">
        <v>60</v>
      </c>
      <c r="F21" s="4">
        <v>75</v>
      </c>
      <c r="H21" s="4">
        <v>84</v>
      </c>
    </row>
    <row r="22" spans="1:8" x14ac:dyDescent="0.35">
      <c r="A22" s="17">
        <v>1</v>
      </c>
      <c r="B22" s="11">
        <v>21</v>
      </c>
      <c r="D22" s="12">
        <v>100</v>
      </c>
      <c r="E22" s="4">
        <v>160</v>
      </c>
      <c r="F22" s="4">
        <v>200</v>
      </c>
      <c r="H22" s="4">
        <v>63</v>
      </c>
    </row>
    <row r="23" spans="1:8" x14ac:dyDescent="0.35">
      <c r="A23" s="17">
        <v>2</v>
      </c>
      <c r="B23" s="11">
        <v>1</v>
      </c>
      <c r="D23" s="12">
        <v>50</v>
      </c>
      <c r="E23" s="4">
        <v>150</v>
      </c>
      <c r="F23" s="4">
        <v>700</v>
      </c>
    </row>
    <row r="24" spans="1:8" x14ac:dyDescent="0.35">
      <c r="A24" s="17">
        <v>2</v>
      </c>
      <c r="B24" s="11">
        <v>2</v>
      </c>
      <c r="D24" s="12">
        <v>100</v>
      </c>
      <c r="E24" s="4">
        <v>250</v>
      </c>
      <c r="F24" s="4">
        <v>900</v>
      </c>
    </row>
    <row r="25" spans="1:8" x14ac:dyDescent="0.35">
      <c r="A25" s="17">
        <v>2</v>
      </c>
      <c r="B25" s="11">
        <v>3</v>
      </c>
      <c r="D25" s="12">
        <v>100</v>
      </c>
      <c r="E25" s="4">
        <v>250</v>
      </c>
      <c r="F25" s="4">
        <v>900</v>
      </c>
    </row>
    <row r="26" spans="1:8" x14ac:dyDescent="0.35">
      <c r="A26" s="17">
        <v>2</v>
      </c>
      <c r="B26" s="11">
        <v>4</v>
      </c>
      <c r="D26" s="12">
        <v>400</v>
      </c>
      <c r="E26" s="4">
        <v>750</v>
      </c>
      <c r="F26" s="4">
        <v>2000</v>
      </c>
    </row>
    <row r="27" spans="1:8" x14ac:dyDescent="0.35">
      <c r="A27" s="17">
        <v>2</v>
      </c>
      <c r="B27" s="11">
        <v>5</v>
      </c>
      <c r="D27" s="12">
        <v>300</v>
      </c>
      <c r="E27" s="4">
        <v>500</v>
      </c>
      <c r="F27" s="4">
        <v>1500</v>
      </c>
    </row>
    <row r="28" spans="1:8" x14ac:dyDescent="0.35">
      <c r="A28" s="17">
        <v>2</v>
      </c>
      <c r="B28" s="11">
        <v>6</v>
      </c>
      <c r="D28" s="12">
        <v>300</v>
      </c>
      <c r="E28" s="4">
        <v>400</v>
      </c>
      <c r="F28" s="4">
        <v>1500</v>
      </c>
    </row>
    <row r="29" spans="1:8" x14ac:dyDescent="0.35">
      <c r="A29" s="17">
        <v>2</v>
      </c>
      <c r="B29" s="11">
        <v>7</v>
      </c>
      <c r="D29" s="12">
        <v>15</v>
      </c>
      <c r="E29" s="4">
        <v>20</v>
      </c>
      <c r="F29" s="4">
        <v>40</v>
      </c>
    </row>
    <row r="30" spans="1:8" x14ac:dyDescent="0.35">
      <c r="A30" s="17">
        <v>2</v>
      </c>
      <c r="B30" s="11">
        <v>8</v>
      </c>
      <c r="D30" s="12">
        <v>15</v>
      </c>
      <c r="E30" s="4">
        <v>25</v>
      </c>
      <c r="F30" s="4">
        <v>45</v>
      </c>
    </row>
    <row r="31" spans="1:8" x14ac:dyDescent="0.35">
      <c r="A31" s="17">
        <v>2</v>
      </c>
      <c r="B31" s="11">
        <v>9</v>
      </c>
      <c r="D31" s="12">
        <v>0</v>
      </c>
      <c r="E31" s="4">
        <v>150</v>
      </c>
      <c r="F31" s="4">
        <v>250</v>
      </c>
    </row>
    <row r="32" spans="1:8" x14ac:dyDescent="0.35">
      <c r="A32" s="17">
        <v>2</v>
      </c>
      <c r="B32" s="11">
        <v>10</v>
      </c>
      <c r="D32" s="12">
        <v>10</v>
      </c>
      <c r="E32" s="4">
        <v>75</v>
      </c>
      <c r="F32" s="4">
        <v>300</v>
      </c>
    </row>
    <row r="33" spans="1:6" x14ac:dyDescent="0.35">
      <c r="A33" s="17">
        <v>2</v>
      </c>
      <c r="B33" s="11">
        <v>11</v>
      </c>
      <c r="D33" s="12">
        <v>30</v>
      </c>
      <c r="E33" s="4">
        <v>225</v>
      </c>
      <c r="F33" s="4">
        <v>400</v>
      </c>
    </row>
    <row r="34" spans="1:6" x14ac:dyDescent="0.35">
      <c r="A34" s="17">
        <v>2</v>
      </c>
      <c r="B34" s="11">
        <v>12</v>
      </c>
      <c r="D34" s="12">
        <v>30</v>
      </c>
      <c r="E34" s="4">
        <v>175</v>
      </c>
      <c r="F34" s="4">
        <v>400</v>
      </c>
    </row>
    <row r="35" spans="1:6" x14ac:dyDescent="0.35">
      <c r="A35" s="17">
        <v>2</v>
      </c>
      <c r="B35" s="11">
        <v>13</v>
      </c>
      <c r="D35" s="12">
        <v>40</v>
      </c>
      <c r="E35" s="4">
        <v>75</v>
      </c>
      <c r="F35" s="4">
        <v>300</v>
      </c>
    </row>
    <row r="36" spans="1:6" x14ac:dyDescent="0.35">
      <c r="A36" s="17">
        <v>2</v>
      </c>
      <c r="B36" s="11">
        <v>14</v>
      </c>
      <c r="D36" s="12">
        <v>30</v>
      </c>
      <c r="E36" s="4">
        <v>75</v>
      </c>
      <c r="F36" s="4">
        <v>150</v>
      </c>
    </row>
    <row r="37" spans="1:6" x14ac:dyDescent="0.35">
      <c r="A37" s="17">
        <v>2</v>
      </c>
      <c r="B37" s="11">
        <v>15</v>
      </c>
      <c r="D37" s="12">
        <v>20</v>
      </c>
      <c r="E37" s="4">
        <v>75</v>
      </c>
      <c r="F37" s="4">
        <v>150</v>
      </c>
    </row>
    <row r="38" spans="1:6" x14ac:dyDescent="0.35">
      <c r="A38" s="17">
        <v>2</v>
      </c>
      <c r="B38" s="11">
        <v>16</v>
      </c>
      <c r="D38" s="12">
        <v>30</v>
      </c>
      <c r="E38" s="4">
        <v>75</v>
      </c>
      <c r="F38" s="4">
        <v>200</v>
      </c>
    </row>
    <row r="39" spans="1:6" x14ac:dyDescent="0.35">
      <c r="A39" s="17">
        <v>2</v>
      </c>
      <c r="B39" s="11">
        <v>17</v>
      </c>
      <c r="D39" s="12">
        <v>30</v>
      </c>
      <c r="E39" s="4">
        <v>75</v>
      </c>
      <c r="F39" s="4">
        <v>200</v>
      </c>
    </row>
    <row r="40" spans="1:6" x14ac:dyDescent="0.35">
      <c r="A40" s="17">
        <v>2</v>
      </c>
      <c r="B40" s="11">
        <v>18</v>
      </c>
      <c r="D40" s="12">
        <v>200</v>
      </c>
      <c r="E40" s="4">
        <v>800</v>
      </c>
      <c r="F40" s="4">
        <v>2000</v>
      </c>
    </row>
    <row r="41" spans="1:6" x14ac:dyDescent="0.35">
      <c r="A41" s="17">
        <v>2</v>
      </c>
      <c r="B41" s="11">
        <v>19</v>
      </c>
      <c r="D41" s="12">
        <v>400</v>
      </c>
      <c r="E41" s="4">
        <v>1000</v>
      </c>
      <c r="F41" s="4">
        <v>4000</v>
      </c>
    </row>
    <row r="42" spans="1:6" x14ac:dyDescent="0.35">
      <c r="A42" s="17">
        <v>2</v>
      </c>
      <c r="B42" s="11">
        <v>20</v>
      </c>
      <c r="D42" s="12">
        <v>2</v>
      </c>
      <c r="E42" s="4">
        <v>4</v>
      </c>
      <c r="F42" s="4">
        <v>10</v>
      </c>
    </row>
    <row r="43" spans="1:6" x14ac:dyDescent="0.35">
      <c r="A43" s="17">
        <v>2</v>
      </c>
      <c r="B43" s="11">
        <v>21</v>
      </c>
      <c r="D43" s="12">
        <v>1</v>
      </c>
      <c r="E43" s="4">
        <v>4</v>
      </c>
      <c r="F43" s="4">
        <v>15</v>
      </c>
    </row>
    <row r="44" spans="1:6" x14ac:dyDescent="0.35">
      <c r="A44" s="17">
        <v>3</v>
      </c>
      <c r="B44" s="11">
        <v>1</v>
      </c>
      <c r="D44" s="12">
        <v>10</v>
      </c>
      <c r="E44" s="4">
        <v>25</v>
      </c>
      <c r="F44" s="4">
        <v>200</v>
      </c>
    </row>
    <row r="45" spans="1:6" x14ac:dyDescent="0.35">
      <c r="A45" s="17">
        <v>3</v>
      </c>
      <c r="B45" s="11">
        <v>2</v>
      </c>
      <c r="D45" s="12">
        <v>20</v>
      </c>
      <c r="E45" s="4">
        <v>30</v>
      </c>
      <c r="F45" s="4">
        <v>300</v>
      </c>
    </row>
    <row r="46" spans="1:6" x14ac:dyDescent="0.35">
      <c r="A46" s="17">
        <v>3</v>
      </c>
      <c r="B46" s="11">
        <v>3</v>
      </c>
      <c r="D46" s="12">
        <v>10</v>
      </c>
      <c r="E46" s="4">
        <v>25</v>
      </c>
      <c r="F46" s="4">
        <v>200</v>
      </c>
    </row>
    <row r="47" spans="1:6" x14ac:dyDescent="0.35">
      <c r="A47" s="17">
        <v>3</v>
      </c>
      <c r="B47" s="11">
        <v>4</v>
      </c>
      <c r="D47" s="12">
        <v>2</v>
      </c>
      <c r="E47" s="4">
        <v>5</v>
      </c>
      <c r="F47" s="4">
        <v>100</v>
      </c>
    </row>
    <row r="48" spans="1:6" x14ac:dyDescent="0.35">
      <c r="A48" s="17">
        <v>3</v>
      </c>
      <c r="B48" s="11">
        <v>5</v>
      </c>
      <c r="D48" s="12">
        <v>2</v>
      </c>
      <c r="E48" s="4">
        <v>5</v>
      </c>
      <c r="F48" s="4">
        <v>100</v>
      </c>
    </row>
    <row r="49" spans="1:6" x14ac:dyDescent="0.35">
      <c r="A49" s="17">
        <v>3</v>
      </c>
      <c r="B49" s="11">
        <v>6</v>
      </c>
      <c r="D49" s="12">
        <v>5</v>
      </c>
      <c r="E49" s="4">
        <v>30</v>
      </c>
      <c r="F49" s="4">
        <v>300</v>
      </c>
    </row>
    <row r="50" spans="1:6" x14ac:dyDescent="0.35">
      <c r="A50" s="17">
        <v>3</v>
      </c>
      <c r="B50" s="11">
        <v>7</v>
      </c>
      <c r="D50" s="12">
        <v>10</v>
      </c>
      <c r="E50" s="4">
        <v>40</v>
      </c>
      <c r="F50" s="4">
        <v>90</v>
      </c>
    </row>
    <row r="51" spans="1:6" x14ac:dyDescent="0.35">
      <c r="A51" s="17">
        <v>3</v>
      </c>
      <c r="B51" s="11">
        <v>8</v>
      </c>
      <c r="D51" s="12">
        <v>10</v>
      </c>
      <c r="E51" s="4">
        <v>40</v>
      </c>
      <c r="F51" s="4">
        <v>90</v>
      </c>
    </row>
    <row r="52" spans="1:6" x14ac:dyDescent="0.35">
      <c r="A52" s="17">
        <v>3</v>
      </c>
      <c r="B52" s="11">
        <v>9</v>
      </c>
      <c r="D52" s="12">
        <v>-50</v>
      </c>
      <c r="E52" s="4">
        <v>100</v>
      </c>
      <c r="F52" s="4">
        <v>500</v>
      </c>
    </row>
    <row r="53" spans="1:6" x14ac:dyDescent="0.35">
      <c r="A53" s="17">
        <v>3</v>
      </c>
      <c r="B53" s="11">
        <v>10</v>
      </c>
      <c r="D53" s="12">
        <v>3</v>
      </c>
      <c r="E53" s="4">
        <v>8</v>
      </c>
      <c r="F53" s="4">
        <v>40</v>
      </c>
    </row>
    <row r="54" spans="1:6" x14ac:dyDescent="0.35">
      <c r="A54" s="17">
        <v>3</v>
      </c>
      <c r="B54" s="11">
        <v>11</v>
      </c>
      <c r="D54" s="12">
        <v>3</v>
      </c>
      <c r="E54" s="4">
        <v>10</v>
      </c>
      <c r="F54" s="4">
        <v>40</v>
      </c>
    </row>
    <row r="55" spans="1:6" x14ac:dyDescent="0.35">
      <c r="A55" s="17">
        <v>3</v>
      </c>
      <c r="B55" s="11">
        <v>12</v>
      </c>
      <c r="D55" s="12">
        <v>3</v>
      </c>
      <c r="E55" s="4">
        <v>8</v>
      </c>
      <c r="F55" s="4">
        <v>40</v>
      </c>
    </row>
    <row r="56" spans="1:6" x14ac:dyDescent="0.35">
      <c r="A56" s="17">
        <v>3</v>
      </c>
      <c r="B56" s="11">
        <v>13</v>
      </c>
      <c r="D56" s="12">
        <v>1</v>
      </c>
      <c r="E56" s="4">
        <v>5</v>
      </c>
      <c r="F56" s="4">
        <v>30</v>
      </c>
    </row>
    <row r="57" spans="1:6" x14ac:dyDescent="0.35">
      <c r="A57" s="17">
        <v>3</v>
      </c>
      <c r="B57" s="11">
        <v>14</v>
      </c>
      <c r="D57" s="12">
        <v>1</v>
      </c>
      <c r="E57" s="4">
        <v>6</v>
      </c>
      <c r="F57" s="4">
        <v>35</v>
      </c>
    </row>
    <row r="58" spans="1:6" x14ac:dyDescent="0.35">
      <c r="A58" s="17">
        <v>3</v>
      </c>
      <c r="B58" s="11">
        <v>15</v>
      </c>
      <c r="D58" s="4">
        <v>1</v>
      </c>
      <c r="E58" s="4">
        <v>5</v>
      </c>
      <c r="F58" s="4">
        <v>30</v>
      </c>
    </row>
    <row r="59" spans="1:6" x14ac:dyDescent="0.35">
      <c r="A59" s="17">
        <v>3</v>
      </c>
      <c r="B59" s="11">
        <v>16</v>
      </c>
      <c r="D59" s="4">
        <v>3</v>
      </c>
      <c r="E59" s="4">
        <v>10</v>
      </c>
      <c r="F59" s="4">
        <v>40</v>
      </c>
    </row>
    <row r="60" spans="1:6" x14ac:dyDescent="0.35">
      <c r="A60" s="17">
        <v>3</v>
      </c>
      <c r="B60" s="11">
        <v>17</v>
      </c>
      <c r="D60" s="4">
        <v>1</v>
      </c>
      <c r="E60" s="4">
        <v>5</v>
      </c>
      <c r="F60" s="4">
        <v>30</v>
      </c>
    </row>
    <row r="61" spans="1:6" x14ac:dyDescent="0.35">
      <c r="A61" s="17">
        <v>3</v>
      </c>
      <c r="B61" s="11">
        <v>18</v>
      </c>
      <c r="D61" s="4">
        <v>1</v>
      </c>
      <c r="E61" s="4">
        <v>3</v>
      </c>
      <c r="F61" s="4">
        <v>10</v>
      </c>
    </row>
    <row r="62" spans="1:6" x14ac:dyDescent="0.35">
      <c r="A62" s="17">
        <v>3</v>
      </c>
      <c r="B62" s="11">
        <v>19</v>
      </c>
      <c r="D62" s="4">
        <v>1</v>
      </c>
      <c r="E62" s="4">
        <v>5</v>
      </c>
      <c r="F62" s="4">
        <v>15</v>
      </c>
    </row>
    <row r="63" spans="1:6" x14ac:dyDescent="0.35">
      <c r="A63" s="17">
        <v>3</v>
      </c>
      <c r="B63" s="11">
        <v>20</v>
      </c>
      <c r="D63" s="4">
        <v>0</v>
      </c>
      <c r="E63" s="4">
        <v>8</v>
      </c>
      <c r="F63" s="4">
        <v>20</v>
      </c>
    </row>
    <row r="64" spans="1:6" x14ac:dyDescent="0.35">
      <c r="A64" s="17">
        <v>3</v>
      </c>
      <c r="B64" s="11">
        <v>21</v>
      </c>
      <c r="D64" s="4">
        <v>0</v>
      </c>
      <c r="E64" s="4">
        <v>8</v>
      </c>
      <c r="F64" s="4">
        <v>20</v>
      </c>
    </row>
    <row r="65" spans="1:6" x14ac:dyDescent="0.35">
      <c r="A65" s="17">
        <v>4</v>
      </c>
      <c r="B65" s="11">
        <v>1</v>
      </c>
      <c r="D65" s="4">
        <v>900</v>
      </c>
      <c r="E65" s="4">
        <v>1200</v>
      </c>
      <c r="F65" s="4">
        <v>2000</v>
      </c>
    </row>
    <row r="66" spans="1:6" x14ac:dyDescent="0.35">
      <c r="A66" s="17">
        <v>4</v>
      </c>
      <c r="B66" s="11">
        <v>2</v>
      </c>
      <c r="D66" s="4">
        <v>500</v>
      </c>
      <c r="E66" s="4">
        <v>1200</v>
      </c>
      <c r="F66" s="4">
        <v>2000</v>
      </c>
    </row>
    <row r="67" spans="1:6" x14ac:dyDescent="0.35">
      <c r="A67" s="17">
        <v>4</v>
      </c>
      <c r="B67" s="11">
        <v>3</v>
      </c>
      <c r="D67" s="4">
        <v>300</v>
      </c>
      <c r="E67" s="4">
        <v>600</v>
      </c>
      <c r="F67" s="4">
        <v>1500</v>
      </c>
    </row>
    <row r="68" spans="1:6" x14ac:dyDescent="0.35">
      <c r="A68" s="17">
        <v>4</v>
      </c>
      <c r="B68" s="11">
        <v>4</v>
      </c>
      <c r="D68" s="4">
        <v>500</v>
      </c>
      <c r="E68" s="4">
        <v>1300</v>
      </c>
      <c r="F68" s="4">
        <v>2500</v>
      </c>
    </row>
    <row r="69" spans="1:6" x14ac:dyDescent="0.35">
      <c r="A69" s="17">
        <v>4</v>
      </c>
      <c r="B69" s="11">
        <v>5</v>
      </c>
      <c r="D69" s="4">
        <v>1000</v>
      </c>
      <c r="E69" s="4">
        <v>1850</v>
      </c>
      <c r="F69" s="4">
        <v>3000</v>
      </c>
    </row>
    <row r="70" spans="1:6" x14ac:dyDescent="0.35">
      <c r="A70" s="17">
        <v>4</v>
      </c>
      <c r="B70" s="11">
        <v>6</v>
      </c>
      <c r="D70" s="4">
        <v>1000</v>
      </c>
      <c r="E70" s="4">
        <v>1500</v>
      </c>
      <c r="F70" s="4">
        <v>3000</v>
      </c>
    </row>
    <row r="71" spans="1:6" x14ac:dyDescent="0.35">
      <c r="A71" s="17">
        <v>4</v>
      </c>
      <c r="B71" s="11">
        <v>7</v>
      </c>
      <c r="D71" s="4">
        <v>10</v>
      </c>
      <c r="E71" s="4">
        <v>25</v>
      </c>
      <c r="F71" s="4">
        <v>40</v>
      </c>
    </row>
    <row r="72" spans="1:6" x14ac:dyDescent="0.35">
      <c r="A72" s="17">
        <v>4</v>
      </c>
      <c r="B72" s="11">
        <v>8</v>
      </c>
      <c r="D72" s="4">
        <v>15</v>
      </c>
      <c r="E72" s="4">
        <v>30</v>
      </c>
      <c r="F72" s="4">
        <v>50</v>
      </c>
    </row>
    <row r="73" spans="1:6" x14ac:dyDescent="0.35">
      <c r="A73" s="17">
        <v>4</v>
      </c>
      <c r="B73" s="11">
        <v>9</v>
      </c>
      <c r="D73" s="4">
        <v>-100</v>
      </c>
      <c r="E73" s="4">
        <v>250</v>
      </c>
      <c r="F73" s="4">
        <v>2000</v>
      </c>
    </row>
    <row r="74" spans="1:6" x14ac:dyDescent="0.35">
      <c r="A74" s="17">
        <v>4</v>
      </c>
      <c r="B74" s="11">
        <v>10</v>
      </c>
      <c r="D74" s="4">
        <v>25</v>
      </c>
      <c r="E74" s="4">
        <v>50</v>
      </c>
      <c r="F74" s="4">
        <v>250</v>
      </c>
    </row>
    <row r="75" spans="1:6" x14ac:dyDescent="0.35">
      <c r="A75" s="17">
        <v>4</v>
      </c>
      <c r="B75" s="11">
        <v>11</v>
      </c>
      <c r="D75" s="4">
        <v>50</v>
      </c>
      <c r="E75" s="4">
        <v>130</v>
      </c>
      <c r="F75" s="4">
        <v>250</v>
      </c>
    </row>
    <row r="76" spans="1:6" x14ac:dyDescent="0.35">
      <c r="A76" s="17">
        <v>4</v>
      </c>
      <c r="B76" s="11">
        <v>12</v>
      </c>
      <c r="D76" s="4">
        <v>100</v>
      </c>
      <c r="E76" s="4">
        <v>225</v>
      </c>
      <c r="F76" s="4">
        <v>500</v>
      </c>
    </row>
    <row r="77" spans="1:6" x14ac:dyDescent="0.35">
      <c r="A77" s="17">
        <v>4</v>
      </c>
      <c r="B77" s="11">
        <v>13</v>
      </c>
      <c r="D77" s="4">
        <v>10</v>
      </c>
      <c r="E77" s="4">
        <v>100</v>
      </c>
      <c r="F77" s="4">
        <v>300</v>
      </c>
    </row>
    <row r="78" spans="1:6" x14ac:dyDescent="0.35">
      <c r="A78" s="17">
        <v>4</v>
      </c>
      <c r="B78" s="11">
        <v>14</v>
      </c>
      <c r="D78" s="4">
        <v>20</v>
      </c>
      <c r="E78" s="4">
        <v>40</v>
      </c>
      <c r="F78" s="4">
        <v>100</v>
      </c>
    </row>
    <row r="79" spans="1:6" x14ac:dyDescent="0.35">
      <c r="A79" s="17">
        <v>4</v>
      </c>
      <c r="B79" s="11">
        <v>15</v>
      </c>
      <c r="D79" s="4">
        <v>100</v>
      </c>
      <c r="E79" s="4">
        <v>200</v>
      </c>
      <c r="F79" s="4">
        <v>500</v>
      </c>
    </row>
    <row r="80" spans="1:6" x14ac:dyDescent="0.35">
      <c r="A80" s="17">
        <v>4</v>
      </c>
      <c r="B80" s="11">
        <v>16</v>
      </c>
      <c r="D80" s="4">
        <v>20</v>
      </c>
      <c r="E80" s="4">
        <v>50</v>
      </c>
      <c r="F80" s="4">
        <v>200</v>
      </c>
    </row>
    <row r="81" spans="1:6" x14ac:dyDescent="0.35">
      <c r="A81" s="17">
        <v>4</v>
      </c>
      <c r="B81" s="11">
        <v>17</v>
      </c>
      <c r="D81" s="4">
        <v>20</v>
      </c>
      <c r="E81" s="4">
        <v>50</v>
      </c>
      <c r="F81" s="4">
        <v>200</v>
      </c>
    </row>
    <row r="82" spans="1:6" x14ac:dyDescent="0.35">
      <c r="A82" s="17">
        <v>4</v>
      </c>
      <c r="B82" s="11">
        <v>18</v>
      </c>
      <c r="D82" s="4">
        <v>2000</v>
      </c>
      <c r="E82" s="4">
        <v>2750</v>
      </c>
      <c r="F82" s="4">
        <v>4000</v>
      </c>
    </row>
    <row r="83" spans="1:6" x14ac:dyDescent="0.35">
      <c r="A83" s="17">
        <v>4</v>
      </c>
      <c r="B83" s="11">
        <v>19</v>
      </c>
      <c r="D83" s="4">
        <v>1500</v>
      </c>
      <c r="E83" s="4">
        <v>3000</v>
      </c>
      <c r="F83" s="4">
        <v>10000</v>
      </c>
    </row>
    <row r="84" spans="1:6" x14ac:dyDescent="0.35">
      <c r="A84" s="17">
        <v>4</v>
      </c>
      <c r="B84" s="11">
        <v>20</v>
      </c>
      <c r="D84" s="4">
        <v>10</v>
      </c>
      <c r="E84" s="4">
        <v>17</v>
      </c>
      <c r="F84" s="4">
        <v>35</v>
      </c>
    </row>
    <row r="85" spans="1:6" x14ac:dyDescent="0.35">
      <c r="A85" s="17">
        <v>4</v>
      </c>
      <c r="B85" s="11">
        <v>21</v>
      </c>
      <c r="D85" s="4">
        <v>15</v>
      </c>
      <c r="E85" s="4">
        <v>25</v>
      </c>
      <c r="F85" s="4">
        <v>45</v>
      </c>
    </row>
    <row r="86" spans="1:6" x14ac:dyDescent="0.35">
      <c r="A86" s="17">
        <v>5</v>
      </c>
      <c r="B86" s="11">
        <v>1</v>
      </c>
      <c r="D86" s="4">
        <v>1000</v>
      </c>
      <c r="E86" s="4">
        <v>1500</v>
      </c>
      <c r="F86" s="4">
        <v>2000</v>
      </c>
    </row>
    <row r="87" spans="1:6" x14ac:dyDescent="0.35">
      <c r="A87" s="17">
        <v>5</v>
      </c>
      <c r="B87" s="11">
        <v>2</v>
      </c>
      <c r="D87" s="4">
        <v>500</v>
      </c>
      <c r="E87" s="4">
        <v>1000</v>
      </c>
      <c r="F87" s="4">
        <v>1500</v>
      </c>
    </row>
    <row r="88" spans="1:6" x14ac:dyDescent="0.35">
      <c r="A88" s="17">
        <v>5</v>
      </c>
      <c r="B88" s="11">
        <v>3</v>
      </c>
      <c r="D88" s="4">
        <v>4000</v>
      </c>
      <c r="E88" s="4">
        <v>6000</v>
      </c>
      <c r="F88" s="4">
        <v>7500</v>
      </c>
    </row>
    <row r="89" spans="1:6" x14ac:dyDescent="0.35">
      <c r="A89" s="17">
        <v>5</v>
      </c>
      <c r="B89" s="11">
        <v>4</v>
      </c>
      <c r="D89" s="4">
        <v>25</v>
      </c>
      <c r="E89" s="4">
        <v>50</v>
      </c>
      <c r="F89" s="4">
        <v>75</v>
      </c>
    </row>
    <row r="90" spans="1:6" x14ac:dyDescent="0.35">
      <c r="A90" s="17">
        <v>5</v>
      </c>
      <c r="B90" s="11">
        <v>5</v>
      </c>
      <c r="D90" s="4">
        <v>25</v>
      </c>
      <c r="E90" s="4">
        <v>50</v>
      </c>
      <c r="F90" s="4">
        <v>75</v>
      </c>
    </row>
    <row r="91" spans="1:6" x14ac:dyDescent="0.35">
      <c r="A91" s="17">
        <v>5</v>
      </c>
      <c r="B91" s="11">
        <v>6</v>
      </c>
      <c r="D91" s="4">
        <v>25</v>
      </c>
      <c r="E91" s="4">
        <v>50</v>
      </c>
      <c r="F91" s="4">
        <v>75</v>
      </c>
    </row>
    <row r="92" spans="1:6" x14ac:dyDescent="0.35">
      <c r="A92" s="16">
        <v>5</v>
      </c>
      <c r="B92" s="11">
        <v>7</v>
      </c>
      <c r="D92" s="4">
        <v>35</v>
      </c>
      <c r="E92" s="4">
        <v>50</v>
      </c>
      <c r="F92" s="4">
        <v>65</v>
      </c>
    </row>
    <row r="93" spans="1:6" x14ac:dyDescent="0.35">
      <c r="A93" s="16">
        <v>5</v>
      </c>
      <c r="B93" s="11">
        <v>8</v>
      </c>
      <c r="D93" s="4">
        <v>20</v>
      </c>
      <c r="E93" s="4">
        <v>25</v>
      </c>
      <c r="F93" s="4">
        <v>30</v>
      </c>
    </row>
    <row r="94" spans="1:6" x14ac:dyDescent="0.35">
      <c r="A94" s="16">
        <v>5</v>
      </c>
      <c r="B94" s="11">
        <v>9</v>
      </c>
      <c r="D94" s="4">
        <v>200</v>
      </c>
      <c r="E94" s="4">
        <v>400</v>
      </c>
      <c r="F94" s="4">
        <v>800</v>
      </c>
    </row>
    <row r="95" spans="1:6" x14ac:dyDescent="0.35">
      <c r="A95" s="16">
        <v>5</v>
      </c>
      <c r="B95" s="11">
        <v>10</v>
      </c>
      <c r="D95" s="4">
        <v>100</v>
      </c>
      <c r="E95" s="4">
        <v>200</v>
      </c>
      <c r="F95" s="4">
        <v>300</v>
      </c>
    </row>
    <row r="96" spans="1:6" x14ac:dyDescent="0.35">
      <c r="A96" s="16">
        <v>5</v>
      </c>
      <c r="B96" s="11">
        <v>11</v>
      </c>
      <c r="D96" s="4">
        <v>100</v>
      </c>
      <c r="E96" s="4">
        <v>200</v>
      </c>
      <c r="F96" s="4">
        <v>400</v>
      </c>
    </row>
    <row r="97" spans="1:6" x14ac:dyDescent="0.35">
      <c r="A97" s="16">
        <v>5</v>
      </c>
      <c r="B97" s="11">
        <v>12</v>
      </c>
      <c r="D97" s="4">
        <v>1000</v>
      </c>
      <c r="E97" s="4">
        <v>1500</v>
      </c>
      <c r="F97" s="4">
        <v>2000</v>
      </c>
    </row>
    <row r="98" spans="1:6" x14ac:dyDescent="0.35">
      <c r="A98" s="16">
        <v>5</v>
      </c>
      <c r="B98" s="11">
        <v>13</v>
      </c>
      <c r="D98" s="4">
        <v>100</v>
      </c>
      <c r="E98" s="4">
        <v>400</v>
      </c>
      <c r="F98" s="4">
        <v>500</v>
      </c>
    </row>
    <row r="99" spans="1:6" x14ac:dyDescent="0.35">
      <c r="A99" s="16">
        <v>5</v>
      </c>
      <c r="B99" s="11">
        <v>14</v>
      </c>
      <c r="D99" s="4">
        <v>50</v>
      </c>
      <c r="E99" s="4">
        <v>100</v>
      </c>
      <c r="F99" s="4">
        <v>150</v>
      </c>
    </row>
    <row r="100" spans="1:6" x14ac:dyDescent="0.35">
      <c r="A100" s="16">
        <v>5</v>
      </c>
      <c r="B100" s="11">
        <v>15</v>
      </c>
      <c r="D100" s="4">
        <v>100</v>
      </c>
      <c r="E100" s="4">
        <v>200</v>
      </c>
      <c r="F100" s="4">
        <v>400</v>
      </c>
    </row>
    <row r="101" spans="1:6" x14ac:dyDescent="0.35">
      <c r="A101" s="16">
        <v>5</v>
      </c>
      <c r="B101" s="11">
        <v>16</v>
      </c>
      <c r="D101" s="4">
        <v>300</v>
      </c>
      <c r="E101" s="4">
        <v>400</v>
      </c>
      <c r="F101" s="4">
        <v>600</v>
      </c>
    </row>
    <row r="102" spans="1:6" x14ac:dyDescent="0.35">
      <c r="A102" s="16">
        <v>5</v>
      </c>
      <c r="B102" s="11">
        <v>17</v>
      </c>
      <c r="D102" s="4">
        <v>25</v>
      </c>
      <c r="E102" s="4">
        <v>50</v>
      </c>
      <c r="F102" s="4">
        <v>150</v>
      </c>
    </row>
    <row r="103" spans="1:6" x14ac:dyDescent="0.35">
      <c r="A103" s="16">
        <v>5</v>
      </c>
      <c r="B103" s="11">
        <v>18</v>
      </c>
      <c r="D103" s="4">
        <v>3</v>
      </c>
      <c r="E103" s="4">
        <v>5</v>
      </c>
      <c r="F103" s="4">
        <v>8</v>
      </c>
    </row>
    <row r="104" spans="1:6" x14ac:dyDescent="0.35">
      <c r="A104" s="16">
        <v>5</v>
      </c>
      <c r="B104" s="11">
        <v>19</v>
      </c>
      <c r="D104" s="4">
        <v>4</v>
      </c>
      <c r="E104" s="4">
        <v>6</v>
      </c>
      <c r="F104" s="4">
        <v>8</v>
      </c>
    </row>
    <row r="105" spans="1:6" x14ac:dyDescent="0.35">
      <c r="A105" s="16">
        <v>5</v>
      </c>
      <c r="B105" s="11">
        <v>20</v>
      </c>
      <c r="D105" s="4">
        <v>6</v>
      </c>
      <c r="E105" s="4">
        <v>7</v>
      </c>
      <c r="F105" s="4">
        <v>9</v>
      </c>
    </row>
    <row r="106" spans="1:6" x14ac:dyDescent="0.35">
      <c r="A106" s="16">
        <v>5</v>
      </c>
      <c r="B106" s="11">
        <v>21</v>
      </c>
      <c r="D106" s="4">
        <v>5</v>
      </c>
      <c r="E106" s="4">
        <v>8</v>
      </c>
      <c r="F106" s="4">
        <v>15</v>
      </c>
    </row>
    <row r="107" spans="1:6" x14ac:dyDescent="0.35">
      <c r="A107" s="16">
        <v>6</v>
      </c>
      <c r="B107" s="11">
        <v>1</v>
      </c>
      <c r="D107" s="4">
        <v>150</v>
      </c>
      <c r="E107" s="4">
        <v>400</v>
      </c>
      <c r="F107" s="4">
        <v>500</v>
      </c>
    </row>
    <row r="108" spans="1:6" x14ac:dyDescent="0.35">
      <c r="A108" s="16">
        <v>6</v>
      </c>
      <c r="B108" s="11">
        <v>2</v>
      </c>
      <c r="D108" s="4">
        <v>300</v>
      </c>
      <c r="E108" s="4">
        <v>800</v>
      </c>
      <c r="F108" s="4">
        <v>1000</v>
      </c>
    </row>
    <row r="109" spans="1:6" x14ac:dyDescent="0.35">
      <c r="A109" s="16">
        <v>6</v>
      </c>
      <c r="B109" s="11">
        <v>3</v>
      </c>
      <c r="D109" s="4">
        <v>300</v>
      </c>
      <c r="E109" s="4">
        <v>700</v>
      </c>
      <c r="F109" s="4">
        <v>1000</v>
      </c>
    </row>
    <row r="110" spans="1:6" x14ac:dyDescent="0.35">
      <c r="A110" s="16">
        <v>6</v>
      </c>
      <c r="B110" s="11">
        <v>4</v>
      </c>
      <c r="D110" s="4">
        <v>50</v>
      </c>
      <c r="E110" s="4">
        <v>200</v>
      </c>
      <c r="F110" s="4">
        <v>500</v>
      </c>
    </row>
    <row r="111" spans="1:6" x14ac:dyDescent="0.35">
      <c r="A111" s="16">
        <v>6</v>
      </c>
      <c r="B111" s="11">
        <v>5</v>
      </c>
      <c r="D111" s="4">
        <v>25</v>
      </c>
      <c r="E111" s="4">
        <v>150</v>
      </c>
      <c r="F111" s="4">
        <v>300</v>
      </c>
    </row>
    <row r="112" spans="1:6" x14ac:dyDescent="0.35">
      <c r="A112" s="16">
        <v>6</v>
      </c>
      <c r="B112" s="11">
        <v>6</v>
      </c>
      <c r="D112" s="4">
        <v>50</v>
      </c>
      <c r="E112" s="4">
        <v>200</v>
      </c>
      <c r="F112" s="4">
        <v>600</v>
      </c>
    </row>
    <row r="113" spans="1:6" x14ac:dyDescent="0.35">
      <c r="A113" s="16">
        <v>6</v>
      </c>
      <c r="B113" s="11">
        <v>7</v>
      </c>
      <c r="D113" s="4">
        <v>5</v>
      </c>
      <c r="E113" s="4">
        <v>20</v>
      </c>
      <c r="F113" s="4">
        <v>40</v>
      </c>
    </row>
    <row r="114" spans="1:6" x14ac:dyDescent="0.35">
      <c r="A114" s="16">
        <v>6</v>
      </c>
      <c r="B114" s="11">
        <v>8</v>
      </c>
      <c r="D114" s="4">
        <v>4</v>
      </c>
      <c r="E114" s="4">
        <v>15</v>
      </c>
      <c r="F114" s="4">
        <v>30</v>
      </c>
    </row>
    <row r="115" spans="1:6" x14ac:dyDescent="0.35">
      <c r="A115" s="16">
        <v>6</v>
      </c>
      <c r="B115" s="11">
        <v>9</v>
      </c>
      <c r="D115" s="4">
        <v>20</v>
      </c>
      <c r="E115" s="4">
        <v>100</v>
      </c>
      <c r="F115" s="4">
        <v>200</v>
      </c>
    </row>
    <row r="116" spans="1:6" x14ac:dyDescent="0.35">
      <c r="A116" s="16">
        <v>6</v>
      </c>
      <c r="B116" s="11">
        <v>10</v>
      </c>
      <c r="D116" s="4">
        <v>30</v>
      </c>
      <c r="E116" s="4">
        <v>150</v>
      </c>
      <c r="F116" s="4">
        <v>400</v>
      </c>
    </row>
    <row r="117" spans="1:6" x14ac:dyDescent="0.35">
      <c r="A117" s="16">
        <v>6</v>
      </c>
      <c r="B117" s="11">
        <v>11</v>
      </c>
      <c r="D117" s="4">
        <v>100</v>
      </c>
      <c r="E117" s="4">
        <v>500</v>
      </c>
      <c r="F117" s="4">
        <v>800</v>
      </c>
    </row>
    <row r="118" spans="1:6" x14ac:dyDescent="0.35">
      <c r="A118" s="16">
        <v>6</v>
      </c>
      <c r="B118" s="11">
        <v>12</v>
      </c>
      <c r="D118" s="4">
        <v>100</v>
      </c>
      <c r="E118" s="4">
        <v>350</v>
      </c>
      <c r="F118" s="4">
        <v>700</v>
      </c>
    </row>
    <row r="119" spans="1:6" x14ac:dyDescent="0.35">
      <c r="A119" s="16">
        <v>6</v>
      </c>
      <c r="B119" s="11">
        <v>13</v>
      </c>
      <c r="D119" s="4">
        <v>10</v>
      </c>
      <c r="E119" s="4">
        <v>40</v>
      </c>
      <c r="F119" s="4">
        <v>100</v>
      </c>
    </row>
    <row r="120" spans="1:6" x14ac:dyDescent="0.35">
      <c r="A120" s="16">
        <v>6</v>
      </c>
      <c r="B120" s="11">
        <v>14</v>
      </c>
      <c r="D120" s="4">
        <v>15</v>
      </c>
      <c r="E120" s="4">
        <v>50</v>
      </c>
      <c r="F120" s="4">
        <v>150</v>
      </c>
    </row>
    <row r="121" spans="1:6" x14ac:dyDescent="0.35">
      <c r="A121" s="16">
        <v>6</v>
      </c>
      <c r="B121" s="11">
        <v>15</v>
      </c>
      <c r="D121" s="4">
        <v>20</v>
      </c>
      <c r="E121" s="4">
        <v>60</v>
      </c>
      <c r="F121" s="4">
        <v>200</v>
      </c>
    </row>
    <row r="122" spans="1:6" x14ac:dyDescent="0.35">
      <c r="A122" s="16">
        <v>6</v>
      </c>
      <c r="B122" s="11">
        <v>16</v>
      </c>
      <c r="D122" s="4">
        <v>30</v>
      </c>
      <c r="E122" s="4">
        <v>100</v>
      </c>
      <c r="F122" s="4">
        <v>300</v>
      </c>
    </row>
    <row r="123" spans="1:6" x14ac:dyDescent="0.35">
      <c r="A123" s="16">
        <v>6</v>
      </c>
      <c r="B123" s="11">
        <v>17</v>
      </c>
      <c r="D123" s="4">
        <v>10</v>
      </c>
      <c r="E123" s="4">
        <v>40</v>
      </c>
      <c r="F123" s="4">
        <v>100</v>
      </c>
    </row>
    <row r="124" spans="1:6" x14ac:dyDescent="0.35">
      <c r="A124" s="16">
        <v>6</v>
      </c>
      <c r="B124" s="11">
        <v>18</v>
      </c>
      <c r="D124" s="4">
        <v>30</v>
      </c>
      <c r="E124" s="4">
        <v>150</v>
      </c>
      <c r="F124" s="4">
        <v>400</v>
      </c>
    </row>
    <row r="125" spans="1:6" x14ac:dyDescent="0.35">
      <c r="A125" s="16">
        <v>6</v>
      </c>
      <c r="B125" s="11">
        <v>19</v>
      </c>
      <c r="D125" s="4">
        <v>30</v>
      </c>
      <c r="E125" s="4">
        <v>150</v>
      </c>
      <c r="F125" s="4">
        <v>400</v>
      </c>
    </row>
    <row r="126" spans="1:6" x14ac:dyDescent="0.35">
      <c r="A126" s="16">
        <v>6</v>
      </c>
      <c r="B126" s="11">
        <v>20</v>
      </c>
      <c r="D126" s="4">
        <v>0.5</v>
      </c>
      <c r="E126" s="4">
        <v>3</v>
      </c>
      <c r="F126" s="4">
        <v>8</v>
      </c>
    </row>
    <row r="127" spans="1:6" x14ac:dyDescent="0.35">
      <c r="A127" s="16">
        <v>6</v>
      </c>
      <c r="B127" s="11">
        <v>21</v>
      </c>
      <c r="D127" s="4">
        <v>0.2</v>
      </c>
      <c r="E127" s="4">
        <v>2</v>
      </c>
      <c r="F127" s="4">
        <v>7</v>
      </c>
    </row>
    <row r="128" spans="1:6" x14ac:dyDescent="0.35">
      <c r="A128" s="16">
        <v>7</v>
      </c>
      <c r="B128" s="11">
        <v>1</v>
      </c>
      <c r="D128" s="4">
        <v>200</v>
      </c>
      <c r="E128" s="4">
        <v>1000</v>
      </c>
      <c r="F128" s="4">
        <v>2000</v>
      </c>
    </row>
    <row r="129" spans="1:6" x14ac:dyDescent="0.35">
      <c r="A129" s="16">
        <v>7</v>
      </c>
      <c r="B129" s="11">
        <v>2</v>
      </c>
      <c r="D129" s="4">
        <v>500</v>
      </c>
      <c r="E129" s="4">
        <v>1000</v>
      </c>
      <c r="F129" s="4">
        <v>1500</v>
      </c>
    </row>
    <row r="130" spans="1:6" x14ac:dyDescent="0.35">
      <c r="A130" s="16">
        <v>7</v>
      </c>
      <c r="B130" s="11">
        <v>3</v>
      </c>
      <c r="D130" s="4">
        <v>500</v>
      </c>
      <c r="E130" s="4">
        <v>1000</v>
      </c>
      <c r="F130" s="4">
        <v>2000</v>
      </c>
    </row>
    <row r="131" spans="1:6" x14ac:dyDescent="0.35">
      <c r="A131" s="16">
        <v>7</v>
      </c>
      <c r="B131" s="11">
        <v>4</v>
      </c>
      <c r="D131" s="4">
        <v>20</v>
      </c>
      <c r="E131" s="4">
        <v>50</v>
      </c>
      <c r="F131" s="4">
        <v>100</v>
      </c>
    </row>
    <row r="132" spans="1:6" x14ac:dyDescent="0.35">
      <c r="A132" s="16">
        <v>7</v>
      </c>
      <c r="B132" s="11">
        <v>5</v>
      </c>
      <c r="D132" s="4">
        <v>30</v>
      </c>
      <c r="E132" s="4">
        <v>70</v>
      </c>
      <c r="F132" s="4">
        <v>200</v>
      </c>
    </row>
    <row r="133" spans="1:6" x14ac:dyDescent="0.35">
      <c r="A133" s="16">
        <v>7</v>
      </c>
      <c r="B133" s="11">
        <v>6</v>
      </c>
      <c r="D133" s="4">
        <v>40</v>
      </c>
      <c r="E133" s="4">
        <v>90</v>
      </c>
      <c r="F133" s="4">
        <v>270</v>
      </c>
    </row>
    <row r="134" spans="1:6" x14ac:dyDescent="0.35">
      <c r="A134" s="16">
        <v>7</v>
      </c>
      <c r="B134" s="11">
        <v>7</v>
      </c>
      <c r="D134" s="4">
        <v>5</v>
      </c>
      <c r="E134" s="4">
        <v>25</v>
      </c>
      <c r="F134" s="4">
        <v>30</v>
      </c>
    </row>
    <row r="135" spans="1:6" x14ac:dyDescent="0.35">
      <c r="A135" s="16">
        <v>7</v>
      </c>
      <c r="B135" s="11">
        <v>8</v>
      </c>
      <c r="D135" s="4">
        <v>10</v>
      </c>
      <c r="E135" s="4">
        <v>30</v>
      </c>
      <c r="F135" s="4">
        <v>50</v>
      </c>
    </row>
    <row r="136" spans="1:6" x14ac:dyDescent="0.35">
      <c r="A136" s="16">
        <v>7</v>
      </c>
      <c r="B136" s="11">
        <v>9</v>
      </c>
      <c r="D136" s="4">
        <v>20</v>
      </c>
      <c r="E136" s="4">
        <v>40</v>
      </c>
      <c r="F136" s="4">
        <v>50</v>
      </c>
    </row>
    <row r="137" spans="1:6" x14ac:dyDescent="0.35">
      <c r="A137" s="16">
        <v>7</v>
      </c>
      <c r="B137" s="11">
        <v>10</v>
      </c>
      <c r="D137" s="4">
        <v>150</v>
      </c>
      <c r="E137" s="4">
        <v>300</v>
      </c>
      <c r="F137" s="4">
        <v>500</v>
      </c>
    </row>
    <row r="138" spans="1:6" x14ac:dyDescent="0.35">
      <c r="A138" s="16">
        <v>7</v>
      </c>
      <c r="B138" s="11">
        <v>11</v>
      </c>
      <c r="D138" s="4">
        <v>300</v>
      </c>
      <c r="E138" s="4">
        <v>700</v>
      </c>
      <c r="F138" s="4">
        <v>1000</v>
      </c>
    </row>
    <row r="139" spans="1:6" x14ac:dyDescent="0.35">
      <c r="A139" s="16">
        <v>7</v>
      </c>
      <c r="B139" s="11">
        <v>12</v>
      </c>
      <c r="D139" s="4">
        <v>1000</v>
      </c>
      <c r="E139" s="4">
        <v>1500</v>
      </c>
      <c r="F139" s="4">
        <v>2000</v>
      </c>
    </row>
    <row r="140" spans="1:6" x14ac:dyDescent="0.35">
      <c r="A140" s="16">
        <v>7</v>
      </c>
      <c r="B140" s="11">
        <v>13</v>
      </c>
      <c r="D140" s="4">
        <v>100</v>
      </c>
      <c r="E140" s="4">
        <v>101</v>
      </c>
      <c r="F140" s="4">
        <v>300</v>
      </c>
    </row>
    <row r="141" spans="1:6" x14ac:dyDescent="0.35">
      <c r="A141" s="16">
        <v>7</v>
      </c>
      <c r="B141" s="11">
        <v>14</v>
      </c>
      <c r="D141" s="4">
        <v>25</v>
      </c>
      <c r="E141" s="4">
        <v>50</v>
      </c>
      <c r="F141" s="4">
        <v>75</v>
      </c>
    </row>
    <row r="142" spans="1:6" x14ac:dyDescent="0.35">
      <c r="A142" s="16">
        <v>7</v>
      </c>
      <c r="B142" s="11">
        <v>15</v>
      </c>
      <c r="D142" s="4">
        <v>25</v>
      </c>
      <c r="E142" s="4">
        <v>50</v>
      </c>
      <c r="F142" s="4">
        <v>100</v>
      </c>
    </row>
    <row r="143" spans="1:6" x14ac:dyDescent="0.35">
      <c r="A143" s="16">
        <v>7</v>
      </c>
      <c r="B143" s="11">
        <v>16</v>
      </c>
      <c r="D143" s="4">
        <v>100</v>
      </c>
      <c r="E143" s="4">
        <v>200</v>
      </c>
      <c r="F143" s="4">
        <v>300</v>
      </c>
    </row>
    <row r="144" spans="1:6" x14ac:dyDescent="0.35">
      <c r="A144" s="16">
        <v>7</v>
      </c>
      <c r="B144" s="11">
        <v>17</v>
      </c>
      <c r="D144" s="4">
        <v>25</v>
      </c>
      <c r="E144" s="4">
        <v>50</v>
      </c>
      <c r="F144" s="4">
        <v>100</v>
      </c>
    </row>
    <row r="145" spans="1:6" x14ac:dyDescent="0.35">
      <c r="A145" s="16">
        <v>7</v>
      </c>
      <c r="B145" s="11">
        <v>18</v>
      </c>
      <c r="D145" s="4">
        <v>3</v>
      </c>
      <c r="E145" s="4">
        <v>4</v>
      </c>
      <c r="F145" s="4">
        <v>10</v>
      </c>
    </row>
    <row r="146" spans="1:6" x14ac:dyDescent="0.35">
      <c r="A146" s="16">
        <v>7</v>
      </c>
      <c r="B146" s="11">
        <v>19</v>
      </c>
      <c r="D146" s="4">
        <v>3</v>
      </c>
      <c r="E146" s="4">
        <v>4</v>
      </c>
      <c r="F146" s="4">
        <v>5</v>
      </c>
    </row>
    <row r="147" spans="1:6" x14ac:dyDescent="0.35">
      <c r="A147" s="16">
        <v>7</v>
      </c>
      <c r="B147" s="11">
        <v>20</v>
      </c>
      <c r="D147" s="4">
        <v>10</v>
      </c>
      <c r="E147" s="4">
        <v>25</v>
      </c>
      <c r="F147" s="4">
        <v>40</v>
      </c>
    </row>
    <row r="148" spans="1:6" x14ac:dyDescent="0.35">
      <c r="A148" s="16">
        <v>7</v>
      </c>
      <c r="B148" s="11">
        <v>21</v>
      </c>
      <c r="D148" s="4">
        <v>10</v>
      </c>
      <c r="E148" s="4">
        <v>20</v>
      </c>
      <c r="F148" s="4">
        <v>40</v>
      </c>
    </row>
    <row r="149" spans="1:6" x14ac:dyDescent="0.35">
      <c r="A149" s="16">
        <v>8</v>
      </c>
      <c r="B149" s="11">
        <v>1</v>
      </c>
      <c r="D149" s="4">
        <v>250</v>
      </c>
      <c r="E149" s="4">
        <v>400</v>
      </c>
      <c r="F149" s="4">
        <v>700</v>
      </c>
    </row>
    <row r="150" spans="1:6" x14ac:dyDescent="0.35">
      <c r="A150" s="16">
        <v>8</v>
      </c>
      <c r="B150" s="11">
        <v>2</v>
      </c>
      <c r="D150" s="4">
        <v>250</v>
      </c>
      <c r="E150" s="4">
        <v>600</v>
      </c>
      <c r="F150" s="4">
        <v>900</v>
      </c>
    </row>
    <row r="151" spans="1:6" x14ac:dyDescent="0.35">
      <c r="A151" s="16">
        <v>8</v>
      </c>
      <c r="B151" s="11">
        <v>3</v>
      </c>
      <c r="D151" s="4">
        <v>200</v>
      </c>
      <c r="E151" s="4">
        <v>350</v>
      </c>
      <c r="F151" s="4">
        <v>650</v>
      </c>
    </row>
    <row r="152" spans="1:6" x14ac:dyDescent="0.35">
      <c r="A152" s="16">
        <v>8</v>
      </c>
      <c r="B152" s="11">
        <v>4</v>
      </c>
      <c r="D152" s="4">
        <v>100</v>
      </c>
      <c r="E152" s="4">
        <v>300</v>
      </c>
      <c r="F152" s="4">
        <v>500</v>
      </c>
    </row>
    <row r="153" spans="1:6" x14ac:dyDescent="0.35">
      <c r="A153" s="16">
        <v>8</v>
      </c>
      <c r="B153" s="11">
        <v>5</v>
      </c>
      <c r="D153" s="4">
        <v>200</v>
      </c>
      <c r="E153" s="4">
        <v>450</v>
      </c>
      <c r="F153" s="4">
        <v>800</v>
      </c>
    </row>
    <row r="154" spans="1:6" x14ac:dyDescent="0.35">
      <c r="A154" s="16">
        <v>8</v>
      </c>
      <c r="B154" s="11">
        <v>6</v>
      </c>
      <c r="D154" s="4">
        <v>500</v>
      </c>
      <c r="E154" s="4">
        <v>700</v>
      </c>
      <c r="F154" s="4">
        <v>1500</v>
      </c>
    </row>
    <row r="155" spans="1:6" x14ac:dyDescent="0.35">
      <c r="A155" s="16">
        <v>8</v>
      </c>
      <c r="B155" s="11">
        <v>7</v>
      </c>
      <c r="D155" s="4">
        <v>50</v>
      </c>
      <c r="E155" s="4">
        <v>70</v>
      </c>
      <c r="F155" s="4">
        <v>80</v>
      </c>
    </row>
    <row r="156" spans="1:6" x14ac:dyDescent="0.35">
      <c r="A156" s="16">
        <v>8</v>
      </c>
      <c r="B156" s="11">
        <v>8</v>
      </c>
      <c r="D156" s="4">
        <v>40</v>
      </c>
      <c r="E156" s="4">
        <v>60</v>
      </c>
      <c r="F156" s="4">
        <v>75</v>
      </c>
    </row>
    <row r="157" spans="1:6" x14ac:dyDescent="0.35">
      <c r="A157" s="16">
        <v>8</v>
      </c>
      <c r="B157" s="11">
        <v>9</v>
      </c>
      <c r="D157" s="4">
        <v>200</v>
      </c>
      <c r="E157" s="4">
        <v>300</v>
      </c>
      <c r="F157" s="4">
        <v>400</v>
      </c>
    </row>
    <row r="158" spans="1:6" x14ac:dyDescent="0.35">
      <c r="A158" s="16">
        <v>8</v>
      </c>
      <c r="B158" s="11">
        <v>10</v>
      </c>
      <c r="D158" s="4">
        <v>80</v>
      </c>
      <c r="E158" s="4">
        <v>120</v>
      </c>
      <c r="F158" s="4">
        <v>300</v>
      </c>
    </row>
    <row r="159" spans="1:6" x14ac:dyDescent="0.35">
      <c r="A159" s="16">
        <v>8</v>
      </c>
      <c r="B159" s="11">
        <v>11</v>
      </c>
      <c r="D159" s="4">
        <v>100</v>
      </c>
      <c r="E159" s="4">
        <v>150</v>
      </c>
      <c r="F159" s="4">
        <v>350</v>
      </c>
    </row>
    <row r="160" spans="1:6" x14ac:dyDescent="0.35">
      <c r="A160" s="16">
        <v>8</v>
      </c>
      <c r="B160" s="11">
        <v>12</v>
      </c>
      <c r="D160" s="4">
        <v>100</v>
      </c>
      <c r="E160" s="4">
        <v>200</v>
      </c>
      <c r="F160" s="4">
        <v>300</v>
      </c>
    </row>
    <row r="161" spans="1:6" x14ac:dyDescent="0.35">
      <c r="A161" s="16">
        <v>8</v>
      </c>
      <c r="B161" s="11">
        <v>13</v>
      </c>
      <c r="D161" s="4">
        <v>40</v>
      </c>
      <c r="E161" s="4">
        <v>70</v>
      </c>
      <c r="F161" s="4">
        <v>100</v>
      </c>
    </row>
    <row r="162" spans="1:6" x14ac:dyDescent="0.35">
      <c r="A162" s="16">
        <v>8</v>
      </c>
      <c r="B162" s="11">
        <v>14</v>
      </c>
      <c r="D162" s="4">
        <v>25</v>
      </c>
      <c r="E162" s="4">
        <v>40</v>
      </c>
      <c r="F162" s="4">
        <v>60</v>
      </c>
    </row>
    <row r="163" spans="1:6" x14ac:dyDescent="0.35">
      <c r="A163" s="16">
        <v>8</v>
      </c>
      <c r="B163" s="11">
        <v>15</v>
      </c>
      <c r="D163" s="4">
        <v>50</v>
      </c>
      <c r="E163" s="4">
        <v>90</v>
      </c>
      <c r="F163" s="4">
        <v>120</v>
      </c>
    </row>
    <row r="164" spans="1:6" x14ac:dyDescent="0.35">
      <c r="A164" s="16">
        <v>8</v>
      </c>
      <c r="B164" s="11">
        <v>16</v>
      </c>
      <c r="D164" s="4">
        <v>70</v>
      </c>
      <c r="E164" s="4">
        <v>100</v>
      </c>
      <c r="F164" s="4">
        <v>160</v>
      </c>
    </row>
    <row r="165" spans="1:6" x14ac:dyDescent="0.35">
      <c r="A165" s="16">
        <v>8</v>
      </c>
      <c r="B165" s="11">
        <v>17</v>
      </c>
      <c r="D165" s="4">
        <v>80</v>
      </c>
      <c r="E165" s="4">
        <v>120</v>
      </c>
      <c r="F165" s="4">
        <v>200</v>
      </c>
    </row>
    <row r="166" spans="1:6" x14ac:dyDescent="0.35">
      <c r="A166" s="16">
        <v>8</v>
      </c>
      <c r="B166" s="11">
        <v>18</v>
      </c>
      <c r="D166" s="4">
        <v>100</v>
      </c>
      <c r="E166" s="4">
        <v>150</v>
      </c>
      <c r="F166" s="4">
        <v>350</v>
      </c>
    </row>
    <row r="167" spans="1:6" x14ac:dyDescent="0.35">
      <c r="A167" s="16">
        <v>8</v>
      </c>
      <c r="B167" s="11">
        <v>19</v>
      </c>
      <c r="D167" s="4">
        <v>75</v>
      </c>
      <c r="E167" s="4">
        <v>100</v>
      </c>
      <c r="F167" s="4">
        <v>150</v>
      </c>
    </row>
    <row r="168" spans="1:6" x14ac:dyDescent="0.35">
      <c r="A168" s="16">
        <v>8</v>
      </c>
      <c r="B168" s="11">
        <v>20</v>
      </c>
      <c r="D168" s="4">
        <v>5</v>
      </c>
      <c r="E168" s="4">
        <v>10</v>
      </c>
      <c r="F168" s="4">
        <v>20</v>
      </c>
    </row>
    <row r="169" spans="1:6" x14ac:dyDescent="0.35">
      <c r="A169" s="16">
        <v>8</v>
      </c>
      <c r="B169" s="11">
        <v>21</v>
      </c>
      <c r="D169" s="4">
        <v>5</v>
      </c>
      <c r="E169" s="4">
        <v>8</v>
      </c>
      <c r="F169" s="4">
        <v>20</v>
      </c>
    </row>
    <row r="170" spans="1:6" x14ac:dyDescent="0.35">
      <c r="A170" s="16">
        <v>9</v>
      </c>
      <c r="B170" s="11">
        <v>1</v>
      </c>
      <c r="D170" s="4">
        <v>100</v>
      </c>
      <c r="E170" s="4">
        <v>200</v>
      </c>
      <c r="F170" s="4">
        <v>300</v>
      </c>
    </row>
    <row r="171" spans="1:6" x14ac:dyDescent="0.35">
      <c r="A171" s="16">
        <v>9</v>
      </c>
      <c r="B171" s="11">
        <v>2</v>
      </c>
      <c r="D171" s="4">
        <v>30</v>
      </c>
      <c r="E171" s="4">
        <v>40</v>
      </c>
      <c r="F171" s="4">
        <v>120</v>
      </c>
    </row>
    <row r="172" spans="1:6" x14ac:dyDescent="0.35">
      <c r="A172" s="16">
        <v>9</v>
      </c>
      <c r="B172" s="11">
        <v>3</v>
      </c>
      <c r="D172" s="4">
        <v>100</v>
      </c>
      <c r="E172" s="4">
        <v>200</v>
      </c>
      <c r="F172" s="4">
        <v>300</v>
      </c>
    </row>
    <row r="173" spans="1:6" x14ac:dyDescent="0.35">
      <c r="A173" s="16">
        <v>9</v>
      </c>
      <c r="B173" s="11">
        <v>4</v>
      </c>
      <c r="D173" s="4">
        <v>2</v>
      </c>
      <c r="E173" s="4">
        <v>6</v>
      </c>
      <c r="F173" s="4">
        <v>15</v>
      </c>
    </row>
    <row r="174" spans="1:6" x14ac:dyDescent="0.35">
      <c r="A174" s="16">
        <v>9</v>
      </c>
      <c r="B174" s="11">
        <v>5</v>
      </c>
      <c r="D174" s="4">
        <v>5</v>
      </c>
      <c r="E174" s="4">
        <v>10</v>
      </c>
      <c r="F174" s="4">
        <v>20</v>
      </c>
    </row>
    <row r="175" spans="1:6" x14ac:dyDescent="0.35">
      <c r="A175" s="16">
        <v>9</v>
      </c>
      <c r="B175" s="11">
        <v>6</v>
      </c>
      <c r="D175" s="4">
        <v>10</v>
      </c>
      <c r="E175" s="4">
        <v>11</v>
      </c>
      <c r="F175" s="4">
        <v>20</v>
      </c>
    </row>
    <row r="176" spans="1:6" x14ac:dyDescent="0.35">
      <c r="A176" s="16">
        <v>9</v>
      </c>
      <c r="B176" s="11">
        <v>7</v>
      </c>
      <c r="D176" s="4">
        <v>50</v>
      </c>
      <c r="E176" s="4">
        <v>70</v>
      </c>
      <c r="F176" s="4">
        <v>85</v>
      </c>
    </row>
    <row r="177" spans="1:6" x14ac:dyDescent="0.35">
      <c r="A177" s="16">
        <v>9</v>
      </c>
      <c r="B177" s="11">
        <v>8</v>
      </c>
      <c r="D177" s="4">
        <v>40</v>
      </c>
      <c r="E177" s="4">
        <v>65</v>
      </c>
      <c r="F177" s="4">
        <v>85</v>
      </c>
    </row>
    <row r="178" spans="1:6" x14ac:dyDescent="0.35">
      <c r="A178" s="16">
        <v>9</v>
      </c>
      <c r="B178" s="11">
        <v>9</v>
      </c>
      <c r="D178" s="4">
        <v>5</v>
      </c>
      <c r="E178" s="4">
        <v>15</v>
      </c>
      <c r="F178" s="4">
        <v>20</v>
      </c>
    </row>
    <row r="179" spans="1:6" x14ac:dyDescent="0.35">
      <c r="A179" s="16">
        <v>9</v>
      </c>
      <c r="B179" s="11">
        <v>10</v>
      </c>
      <c r="D179" s="4">
        <v>20</v>
      </c>
      <c r="E179" s="4">
        <v>40</v>
      </c>
      <c r="F179" s="4">
        <v>60</v>
      </c>
    </row>
    <row r="180" spans="1:6" x14ac:dyDescent="0.35">
      <c r="A180" s="16">
        <v>9</v>
      </c>
      <c r="B180" s="11">
        <v>11</v>
      </c>
      <c r="D180" s="4">
        <v>10</v>
      </c>
      <c r="E180" s="4">
        <v>30</v>
      </c>
      <c r="F180" s="4">
        <v>60</v>
      </c>
    </row>
    <row r="181" spans="1:6" x14ac:dyDescent="0.35">
      <c r="A181" s="16">
        <v>9</v>
      </c>
      <c r="B181" s="11">
        <v>12</v>
      </c>
      <c r="D181" s="4">
        <v>30</v>
      </c>
      <c r="E181" s="4">
        <v>60</v>
      </c>
      <c r="F181" s="4">
        <v>80</v>
      </c>
    </row>
    <row r="182" spans="1:6" x14ac:dyDescent="0.35">
      <c r="A182" s="16">
        <v>9</v>
      </c>
      <c r="B182" s="11">
        <v>13</v>
      </c>
      <c r="D182" s="4">
        <v>10</v>
      </c>
      <c r="E182" s="4">
        <v>50</v>
      </c>
      <c r="F182" s="4">
        <v>70</v>
      </c>
    </row>
    <row r="183" spans="1:6" x14ac:dyDescent="0.35">
      <c r="A183" s="16">
        <v>9</v>
      </c>
      <c r="B183" s="11">
        <v>14</v>
      </c>
      <c r="D183" s="4">
        <v>3</v>
      </c>
      <c r="E183" s="4">
        <v>6</v>
      </c>
      <c r="F183" s="4">
        <v>10</v>
      </c>
    </row>
    <row r="184" spans="1:6" x14ac:dyDescent="0.35">
      <c r="A184" s="16">
        <v>9</v>
      </c>
      <c r="B184" s="11">
        <v>15</v>
      </c>
      <c r="D184" s="4">
        <v>1</v>
      </c>
      <c r="E184" s="4">
        <v>5</v>
      </c>
      <c r="F184" s="4">
        <v>10</v>
      </c>
    </row>
    <row r="185" spans="1:6" x14ac:dyDescent="0.35">
      <c r="A185" s="16">
        <v>9</v>
      </c>
      <c r="B185" s="11">
        <v>16</v>
      </c>
      <c r="D185" s="4">
        <v>3</v>
      </c>
      <c r="E185" s="4">
        <v>4</v>
      </c>
      <c r="F185" s="4">
        <v>20</v>
      </c>
    </row>
    <row r="186" spans="1:6" x14ac:dyDescent="0.35">
      <c r="A186" s="16">
        <v>9</v>
      </c>
      <c r="B186" s="11">
        <v>17</v>
      </c>
      <c r="D186" s="4">
        <v>1</v>
      </c>
      <c r="E186" s="4">
        <v>4</v>
      </c>
      <c r="F186" s="4">
        <v>5</v>
      </c>
    </row>
    <row r="187" spans="1:6" x14ac:dyDescent="0.35">
      <c r="A187" s="16">
        <v>9</v>
      </c>
      <c r="B187" s="11">
        <v>18</v>
      </c>
      <c r="D187" s="4">
        <v>4</v>
      </c>
      <c r="E187" s="4">
        <v>6</v>
      </c>
      <c r="F187" s="4">
        <v>10</v>
      </c>
    </row>
    <row r="188" spans="1:6" x14ac:dyDescent="0.35">
      <c r="A188" s="16">
        <v>9</v>
      </c>
      <c r="B188" s="11">
        <v>19</v>
      </c>
      <c r="D188" s="4">
        <v>5</v>
      </c>
      <c r="E188" s="4">
        <v>10</v>
      </c>
      <c r="F188" s="4">
        <v>20</v>
      </c>
    </row>
    <row r="189" spans="1:6" x14ac:dyDescent="0.35">
      <c r="A189" s="16">
        <v>9</v>
      </c>
      <c r="B189" s="11">
        <v>20</v>
      </c>
      <c r="D189" s="4">
        <v>15</v>
      </c>
      <c r="E189" s="4">
        <v>20</v>
      </c>
      <c r="F189" s="4">
        <v>40</v>
      </c>
    </row>
    <row r="190" spans="1:6" x14ac:dyDescent="0.35">
      <c r="A190" s="16">
        <v>9</v>
      </c>
      <c r="B190" s="11">
        <v>21</v>
      </c>
      <c r="D190" s="4">
        <v>10</v>
      </c>
      <c r="E190" s="4">
        <v>20</v>
      </c>
      <c r="F190" s="4">
        <v>50</v>
      </c>
    </row>
    <row r="191" spans="1:6" x14ac:dyDescent="0.35">
      <c r="A191" s="16">
        <v>10</v>
      </c>
      <c r="B191" s="11">
        <v>1</v>
      </c>
      <c r="D191" s="4">
        <v>1000</v>
      </c>
      <c r="E191" s="4">
        <v>2000</v>
      </c>
      <c r="F191" s="4">
        <v>8500</v>
      </c>
    </row>
    <row r="192" spans="1:6" x14ac:dyDescent="0.35">
      <c r="A192" s="16">
        <v>10</v>
      </c>
      <c r="B192" s="11">
        <v>2</v>
      </c>
      <c r="D192" s="4">
        <v>2000</v>
      </c>
      <c r="E192" s="4">
        <v>3000</v>
      </c>
      <c r="F192" s="4">
        <v>10000</v>
      </c>
    </row>
    <row r="193" spans="1:6" x14ac:dyDescent="0.35">
      <c r="A193" s="16">
        <v>10</v>
      </c>
      <c r="B193" s="11">
        <v>3</v>
      </c>
      <c r="D193" s="4">
        <v>2000</v>
      </c>
      <c r="E193" s="4">
        <v>9000</v>
      </c>
      <c r="F193" s="4">
        <v>11000</v>
      </c>
    </row>
    <row r="194" spans="1:6" x14ac:dyDescent="0.35">
      <c r="A194" s="16">
        <v>10</v>
      </c>
      <c r="B194" s="11">
        <v>4</v>
      </c>
      <c r="D194" s="4">
        <v>2000</v>
      </c>
      <c r="E194" s="4">
        <v>4000</v>
      </c>
      <c r="F194" s="4">
        <v>9000</v>
      </c>
    </row>
    <row r="195" spans="1:6" x14ac:dyDescent="0.35">
      <c r="A195" s="16">
        <v>10</v>
      </c>
      <c r="B195" s="11">
        <v>5</v>
      </c>
      <c r="D195" s="4">
        <v>1000</v>
      </c>
      <c r="E195" s="4">
        <v>3000</v>
      </c>
      <c r="F195" s="4">
        <v>8000</v>
      </c>
    </row>
    <row r="196" spans="1:6" x14ac:dyDescent="0.35">
      <c r="A196" s="16">
        <v>10</v>
      </c>
      <c r="B196" s="11">
        <v>6</v>
      </c>
      <c r="D196" s="4">
        <v>800</v>
      </c>
      <c r="E196" s="4">
        <v>2000</v>
      </c>
      <c r="F196" s="4">
        <v>7000</v>
      </c>
    </row>
    <row r="197" spans="1:6" x14ac:dyDescent="0.35">
      <c r="A197" s="16">
        <v>10</v>
      </c>
      <c r="B197" s="11">
        <v>7</v>
      </c>
      <c r="D197" s="4">
        <v>25</v>
      </c>
      <c r="E197" s="4">
        <v>40</v>
      </c>
      <c r="F197" s="4">
        <v>60</v>
      </c>
    </row>
    <row r="198" spans="1:6" x14ac:dyDescent="0.35">
      <c r="A198" s="16">
        <v>10</v>
      </c>
      <c r="B198" s="11">
        <v>8</v>
      </c>
      <c r="D198" s="4">
        <v>15</v>
      </c>
      <c r="E198" s="4">
        <v>30</v>
      </c>
      <c r="F198" s="4">
        <v>50</v>
      </c>
    </row>
    <row r="199" spans="1:6" x14ac:dyDescent="0.35">
      <c r="A199" s="16">
        <v>10</v>
      </c>
      <c r="B199" s="11">
        <v>9</v>
      </c>
      <c r="D199" s="4">
        <v>-200</v>
      </c>
      <c r="E199" s="4">
        <v>-90</v>
      </c>
      <c r="F199" s="4">
        <v>2000</v>
      </c>
    </row>
    <row r="200" spans="1:6" x14ac:dyDescent="0.35">
      <c r="A200" s="16">
        <v>10</v>
      </c>
      <c r="B200" s="11">
        <v>10</v>
      </c>
      <c r="D200" s="4">
        <v>300</v>
      </c>
      <c r="E200" s="4">
        <v>450</v>
      </c>
      <c r="F200" s="4">
        <v>800</v>
      </c>
    </row>
    <row r="201" spans="1:6" x14ac:dyDescent="0.35">
      <c r="A201" s="16">
        <v>10</v>
      </c>
      <c r="B201" s="11">
        <v>11</v>
      </c>
      <c r="D201" s="4">
        <v>2000</v>
      </c>
      <c r="E201" s="4">
        <v>2500</v>
      </c>
      <c r="F201" s="4">
        <v>9000</v>
      </c>
    </row>
    <row r="202" spans="1:6" x14ac:dyDescent="0.35">
      <c r="A202" s="16">
        <v>10</v>
      </c>
      <c r="B202" s="11">
        <v>12</v>
      </c>
      <c r="D202" s="4">
        <v>900</v>
      </c>
      <c r="E202" s="4">
        <v>3000</v>
      </c>
      <c r="F202" s="4">
        <v>5000</v>
      </c>
    </row>
    <row r="203" spans="1:6" x14ac:dyDescent="0.35">
      <c r="A203" s="16">
        <v>10</v>
      </c>
      <c r="B203" s="11">
        <v>13</v>
      </c>
      <c r="D203" s="4">
        <v>150</v>
      </c>
      <c r="E203" s="4">
        <v>200</v>
      </c>
      <c r="F203" s="4">
        <v>700</v>
      </c>
    </row>
    <row r="204" spans="1:6" x14ac:dyDescent="0.35">
      <c r="A204" s="16">
        <v>10</v>
      </c>
      <c r="B204" s="11">
        <v>14</v>
      </c>
      <c r="D204" s="4">
        <v>60</v>
      </c>
      <c r="E204" s="4">
        <v>150</v>
      </c>
      <c r="F204" s="4">
        <v>300</v>
      </c>
    </row>
    <row r="205" spans="1:6" x14ac:dyDescent="0.35">
      <c r="A205" s="16">
        <v>10</v>
      </c>
      <c r="B205" s="11">
        <v>15</v>
      </c>
      <c r="D205" s="4">
        <v>100</v>
      </c>
      <c r="E205" s="4">
        <v>200</v>
      </c>
      <c r="F205" s="4">
        <v>500</v>
      </c>
    </row>
    <row r="206" spans="1:6" x14ac:dyDescent="0.35">
      <c r="A206" s="16">
        <v>10</v>
      </c>
      <c r="B206" s="11">
        <v>16</v>
      </c>
      <c r="D206" s="4">
        <v>100</v>
      </c>
      <c r="E206" s="4">
        <v>300</v>
      </c>
      <c r="F206" s="4">
        <v>1200</v>
      </c>
    </row>
    <row r="207" spans="1:6" x14ac:dyDescent="0.35">
      <c r="A207" s="16">
        <v>10</v>
      </c>
      <c r="B207" s="11">
        <v>17</v>
      </c>
      <c r="D207" s="4">
        <v>40</v>
      </c>
      <c r="E207" s="4">
        <v>100</v>
      </c>
      <c r="F207" s="4">
        <v>300</v>
      </c>
    </row>
    <row r="208" spans="1:6" x14ac:dyDescent="0.35">
      <c r="A208" s="16">
        <v>10</v>
      </c>
      <c r="B208" s="11">
        <v>18</v>
      </c>
      <c r="D208" s="4">
        <v>15</v>
      </c>
      <c r="E208" s="4">
        <v>30</v>
      </c>
      <c r="F208" s="4">
        <v>100</v>
      </c>
    </row>
    <row r="209" spans="1:6" x14ac:dyDescent="0.35">
      <c r="A209" s="16">
        <v>10</v>
      </c>
      <c r="B209" s="11">
        <v>19</v>
      </c>
      <c r="D209" s="4">
        <v>30</v>
      </c>
      <c r="E209" s="4">
        <v>70</v>
      </c>
      <c r="F209" s="4">
        <v>300</v>
      </c>
    </row>
    <row r="210" spans="1:6" x14ac:dyDescent="0.35">
      <c r="A210" s="16">
        <v>10</v>
      </c>
      <c r="B210" s="11">
        <v>20</v>
      </c>
      <c r="D210" s="4">
        <v>50</v>
      </c>
      <c r="E210" s="4">
        <v>200</v>
      </c>
      <c r="F210" s="4">
        <v>400</v>
      </c>
    </row>
    <row r="211" spans="1:6" x14ac:dyDescent="0.35">
      <c r="A211" s="16">
        <v>10</v>
      </c>
      <c r="B211" s="11">
        <v>21</v>
      </c>
      <c r="D211" s="4">
        <v>40</v>
      </c>
      <c r="E211" s="4">
        <v>150</v>
      </c>
      <c r="F211" s="4">
        <v>300</v>
      </c>
    </row>
    <row r="212" spans="1:6" x14ac:dyDescent="0.35">
      <c r="A212" s="16">
        <v>11</v>
      </c>
      <c r="B212" s="11">
        <v>1</v>
      </c>
      <c r="D212" s="4">
        <v>5</v>
      </c>
      <c r="E212" s="4">
        <v>30</v>
      </c>
      <c r="F212" s="4">
        <v>50</v>
      </c>
    </row>
    <row r="213" spans="1:6" x14ac:dyDescent="0.35">
      <c r="A213" s="16">
        <v>11</v>
      </c>
      <c r="B213" s="11">
        <v>2</v>
      </c>
      <c r="D213" s="4">
        <v>2</v>
      </c>
      <c r="E213" s="4">
        <v>25</v>
      </c>
      <c r="F213" s="4">
        <v>50</v>
      </c>
    </row>
    <row r="214" spans="1:6" x14ac:dyDescent="0.35">
      <c r="A214" s="16">
        <v>11</v>
      </c>
      <c r="B214" s="11">
        <v>3</v>
      </c>
      <c r="D214" s="4">
        <v>10</v>
      </c>
      <c r="E214" s="4">
        <v>30</v>
      </c>
      <c r="F214" s="4">
        <v>70</v>
      </c>
    </row>
    <row r="215" spans="1:6" x14ac:dyDescent="0.35">
      <c r="A215" s="16">
        <v>11</v>
      </c>
      <c r="B215" s="11">
        <v>4</v>
      </c>
      <c r="D215" s="4">
        <v>10</v>
      </c>
      <c r="E215" s="4">
        <v>30</v>
      </c>
      <c r="F215" s="4">
        <v>70</v>
      </c>
    </row>
    <row r="216" spans="1:6" x14ac:dyDescent="0.35">
      <c r="A216" s="16">
        <v>11</v>
      </c>
      <c r="B216" s="11">
        <v>5</v>
      </c>
      <c r="D216" s="4">
        <v>7</v>
      </c>
      <c r="E216" s="4">
        <v>25</v>
      </c>
      <c r="F216" s="4">
        <v>50</v>
      </c>
    </row>
    <row r="217" spans="1:6" x14ac:dyDescent="0.35">
      <c r="A217" s="16">
        <v>11</v>
      </c>
      <c r="B217" s="11">
        <v>6</v>
      </c>
      <c r="D217" s="4">
        <v>5</v>
      </c>
      <c r="E217" s="4">
        <v>20</v>
      </c>
      <c r="F217" s="4">
        <v>35</v>
      </c>
    </row>
    <row r="218" spans="1:6" x14ac:dyDescent="0.35">
      <c r="A218" s="16">
        <v>11</v>
      </c>
      <c r="B218" s="11">
        <v>7</v>
      </c>
      <c r="D218" s="4">
        <v>2</v>
      </c>
      <c r="E218" s="4">
        <v>5</v>
      </c>
      <c r="F218" s="4">
        <v>10</v>
      </c>
    </row>
    <row r="219" spans="1:6" x14ac:dyDescent="0.35">
      <c r="A219" s="16">
        <v>11</v>
      </c>
      <c r="B219" s="11">
        <v>8</v>
      </c>
      <c r="D219" s="4">
        <v>2</v>
      </c>
      <c r="E219" s="4">
        <v>10</v>
      </c>
      <c r="F219" s="4">
        <v>20</v>
      </c>
    </row>
    <row r="220" spans="1:6" x14ac:dyDescent="0.35">
      <c r="A220" s="16">
        <v>11</v>
      </c>
      <c r="B220" s="11">
        <v>9</v>
      </c>
      <c r="D220" s="4">
        <v>10</v>
      </c>
      <c r="E220" s="4">
        <v>50</v>
      </c>
      <c r="F220" s="4">
        <v>100</v>
      </c>
    </row>
    <row r="221" spans="1:6" x14ac:dyDescent="0.35">
      <c r="A221" s="16">
        <v>11</v>
      </c>
      <c r="B221" s="11">
        <v>10</v>
      </c>
      <c r="D221" s="4">
        <v>1</v>
      </c>
      <c r="E221" s="4">
        <v>5</v>
      </c>
      <c r="F221" s="4">
        <v>10</v>
      </c>
    </row>
    <row r="222" spans="1:6" x14ac:dyDescent="0.35">
      <c r="A222" s="16">
        <v>11</v>
      </c>
      <c r="B222" s="11">
        <v>11</v>
      </c>
      <c r="D222" s="4">
        <v>1</v>
      </c>
      <c r="E222" s="4">
        <v>5</v>
      </c>
      <c r="F222" s="4">
        <v>10</v>
      </c>
    </row>
    <row r="223" spans="1:6" x14ac:dyDescent="0.35">
      <c r="A223" s="16">
        <v>11</v>
      </c>
      <c r="B223" s="11">
        <v>12</v>
      </c>
      <c r="D223" s="4">
        <v>3</v>
      </c>
      <c r="E223" s="4">
        <v>10</v>
      </c>
      <c r="F223" s="4">
        <v>25</v>
      </c>
    </row>
    <row r="224" spans="1:6" x14ac:dyDescent="0.35">
      <c r="A224" s="16">
        <v>11</v>
      </c>
      <c r="B224" s="11">
        <v>13</v>
      </c>
      <c r="D224" s="4">
        <v>1</v>
      </c>
      <c r="E224" s="4">
        <v>5</v>
      </c>
      <c r="F224" s="4">
        <v>9</v>
      </c>
    </row>
    <row r="225" spans="1:6" x14ac:dyDescent="0.35">
      <c r="A225" s="16">
        <v>11</v>
      </c>
      <c r="B225" s="11">
        <v>14</v>
      </c>
      <c r="D225" s="4">
        <v>3</v>
      </c>
      <c r="E225" s="4">
        <v>5</v>
      </c>
      <c r="F225" s="4">
        <v>10</v>
      </c>
    </row>
    <row r="226" spans="1:6" x14ac:dyDescent="0.35">
      <c r="A226" s="16">
        <v>11</v>
      </c>
      <c r="B226" s="11">
        <v>15</v>
      </c>
      <c r="D226" s="4">
        <v>3</v>
      </c>
      <c r="E226" s="4">
        <v>7</v>
      </c>
      <c r="F226" s="4">
        <v>12</v>
      </c>
    </row>
    <row r="227" spans="1:6" x14ac:dyDescent="0.35">
      <c r="A227" s="16">
        <v>11</v>
      </c>
      <c r="B227" s="11">
        <v>16</v>
      </c>
      <c r="D227" s="4">
        <v>5</v>
      </c>
      <c r="E227" s="4">
        <v>15</v>
      </c>
      <c r="F227" s="4">
        <v>30</v>
      </c>
    </row>
    <row r="228" spans="1:6" x14ac:dyDescent="0.35">
      <c r="A228" s="16">
        <v>11</v>
      </c>
      <c r="B228" s="11">
        <v>17</v>
      </c>
      <c r="D228" s="4">
        <v>3</v>
      </c>
      <c r="E228" s="4">
        <v>7</v>
      </c>
      <c r="F228" s="4">
        <v>15</v>
      </c>
    </row>
    <row r="229" spans="1:6" x14ac:dyDescent="0.35">
      <c r="A229" s="16">
        <v>11</v>
      </c>
      <c r="B229" s="11">
        <v>18</v>
      </c>
      <c r="D229" s="4">
        <v>20</v>
      </c>
      <c r="E229" s="4">
        <v>50</v>
      </c>
      <c r="F229" s="4">
        <v>100</v>
      </c>
    </row>
    <row r="230" spans="1:6" x14ac:dyDescent="0.35">
      <c r="A230" s="16">
        <v>11</v>
      </c>
      <c r="B230" s="11">
        <v>19</v>
      </c>
      <c r="D230" s="4">
        <v>20</v>
      </c>
      <c r="E230" s="4">
        <v>50</v>
      </c>
      <c r="F230" s="4">
        <v>100</v>
      </c>
    </row>
    <row r="231" spans="1:6" x14ac:dyDescent="0.35">
      <c r="A231" s="16">
        <v>11</v>
      </c>
      <c r="B231" s="11">
        <v>20</v>
      </c>
      <c r="D231" s="4">
        <v>25</v>
      </c>
      <c r="E231" s="4">
        <v>50</v>
      </c>
      <c r="F231" s="4">
        <v>150</v>
      </c>
    </row>
    <row r="232" spans="1:6" x14ac:dyDescent="0.35">
      <c r="A232" s="16">
        <v>11</v>
      </c>
      <c r="B232" s="11">
        <v>21</v>
      </c>
      <c r="D232" s="4">
        <v>20</v>
      </c>
      <c r="E232" s="4">
        <v>30</v>
      </c>
      <c r="F232" s="4">
        <v>100</v>
      </c>
    </row>
    <row r="233" spans="1:6" x14ac:dyDescent="0.35">
      <c r="A233" s="16">
        <v>12</v>
      </c>
      <c r="B233" s="11">
        <v>1</v>
      </c>
      <c r="D233" s="4">
        <v>80</v>
      </c>
      <c r="E233" s="4">
        <v>120</v>
      </c>
      <c r="F233" s="4">
        <v>200</v>
      </c>
    </row>
    <row r="234" spans="1:6" x14ac:dyDescent="0.35">
      <c r="A234" s="16">
        <v>12</v>
      </c>
      <c r="B234" s="11">
        <v>2</v>
      </c>
      <c r="D234" s="4">
        <v>150</v>
      </c>
      <c r="E234" s="4">
        <v>300</v>
      </c>
      <c r="F234" s="4">
        <v>450</v>
      </c>
    </row>
    <row r="235" spans="1:6" x14ac:dyDescent="0.35">
      <c r="A235" s="16">
        <v>12</v>
      </c>
      <c r="B235" s="11">
        <v>3</v>
      </c>
      <c r="D235" s="4">
        <v>200</v>
      </c>
      <c r="E235" s="4">
        <v>520</v>
      </c>
      <c r="F235" s="4">
        <v>800</v>
      </c>
    </row>
    <row r="236" spans="1:6" x14ac:dyDescent="0.35">
      <c r="A236" s="16">
        <v>12</v>
      </c>
      <c r="B236" s="11">
        <v>4</v>
      </c>
      <c r="D236" s="4">
        <v>13</v>
      </c>
      <c r="E236" s="4">
        <v>18</v>
      </c>
      <c r="F236" s="4">
        <v>28</v>
      </c>
    </row>
    <row r="237" spans="1:6" x14ac:dyDescent="0.35">
      <c r="A237" s="16">
        <v>12</v>
      </c>
      <c r="B237" s="11">
        <v>5</v>
      </c>
      <c r="D237" s="4">
        <v>20</v>
      </c>
      <c r="E237" s="4">
        <v>30</v>
      </c>
      <c r="F237" s="4">
        <v>50</v>
      </c>
    </row>
    <row r="238" spans="1:6" x14ac:dyDescent="0.35">
      <c r="A238" s="16">
        <v>12</v>
      </c>
      <c r="B238" s="11">
        <v>6</v>
      </c>
      <c r="D238" s="4">
        <v>5</v>
      </c>
      <c r="E238" s="4">
        <v>40</v>
      </c>
      <c r="F238" s="4">
        <v>65</v>
      </c>
    </row>
    <row r="239" spans="1:6" x14ac:dyDescent="0.35">
      <c r="A239" s="16">
        <v>12</v>
      </c>
      <c r="B239" s="11">
        <v>7</v>
      </c>
      <c r="D239" s="4">
        <v>18</v>
      </c>
      <c r="E239" s="4">
        <v>25</v>
      </c>
      <c r="F239" s="4">
        <v>32</v>
      </c>
    </row>
    <row r="240" spans="1:6" x14ac:dyDescent="0.35">
      <c r="A240" s="16">
        <v>12</v>
      </c>
      <c r="B240" s="11">
        <v>8</v>
      </c>
      <c r="D240" s="4">
        <v>12</v>
      </c>
      <c r="E240" s="4">
        <v>18</v>
      </c>
      <c r="F240" s="4">
        <v>24</v>
      </c>
    </row>
    <row r="241" spans="1:6" x14ac:dyDescent="0.35">
      <c r="A241" s="16">
        <v>12</v>
      </c>
      <c r="B241" s="11">
        <v>9</v>
      </c>
      <c r="D241" s="4">
        <v>-200</v>
      </c>
      <c r="E241" s="4">
        <v>-105</v>
      </c>
      <c r="F241" s="4">
        <v>50</v>
      </c>
    </row>
    <row r="242" spans="1:6" x14ac:dyDescent="0.35">
      <c r="A242" s="16">
        <v>12</v>
      </c>
      <c r="B242" s="11">
        <v>10</v>
      </c>
      <c r="D242" s="4">
        <v>140</v>
      </c>
      <c r="E242" s="4">
        <v>180</v>
      </c>
      <c r="F242" s="4">
        <v>250</v>
      </c>
    </row>
    <row r="243" spans="1:6" x14ac:dyDescent="0.35">
      <c r="A243" s="16">
        <v>12</v>
      </c>
      <c r="B243" s="11">
        <v>11</v>
      </c>
      <c r="D243" s="4">
        <v>150</v>
      </c>
      <c r="E243" s="4">
        <v>230</v>
      </c>
      <c r="F243" s="4">
        <v>400</v>
      </c>
    </row>
    <row r="244" spans="1:6" x14ac:dyDescent="0.35">
      <c r="A244" s="16">
        <v>12</v>
      </c>
      <c r="B244" s="11">
        <v>12</v>
      </c>
      <c r="D244" s="4">
        <v>120</v>
      </c>
      <c r="E244" s="4">
        <v>310</v>
      </c>
      <c r="F244" s="4">
        <v>500</v>
      </c>
    </row>
    <row r="245" spans="1:6" x14ac:dyDescent="0.35">
      <c r="A245" s="16">
        <v>12</v>
      </c>
      <c r="B245" s="11">
        <v>13</v>
      </c>
      <c r="D245" s="4">
        <v>20</v>
      </c>
      <c r="E245" s="4">
        <v>40</v>
      </c>
      <c r="F245" s="4">
        <v>65</v>
      </c>
    </row>
    <row r="246" spans="1:6" x14ac:dyDescent="0.35">
      <c r="A246" s="16">
        <v>12</v>
      </c>
      <c r="B246" s="11">
        <v>14</v>
      </c>
      <c r="D246" s="4">
        <v>50</v>
      </c>
      <c r="E246" s="4">
        <v>70</v>
      </c>
      <c r="F246" s="4">
        <v>120</v>
      </c>
    </row>
    <row r="247" spans="1:6" x14ac:dyDescent="0.35">
      <c r="A247" s="16">
        <v>12</v>
      </c>
      <c r="B247" s="11">
        <v>15</v>
      </c>
      <c r="D247" s="4">
        <v>40</v>
      </c>
      <c r="E247" s="4">
        <v>90</v>
      </c>
      <c r="F247" s="4">
        <v>120</v>
      </c>
    </row>
    <row r="248" spans="1:6" x14ac:dyDescent="0.35">
      <c r="A248" s="16">
        <v>12</v>
      </c>
      <c r="B248" s="11">
        <v>16</v>
      </c>
      <c r="D248" s="4">
        <v>75</v>
      </c>
      <c r="E248" s="4">
        <v>90</v>
      </c>
      <c r="F248" s="4">
        <v>130</v>
      </c>
    </row>
    <row r="249" spans="1:6" x14ac:dyDescent="0.35">
      <c r="A249" s="16">
        <v>12</v>
      </c>
      <c r="B249" s="11">
        <v>17</v>
      </c>
      <c r="D249" s="4">
        <v>10</v>
      </c>
      <c r="E249" s="4">
        <v>20</v>
      </c>
      <c r="F249" s="4">
        <v>40</v>
      </c>
    </row>
    <row r="250" spans="1:6" x14ac:dyDescent="0.35">
      <c r="A250" s="16">
        <v>12</v>
      </c>
      <c r="B250" s="11">
        <v>18</v>
      </c>
      <c r="D250" s="4">
        <v>20</v>
      </c>
      <c r="E250" s="4">
        <v>30</v>
      </c>
      <c r="F250" s="4">
        <v>70</v>
      </c>
    </row>
    <row r="251" spans="1:6" x14ac:dyDescent="0.35">
      <c r="A251" s="16">
        <v>12</v>
      </c>
      <c r="B251" s="11">
        <v>19</v>
      </c>
      <c r="D251" s="4">
        <v>80</v>
      </c>
      <c r="E251" s="4">
        <v>150</v>
      </c>
      <c r="F251" s="4">
        <v>240</v>
      </c>
    </row>
    <row r="252" spans="1:6" x14ac:dyDescent="0.35">
      <c r="A252" s="16">
        <v>12</v>
      </c>
      <c r="B252" s="11">
        <v>20</v>
      </c>
      <c r="D252" s="4">
        <v>10</v>
      </c>
      <c r="E252" s="4">
        <v>20</v>
      </c>
      <c r="F252" s="4">
        <v>45</v>
      </c>
    </row>
    <row r="253" spans="1:6" x14ac:dyDescent="0.35">
      <c r="A253" s="16">
        <v>12</v>
      </c>
      <c r="B253" s="11">
        <v>21</v>
      </c>
      <c r="D253" s="4">
        <v>5</v>
      </c>
      <c r="E253" s="4">
        <v>10</v>
      </c>
      <c r="F253" s="4">
        <v>30</v>
      </c>
    </row>
    <row r="254" spans="1:6" x14ac:dyDescent="0.35">
      <c r="A254" s="16">
        <v>13</v>
      </c>
      <c r="B254" s="11">
        <v>1</v>
      </c>
      <c r="D254" s="4">
        <v>20</v>
      </c>
      <c r="E254" s="4">
        <v>85</v>
      </c>
      <c r="F254" s="4">
        <v>100</v>
      </c>
    </row>
    <row r="255" spans="1:6" x14ac:dyDescent="0.35">
      <c r="A255" s="16">
        <v>13</v>
      </c>
      <c r="B255" s="11">
        <v>2</v>
      </c>
      <c r="D255" s="4">
        <v>100</v>
      </c>
      <c r="E255" s="4">
        <v>313</v>
      </c>
      <c r="F255" s="4">
        <v>400</v>
      </c>
    </row>
    <row r="256" spans="1:6" x14ac:dyDescent="0.35">
      <c r="A256" s="16">
        <v>13</v>
      </c>
      <c r="B256" s="11">
        <v>3</v>
      </c>
      <c r="D256" s="4">
        <v>40</v>
      </c>
      <c r="E256" s="4">
        <v>100</v>
      </c>
      <c r="F256" s="4">
        <v>150</v>
      </c>
    </row>
    <row r="257" spans="1:6" x14ac:dyDescent="0.35">
      <c r="A257" s="16">
        <v>13</v>
      </c>
      <c r="B257" s="11">
        <v>4</v>
      </c>
      <c r="D257" s="4">
        <v>5</v>
      </c>
      <c r="E257" s="4">
        <v>80</v>
      </c>
      <c r="F257" s="4">
        <v>100</v>
      </c>
    </row>
    <row r="258" spans="1:6" x14ac:dyDescent="0.35">
      <c r="A258" s="16">
        <v>13</v>
      </c>
      <c r="B258" s="11">
        <v>5</v>
      </c>
      <c r="D258" s="4">
        <v>15</v>
      </c>
      <c r="E258" s="4">
        <v>80</v>
      </c>
      <c r="F258" s="4">
        <v>120</v>
      </c>
    </row>
    <row r="259" spans="1:6" x14ac:dyDescent="0.35">
      <c r="A259" s="16">
        <v>13</v>
      </c>
      <c r="B259" s="11">
        <v>6</v>
      </c>
      <c r="D259" s="4">
        <v>20</v>
      </c>
      <c r="E259" s="4">
        <v>75</v>
      </c>
      <c r="F259" s="4">
        <v>100</v>
      </c>
    </row>
    <row r="260" spans="1:6" x14ac:dyDescent="0.35">
      <c r="A260" s="16">
        <v>13</v>
      </c>
      <c r="B260" s="11">
        <v>7</v>
      </c>
      <c r="D260" s="4">
        <v>10</v>
      </c>
      <c r="E260" s="4">
        <v>15</v>
      </c>
      <c r="F260" s="4">
        <v>25</v>
      </c>
    </row>
    <row r="261" spans="1:6" x14ac:dyDescent="0.35">
      <c r="A261" s="16">
        <v>13</v>
      </c>
      <c r="B261" s="11">
        <v>8</v>
      </c>
      <c r="D261" s="4">
        <v>3</v>
      </c>
      <c r="E261" s="4">
        <v>7</v>
      </c>
      <c r="F261" s="4">
        <v>15</v>
      </c>
    </row>
    <row r="262" spans="1:6" x14ac:dyDescent="0.35">
      <c r="A262" s="16">
        <v>13</v>
      </c>
      <c r="B262" s="11">
        <v>9</v>
      </c>
      <c r="D262" s="4">
        <v>-5</v>
      </c>
      <c r="E262" s="4">
        <v>3</v>
      </c>
      <c r="F262" s="4">
        <v>12</v>
      </c>
    </row>
    <row r="263" spans="1:6" x14ac:dyDescent="0.35">
      <c r="A263" s="16">
        <v>13</v>
      </c>
      <c r="B263" s="11">
        <v>10</v>
      </c>
      <c r="D263" s="4">
        <v>5</v>
      </c>
      <c r="E263" s="4">
        <v>13</v>
      </c>
      <c r="F263" s="4">
        <v>20</v>
      </c>
    </row>
    <row r="264" spans="1:6" x14ac:dyDescent="0.35">
      <c r="A264" s="16">
        <v>13</v>
      </c>
      <c r="B264" s="11">
        <v>11</v>
      </c>
      <c r="D264" s="4">
        <v>20</v>
      </c>
      <c r="E264" s="4">
        <v>40</v>
      </c>
      <c r="F264" s="4">
        <v>80</v>
      </c>
    </row>
    <row r="265" spans="1:6" x14ac:dyDescent="0.35">
      <c r="A265" s="16">
        <v>13</v>
      </c>
      <c r="B265" s="11">
        <v>12</v>
      </c>
      <c r="D265" s="4">
        <v>20</v>
      </c>
      <c r="E265" s="4">
        <v>30</v>
      </c>
      <c r="F265" s="4">
        <v>60</v>
      </c>
    </row>
    <row r="266" spans="1:6" x14ac:dyDescent="0.35">
      <c r="A266" s="16">
        <v>13</v>
      </c>
      <c r="B266" s="11">
        <v>13</v>
      </c>
      <c r="D266" s="4">
        <v>3</v>
      </c>
      <c r="E266" s="4">
        <v>5</v>
      </c>
      <c r="F266" s="4">
        <v>10</v>
      </c>
    </row>
    <row r="267" spans="1:6" x14ac:dyDescent="0.35">
      <c r="A267" s="16">
        <v>13</v>
      </c>
      <c r="B267" s="11">
        <v>14</v>
      </c>
      <c r="D267" s="4">
        <v>10</v>
      </c>
      <c r="E267" s="4">
        <v>20</v>
      </c>
      <c r="F267" s="4">
        <v>27</v>
      </c>
    </row>
    <row r="268" spans="1:6" x14ac:dyDescent="0.35">
      <c r="A268" s="16">
        <v>13</v>
      </c>
      <c r="B268" s="11">
        <v>15</v>
      </c>
      <c r="D268" s="4">
        <v>2</v>
      </c>
      <c r="E268" s="4">
        <v>11</v>
      </c>
      <c r="F268" s="4">
        <v>15</v>
      </c>
    </row>
    <row r="269" spans="1:6" x14ac:dyDescent="0.35">
      <c r="A269" s="16">
        <v>13</v>
      </c>
      <c r="B269" s="11">
        <v>16</v>
      </c>
      <c r="D269" s="4">
        <v>7</v>
      </c>
      <c r="E269" s="4">
        <v>10</v>
      </c>
      <c r="F269" s="4">
        <v>17</v>
      </c>
    </row>
    <row r="270" spans="1:6" x14ac:dyDescent="0.35">
      <c r="A270" s="16">
        <v>13</v>
      </c>
      <c r="B270" s="11">
        <v>17</v>
      </c>
      <c r="D270" s="4">
        <v>5</v>
      </c>
      <c r="E270" s="4">
        <v>10</v>
      </c>
      <c r="F270" s="4">
        <v>15</v>
      </c>
    </row>
    <row r="271" spans="1:6" x14ac:dyDescent="0.35">
      <c r="A271" s="16">
        <v>13</v>
      </c>
      <c r="B271" s="11">
        <v>18</v>
      </c>
      <c r="D271" s="4">
        <v>63</v>
      </c>
      <c r="E271" s="4">
        <v>175</v>
      </c>
      <c r="F271" s="4">
        <v>200</v>
      </c>
    </row>
    <row r="272" spans="1:6" x14ac:dyDescent="0.35">
      <c r="A272" s="16">
        <v>13</v>
      </c>
      <c r="B272" s="11">
        <v>19</v>
      </c>
      <c r="D272" s="4">
        <v>80</v>
      </c>
      <c r="E272" s="4">
        <v>200</v>
      </c>
      <c r="F272" s="4">
        <v>300</v>
      </c>
    </row>
    <row r="273" spans="1:6" x14ac:dyDescent="0.35">
      <c r="A273" s="16">
        <v>13</v>
      </c>
      <c r="B273" s="11">
        <v>20</v>
      </c>
      <c r="D273" s="4">
        <v>2</v>
      </c>
      <c r="E273" s="4">
        <v>6</v>
      </c>
      <c r="F273" s="4">
        <v>11</v>
      </c>
    </row>
    <row r="274" spans="1:6" x14ac:dyDescent="0.35">
      <c r="A274" s="16">
        <v>13</v>
      </c>
      <c r="B274" s="11">
        <v>21</v>
      </c>
      <c r="D274" s="4">
        <v>1</v>
      </c>
      <c r="E274" s="4">
        <v>4</v>
      </c>
      <c r="F274" s="4">
        <v>7</v>
      </c>
    </row>
    <row r="275" spans="1:6" x14ac:dyDescent="0.35">
      <c r="A275" s="16">
        <v>14</v>
      </c>
      <c r="B275" s="11">
        <v>1</v>
      </c>
      <c r="D275" s="4">
        <v>25</v>
      </c>
      <c r="E275" s="4">
        <v>45</v>
      </c>
      <c r="F275" s="4">
        <v>62</v>
      </c>
    </row>
    <row r="276" spans="1:6" x14ac:dyDescent="0.35">
      <c r="A276" s="16">
        <v>14</v>
      </c>
      <c r="B276" s="11">
        <v>2</v>
      </c>
      <c r="D276" s="4">
        <v>42</v>
      </c>
      <c r="E276" s="4">
        <v>65</v>
      </c>
      <c r="F276" s="4">
        <v>88</v>
      </c>
    </row>
    <row r="277" spans="1:6" x14ac:dyDescent="0.35">
      <c r="A277" s="16">
        <v>14</v>
      </c>
      <c r="B277" s="11">
        <v>3</v>
      </c>
      <c r="D277" s="4">
        <v>30</v>
      </c>
      <c r="E277" s="4">
        <v>42</v>
      </c>
      <c r="F277" s="4">
        <v>60</v>
      </c>
    </row>
    <row r="278" spans="1:6" x14ac:dyDescent="0.35">
      <c r="A278" s="16">
        <v>14</v>
      </c>
      <c r="B278" s="11">
        <v>4</v>
      </c>
      <c r="D278" s="4">
        <v>80</v>
      </c>
      <c r="E278" s="4">
        <v>140</v>
      </c>
      <c r="F278" s="4">
        <v>180</v>
      </c>
    </row>
    <row r="279" spans="1:6" x14ac:dyDescent="0.35">
      <c r="A279" s="16">
        <v>14</v>
      </c>
      <c r="B279" s="11">
        <v>5</v>
      </c>
      <c r="D279" s="4">
        <v>120</v>
      </c>
      <c r="E279" s="4">
        <v>180</v>
      </c>
      <c r="F279" s="4">
        <v>220</v>
      </c>
    </row>
    <row r="280" spans="1:6" x14ac:dyDescent="0.35">
      <c r="A280" s="16">
        <v>14</v>
      </c>
      <c r="B280" s="11">
        <v>6</v>
      </c>
      <c r="D280" s="4">
        <v>180</v>
      </c>
      <c r="E280" s="4">
        <v>285</v>
      </c>
      <c r="F280" s="4">
        <v>340</v>
      </c>
    </row>
    <row r="281" spans="1:6" x14ac:dyDescent="0.35">
      <c r="A281" s="16">
        <v>14</v>
      </c>
      <c r="B281" s="11">
        <v>7</v>
      </c>
      <c r="D281" s="4">
        <v>8</v>
      </c>
      <c r="E281" s="4">
        <v>12</v>
      </c>
      <c r="F281" s="4">
        <v>25</v>
      </c>
    </row>
    <row r="282" spans="1:6" x14ac:dyDescent="0.35">
      <c r="A282" s="16">
        <v>14</v>
      </c>
      <c r="B282" s="11">
        <v>8</v>
      </c>
      <c r="D282" s="4">
        <v>10</v>
      </c>
      <c r="E282" s="4">
        <v>15</v>
      </c>
      <c r="F282" s="4">
        <v>25</v>
      </c>
    </row>
    <row r="283" spans="1:6" x14ac:dyDescent="0.35">
      <c r="A283" s="16">
        <v>14</v>
      </c>
      <c r="B283" s="11">
        <v>9</v>
      </c>
      <c r="D283" s="4">
        <v>60</v>
      </c>
      <c r="E283" s="4">
        <v>95</v>
      </c>
      <c r="F283" s="4">
        <v>145</v>
      </c>
    </row>
    <row r="284" spans="1:6" x14ac:dyDescent="0.35">
      <c r="A284" s="16">
        <v>14</v>
      </c>
      <c r="B284" s="11">
        <v>10</v>
      </c>
      <c r="D284" s="4">
        <v>0</v>
      </c>
      <c r="E284" s="4">
        <v>4</v>
      </c>
      <c r="F284" s="4">
        <v>12</v>
      </c>
    </row>
    <row r="285" spans="1:6" x14ac:dyDescent="0.35">
      <c r="A285" s="16">
        <v>14</v>
      </c>
      <c r="B285" s="11">
        <v>11</v>
      </c>
      <c r="D285" s="4">
        <v>25</v>
      </c>
      <c r="E285" s="4">
        <v>30</v>
      </c>
      <c r="F285" s="4">
        <v>45</v>
      </c>
    </row>
    <row r="286" spans="1:6" x14ac:dyDescent="0.35">
      <c r="A286" s="16">
        <v>14</v>
      </c>
      <c r="B286" s="11">
        <v>12</v>
      </c>
      <c r="D286" s="4">
        <v>140</v>
      </c>
      <c r="E286" s="4">
        <v>240</v>
      </c>
      <c r="F286" s="4">
        <v>320</v>
      </c>
    </row>
    <row r="287" spans="1:6" x14ac:dyDescent="0.35">
      <c r="A287" s="16">
        <v>14</v>
      </c>
      <c r="B287" s="11">
        <v>13</v>
      </c>
      <c r="D287" s="4">
        <v>5</v>
      </c>
      <c r="E287" s="4">
        <v>15</v>
      </c>
      <c r="F287" s="4">
        <v>20</v>
      </c>
    </row>
    <row r="288" spans="1:6" x14ac:dyDescent="0.35">
      <c r="A288" s="16">
        <v>14</v>
      </c>
      <c r="B288" s="11">
        <v>14</v>
      </c>
      <c r="D288" s="4">
        <v>8</v>
      </c>
      <c r="E288" s="4">
        <v>12</v>
      </c>
      <c r="F288" s="4">
        <v>22</v>
      </c>
    </row>
    <row r="289" spans="1:6" x14ac:dyDescent="0.35">
      <c r="A289" s="16">
        <v>14</v>
      </c>
      <c r="B289" s="11">
        <v>15</v>
      </c>
      <c r="D289" s="4">
        <v>6</v>
      </c>
      <c r="E289" s="4">
        <v>8</v>
      </c>
      <c r="F289" s="4">
        <v>18</v>
      </c>
    </row>
    <row r="290" spans="1:6" x14ac:dyDescent="0.35">
      <c r="A290" s="16">
        <v>14</v>
      </c>
      <c r="B290" s="11">
        <v>16</v>
      </c>
      <c r="D290" s="4">
        <v>30</v>
      </c>
      <c r="E290" s="4">
        <v>35</v>
      </c>
      <c r="F290" s="4">
        <v>55</v>
      </c>
    </row>
    <row r="291" spans="1:6" x14ac:dyDescent="0.35">
      <c r="A291" s="16">
        <v>14</v>
      </c>
      <c r="B291" s="11">
        <v>17</v>
      </c>
      <c r="D291" s="4">
        <v>0</v>
      </c>
      <c r="E291" s="4">
        <v>4</v>
      </c>
      <c r="F291" s="4">
        <v>12</v>
      </c>
    </row>
    <row r="292" spans="1:6" x14ac:dyDescent="0.35">
      <c r="A292" s="16">
        <v>14</v>
      </c>
      <c r="B292" s="11">
        <v>18</v>
      </c>
      <c r="D292" s="4">
        <v>70</v>
      </c>
      <c r="E292" s="4">
        <v>95</v>
      </c>
      <c r="F292" s="4">
        <v>125</v>
      </c>
    </row>
    <row r="293" spans="1:6" x14ac:dyDescent="0.35">
      <c r="A293" s="16">
        <v>14</v>
      </c>
      <c r="B293" s="11">
        <v>19</v>
      </c>
      <c r="D293" s="4">
        <v>60</v>
      </c>
      <c r="E293" s="4">
        <v>85</v>
      </c>
      <c r="F293" s="4">
        <v>105</v>
      </c>
    </row>
    <row r="294" spans="1:6" x14ac:dyDescent="0.35">
      <c r="A294" s="16">
        <v>14</v>
      </c>
      <c r="B294" s="11">
        <v>20</v>
      </c>
      <c r="D294" s="4">
        <v>45</v>
      </c>
      <c r="E294" s="4">
        <v>60</v>
      </c>
      <c r="F294" s="4">
        <v>95</v>
      </c>
    </row>
    <row r="295" spans="1:6" x14ac:dyDescent="0.35">
      <c r="A295" s="16">
        <v>14</v>
      </c>
      <c r="B295" s="11">
        <v>21</v>
      </c>
      <c r="D295" s="4">
        <v>20</v>
      </c>
      <c r="E295" s="4">
        <v>35</v>
      </c>
      <c r="F295" s="4">
        <v>60</v>
      </c>
    </row>
    <row r="296" spans="1:6" x14ac:dyDescent="0.35">
      <c r="A296" s="16">
        <v>15</v>
      </c>
      <c r="B296" s="11">
        <v>1</v>
      </c>
      <c r="D296" s="4">
        <v>6</v>
      </c>
      <c r="E296" s="4">
        <v>11</v>
      </c>
      <c r="F296" s="4">
        <v>17</v>
      </c>
    </row>
    <row r="297" spans="1:6" x14ac:dyDescent="0.35">
      <c r="A297" s="16">
        <v>15</v>
      </c>
      <c r="B297" s="11">
        <v>2</v>
      </c>
      <c r="D297" s="4">
        <v>4</v>
      </c>
      <c r="E297" s="4">
        <v>15</v>
      </c>
      <c r="F297" s="4">
        <v>20</v>
      </c>
    </row>
    <row r="298" spans="1:6" x14ac:dyDescent="0.35">
      <c r="A298" s="16">
        <v>15</v>
      </c>
      <c r="B298" s="11">
        <v>3</v>
      </c>
      <c r="D298" s="4">
        <v>15</v>
      </c>
      <c r="E298" s="4">
        <v>38</v>
      </c>
      <c r="F298" s="4">
        <v>53</v>
      </c>
    </row>
    <row r="299" spans="1:6" x14ac:dyDescent="0.35">
      <c r="A299" s="16">
        <v>15</v>
      </c>
      <c r="B299" s="11">
        <v>4</v>
      </c>
      <c r="D299" s="4">
        <v>3</v>
      </c>
      <c r="E299" s="4">
        <v>6</v>
      </c>
      <c r="F299" s="4">
        <v>8</v>
      </c>
    </row>
    <row r="300" spans="1:6" x14ac:dyDescent="0.35">
      <c r="A300" s="16">
        <v>15</v>
      </c>
      <c r="B300" s="11">
        <v>5</v>
      </c>
      <c r="D300" s="4">
        <v>5</v>
      </c>
      <c r="E300" s="4">
        <v>11</v>
      </c>
      <c r="F300" s="4">
        <v>19</v>
      </c>
    </row>
    <row r="301" spans="1:6" x14ac:dyDescent="0.35">
      <c r="A301" s="16">
        <v>15</v>
      </c>
      <c r="B301" s="11">
        <v>6</v>
      </c>
      <c r="D301" s="4">
        <v>10</v>
      </c>
      <c r="E301" s="4">
        <v>20</v>
      </c>
      <c r="F301" s="4">
        <v>31</v>
      </c>
    </row>
    <row r="302" spans="1:6" x14ac:dyDescent="0.35">
      <c r="A302" s="16">
        <v>15</v>
      </c>
      <c r="B302" s="11">
        <v>7</v>
      </c>
      <c r="D302" s="4">
        <v>20</v>
      </c>
      <c r="E302" s="4">
        <v>80</v>
      </c>
      <c r="F302" s="4">
        <v>96</v>
      </c>
    </row>
    <row r="303" spans="1:6" x14ac:dyDescent="0.35">
      <c r="A303" s="16">
        <v>15</v>
      </c>
      <c r="B303" s="11">
        <v>8</v>
      </c>
      <c r="D303" s="4">
        <v>6</v>
      </c>
      <c r="E303" s="4">
        <v>15</v>
      </c>
      <c r="F303" s="4">
        <v>20</v>
      </c>
    </row>
    <row r="304" spans="1:6" x14ac:dyDescent="0.35">
      <c r="A304" s="16">
        <v>15</v>
      </c>
      <c r="B304" s="11">
        <v>9</v>
      </c>
      <c r="D304" s="4">
        <v>5</v>
      </c>
      <c r="E304" s="4">
        <v>12</v>
      </c>
      <c r="F304" s="4">
        <v>20</v>
      </c>
    </row>
    <row r="305" spans="1:6" x14ac:dyDescent="0.35">
      <c r="A305" s="16">
        <v>15</v>
      </c>
      <c r="B305" s="11">
        <v>10</v>
      </c>
      <c r="D305" s="4">
        <v>8</v>
      </c>
      <c r="E305" s="4">
        <v>18</v>
      </c>
      <c r="F305" s="4">
        <v>22</v>
      </c>
    </row>
    <row r="306" spans="1:6" x14ac:dyDescent="0.35">
      <c r="A306" s="16">
        <v>15</v>
      </c>
      <c r="B306" s="11">
        <v>11</v>
      </c>
      <c r="D306" s="4">
        <v>4</v>
      </c>
      <c r="E306" s="4">
        <v>9</v>
      </c>
      <c r="F306" s="4">
        <v>19</v>
      </c>
    </row>
    <row r="307" spans="1:6" x14ac:dyDescent="0.35">
      <c r="A307" s="16">
        <v>15</v>
      </c>
      <c r="B307" s="11">
        <v>12</v>
      </c>
      <c r="D307" s="4">
        <v>32</v>
      </c>
      <c r="E307" s="4">
        <v>50</v>
      </c>
      <c r="F307" s="4">
        <v>76</v>
      </c>
    </row>
    <row r="308" spans="1:6" x14ac:dyDescent="0.35">
      <c r="A308" s="16">
        <v>15</v>
      </c>
      <c r="B308" s="11">
        <v>13</v>
      </c>
      <c r="D308" s="4">
        <v>4</v>
      </c>
      <c r="E308" s="4">
        <v>7</v>
      </c>
      <c r="F308" s="4">
        <v>12</v>
      </c>
    </row>
    <row r="309" spans="1:6" x14ac:dyDescent="0.35">
      <c r="A309" s="16">
        <v>15</v>
      </c>
      <c r="B309" s="11">
        <v>14</v>
      </c>
      <c r="D309" s="4">
        <v>20</v>
      </c>
      <c r="E309" s="4">
        <v>34</v>
      </c>
      <c r="F309" s="4">
        <v>58</v>
      </c>
    </row>
    <row r="310" spans="1:6" x14ac:dyDescent="0.35">
      <c r="A310" s="16">
        <v>15</v>
      </c>
      <c r="B310" s="11">
        <v>15</v>
      </c>
      <c r="D310" s="4">
        <v>4</v>
      </c>
      <c r="E310" s="4">
        <v>7</v>
      </c>
      <c r="F310" s="4">
        <v>9</v>
      </c>
    </row>
    <row r="311" spans="1:6" x14ac:dyDescent="0.35">
      <c r="A311" s="16">
        <v>15</v>
      </c>
      <c r="B311" s="11">
        <v>16</v>
      </c>
      <c r="D311" s="4">
        <v>3</v>
      </c>
      <c r="E311" s="4">
        <v>5</v>
      </c>
      <c r="F311" s="4">
        <v>7</v>
      </c>
    </row>
    <row r="312" spans="1:6" x14ac:dyDescent="0.35">
      <c r="A312" s="16">
        <v>15</v>
      </c>
      <c r="B312" s="11">
        <v>17</v>
      </c>
      <c r="D312" s="4">
        <v>2</v>
      </c>
      <c r="E312" s="4">
        <v>4</v>
      </c>
      <c r="F312" s="4">
        <v>8</v>
      </c>
    </row>
    <row r="313" spans="1:6" x14ac:dyDescent="0.35">
      <c r="A313" s="16">
        <v>15</v>
      </c>
      <c r="B313" s="11">
        <v>18</v>
      </c>
      <c r="D313" s="4">
        <v>4</v>
      </c>
      <c r="E313" s="4">
        <v>6</v>
      </c>
      <c r="F313" s="4">
        <v>9</v>
      </c>
    </row>
    <row r="314" spans="1:6" x14ac:dyDescent="0.35">
      <c r="A314" s="16">
        <v>15</v>
      </c>
      <c r="B314" s="11">
        <v>19</v>
      </c>
      <c r="D314" s="4">
        <v>5</v>
      </c>
      <c r="E314" s="4">
        <v>7</v>
      </c>
      <c r="F314" s="4">
        <v>13</v>
      </c>
    </row>
    <row r="315" spans="1:6" x14ac:dyDescent="0.35">
      <c r="A315" s="16">
        <v>15</v>
      </c>
      <c r="B315" s="11">
        <v>20</v>
      </c>
      <c r="D315" s="4">
        <v>7</v>
      </c>
      <c r="E315" s="4">
        <v>14</v>
      </c>
      <c r="F315" s="4">
        <v>19</v>
      </c>
    </row>
    <row r="316" spans="1:6" x14ac:dyDescent="0.35">
      <c r="A316" s="16">
        <v>15</v>
      </c>
      <c r="B316" s="11">
        <v>21</v>
      </c>
      <c r="D316" s="4">
        <v>3</v>
      </c>
      <c r="E316" s="4">
        <v>7</v>
      </c>
      <c r="F316" s="4">
        <v>11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52"/>
  <dimension ref="A1:H118"/>
  <sheetViews>
    <sheetView workbookViewId="0">
      <selection activeCell="M18" sqref="M18"/>
    </sheetView>
  </sheetViews>
  <sheetFormatPr defaultRowHeight="14.5" x14ac:dyDescent="0.35"/>
  <sheetData>
    <row r="1" spans="1:8" x14ac:dyDescent="0.35">
      <c r="A1" t="s">
        <v>976</v>
      </c>
      <c r="H1" t="s">
        <v>58</v>
      </c>
    </row>
    <row r="2" spans="1:8" x14ac:dyDescent="0.35">
      <c r="A2">
        <v>1</v>
      </c>
      <c r="B2">
        <v>1</v>
      </c>
      <c r="D2" s="4">
        <v>3.1</v>
      </c>
      <c r="E2" s="4">
        <v>4.5</v>
      </c>
      <c r="F2" s="4">
        <v>6</v>
      </c>
      <c r="H2" s="4">
        <v>31.39</v>
      </c>
    </row>
    <row r="3" spans="1:8" x14ac:dyDescent="0.35">
      <c r="A3">
        <v>1</v>
      </c>
      <c r="B3">
        <v>2</v>
      </c>
      <c r="D3" s="4">
        <v>3.5</v>
      </c>
      <c r="E3" s="4">
        <v>4</v>
      </c>
      <c r="F3" s="4">
        <v>4.5</v>
      </c>
      <c r="H3" s="4">
        <v>25.6</v>
      </c>
    </row>
    <row r="4" spans="1:8" x14ac:dyDescent="0.35">
      <c r="A4">
        <v>1</v>
      </c>
      <c r="B4">
        <v>3</v>
      </c>
      <c r="D4" s="4">
        <v>4.5</v>
      </c>
      <c r="E4" s="4">
        <v>6.5</v>
      </c>
      <c r="F4" s="4">
        <v>7</v>
      </c>
      <c r="H4" s="4">
        <v>57.55</v>
      </c>
    </row>
    <row r="5" spans="1:8" x14ac:dyDescent="0.35">
      <c r="A5">
        <v>1</v>
      </c>
      <c r="B5">
        <v>4</v>
      </c>
      <c r="D5" s="4">
        <v>3.5</v>
      </c>
      <c r="E5" s="4">
        <v>4.5</v>
      </c>
      <c r="F5" s="4">
        <v>6</v>
      </c>
      <c r="H5" s="4">
        <v>8.68</v>
      </c>
    </row>
    <row r="6" spans="1:8" x14ac:dyDescent="0.35">
      <c r="A6">
        <v>1</v>
      </c>
      <c r="B6">
        <v>5</v>
      </c>
      <c r="D6" s="4">
        <v>2.5</v>
      </c>
      <c r="E6" s="4">
        <v>3.5</v>
      </c>
      <c r="F6" s="4">
        <v>4.5</v>
      </c>
      <c r="H6" s="4">
        <v>4.83</v>
      </c>
    </row>
    <row r="7" spans="1:8" x14ac:dyDescent="0.35">
      <c r="A7">
        <v>1</v>
      </c>
      <c r="B7">
        <v>6</v>
      </c>
      <c r="D7" s="4">
        <v>30</v>
      </c>
      <c r="E7" s="4">
        <v>50</v>
      </c>
      <c r="F7" s="4">
        <v>70</v>
      </c>
      <c r="H7" s="4">
        <v>74.72</v>
      </c>
    </row>
    <row r="8" spans="1:8" x14ac:dyDescent="0.35">
      <c r="A8">
        <v>1</v>
      </c>
      <c r="B8">
        <v>7</v>
      </c>
      <c r="D8" s="4">
        <v>6</v>
      </c>
      <c r="E8" s="4">
        <v>8</v>
      </c>
      <c r="F8" s="4">
        <v>10</v>
      </c>
      <c r="H8" s="4">
        <v>5.13</v>
      </c>
    </row>
    <row r="9" spans="1:8" x14ac:dyDescent="0.35">
      <c r="A9">
        <v>1</v>
      </c>
      <c r="B9">
        <v>8</v>
      </c>
      <c r="D9" s="4">
        <v>6</v>
      </c>
      <c r="E9" s="4">
        <v>7</v>
      </c>
      <c r="F9" s="4">
        <v>8</v>
      </c>
      <c r="H9" s="4">
        <v>94.77</v>
      </c>
    </row>
    <row r="10" spans="1:8" x14ac:dyDescent="0.35">
      <c r="A10">
        <v>1</v>
      </c>
      <c r="B10">
        <v>9</v>
      </c>
      <c r="D10" s="4">
        <v>1.8</v>
      </c>
      <c r="E10" s="4">
        <v>2.4</v>
      </c>
      <c r="F10" s="4">
        <v>2.8</v>
      </c>
      <c r="H10" s="4">
        <v>2.4</v>
      </c>
    </row>
    <row r="11" spans="1:8" x14ac:dyDescent="0.35">
      <c r="A11">
        <v>1</v>
      </c>
      <c r="B11">
        <v>10</v>
      </c>
      <c r="D11" s="4">
        <v>9</v>
      </c>
      <c r="E11" s="4">
        <v>10</v>
      </c>
      <c r="F11" s="4">
        <v>11</v>
      </c>
      <c r="H11" s="4">
        <v>5.23</v>
      </c>
    </row>
    <row r="12" spans="1:8" x14ac:dyDescent="0.35">
      <c r="A12">
        <v>1</v>
      </c>
      <c r="B12">
        <v>11</v>
      </c>
      <c r="D12" s="4">
        <v>0.8</v>
      </c>
      <c r="E12" s="4">
        <v>1.1000000000000001</v>
      </c>
      <c r="F12" s="4">
        <v>1.2</v>
      </c>
      <c r="H12" s="4">
        <v>1.5</v>
      </c>
    </row>
    <row r="13" spans="1:8" x14ac:dyDescent="0.35">
      <c r="A13">
        <v>1</v>
      </c>
      <c r="B13">
        <v>12</v>
      </c>
      <c r="D13" s="4">
        <v>2.9</v>
      </c>
      <c r="E13" s="4">
        <v>3.5</v>
      </c>
      <c r="F13" s="4">
        <v>4.0999999999999996</v>
      </c>
      <c r="H13" s="4">
        <v>4.3499999999999996</v>
      </c>
    </row>
    <row r="14" spans="1:8" x14ac:dyDescent="0.35">
      <c r="A14">
        <v>1</v>
      </c>
      <c r="B14">
        <v>13</v>
      </c>
      <c r="D14" s="4">
        <v>0.6</v>
      </c>
      <c r="E14" s="4">
        <v>0.7</v>
      </c>
      <c r="F14" s="4">
        <v>0.8</v>
      </c>
      <c r="H14" s="4">
        <v>0.86</v>
      </c>
    </row>
    <row r="15" spans="1:8" x14ac:dyDescent="0.35">
      <c r="A15">
        <v>2</v>
      </c>
      <c r="B15">
        <v>1</v>
      </c>
      <c r="D15" s="4">
        <v>10</v>
      </c>
      <c r="E15" s="4">
        <v>50</v>
      </c>
      <c r="F15" s="4">
        <v>80</v>
      </c>
    </row>
    <row r="16" spans="1:8" x14ac:dyDescent="0.35">
      <c r="A16">
        <v>2</v>
      </c>
      <c r="B16">
        <v>2</v>
      </c>
      <c r="D16" s="4">
        <v>5</v>
      </c>
      <c r="E16" s="4">
        <v>20</v>
      </c>
      <c r="F16" s="4">
        <v>30</v>
      </c>
    </row>
    <row r="17" spans="1:6" x14ac:dyDescent="0.35">
      <c r="A17">
        <v>2</v>
      </c>
      <c r="B17">
        <v>3</v>
      </c>
      <c r="D17" s="4">
        <v>10</v>
      </c>
      <c r="E17" s="4">
        <v>20</v>
      </c>
      <c r="F17" s="4">
        <v>30</v>
      </c>
    </row>
    <row r="18" spans="1:6" x14ac:dyDescent="0.35">
      <c r="A18">
        <v>2</v>
      </c>
      <c r="B18">
        <v>4</v>
      </c>
      <c r="D18" s="4">
        <v>2</v>
      </c>
      <c r="E18" s="4">
        <v>5</v>
      </c>
      <c r="F18" s="4">
        <v>7</v>
      </c>
    </row>
    <row r="19" spans="1:6" x14ac:dyDescent="0.35">
      <c r="A19">
        <v>2</v>
      </c>
      <c r="B19">
        <v>5</v>
      </c>
      <c r="D19" s="4">
        <v>2</v>
      </c>
      <c r="E19" s="4">
        <v>4.2</v>
      </c>
      <c r="F19" s="4">
        <v>6.5</v>
      </c>
    </row>
    <row r="20" spans="1:6" x14ac:dyDescent="0.35">
      <c r="A20">
        <v>2</v>
      </c>
      <c r="B20">
        <v>6</v>
      </c>
      <c r="D20" s="4">
        <v>10</v>
      </c>
      <c r="E20" s="4">
        <v>35</v>
      </c>
      <c r="F20" s="4">
        <v>50</v>
      </c>
    </row>
    <row r="21" spans="1:6" x14ac:dyDescent="0.35">
      <c r="A21">
        <v>2</v>
      </c>
      <c r="B21">
        <v>7</v>
      </c>
      <c r="D21" s="4">
        <v>2</v>
      </c>
      <c r="E21" s="4">
        <v>4.5</v>
      </c>
      <c r="F21" s="4">
        <v>10</v>
      </c>
    </row>
    <row r="22" spans="1:6" x14ac:dyDescent="0.35">
      <c r="A22">
        <v>2</v>
      </c>
      <c r="B22">
        <v>8</v>
      </c>
      <c r="D22" s="4">
        <v>3.2</v>
      </c>
      <c r="E22" s="4">
        <v>5.6</v>
      </c>
      <c r="F22" s="4">
        <v>6.5</v>
      </c>
    </row>
    <row r="23" spans="1:6" x14ac:dyDescent="0.35">
      <c r="A23">
        <v>2</v>
      </c>
      <c r="B23">
        <v>9</v>
      </c>
      <c r="D23" s="4">
        <v>1.44</v>
      </c>
      <c r="E23" s="4">
        <v>2.52</v>
      </c>
      <c r="F23" s="4">
        <v>2.95</v>
      </c>
    </row>
    <row r="24" spans="1:6" x14ac:dyDescent="0.35">
      <c r="A24">
        <v>2</v>
      </c>
      <c r="B24">
        <v>10</v>
      </c>
      <c r="D24" s="4">
        <v>3</v>
      </c>
      <c r="E24" s="4">
        <v>4.7</v>
      </c>
      <c r="F24" s="4">
        <v>5</v>
      </c>
    </row>
    <row r="25" spans="1:6" x14ac:dyDescent="0.35">
      <c r="A25">
        <v>2</v>
      </c>
      <c r="B25">
        <v>11</v>
      </c>
      <c r="D25" s="4">
        <v>5</v>
      </c>
      <c r="E25" s="4">
        <v>7.5</v>
      </c>
      <c r="F25" s="4">
        <v>8.5</v>
      </c>
    </row>
    <row r="26" spans="1:6" x14ac:dyDescent="0.35">
      <c r="A26">
        <v>2</v>
      </c>
      <c r="B26">
        <v>12</v>
      </c>
      <c r="D26" s="4">
        <v>2.1</v>
      </c>
      <c r="E26" s="4">
        <v>2.5</v>
      </c>
      <c r="F26" s="4">
        <v>4.2</v>
      </c>
    </row>
    <row r="27" spans="1:6" x14ac:dyDescent="0.35">
      <c r="A27">
        <v>2</v>
      </c>
      <c r="B27">
        <v>13</v>
      </c>
      <c r="D27" s="4">
        <v>0.5</v>
      </c>
      <c r="E27" s="4">
        <v>0.75</v>
      </c>
      <c r="F27" s="4">
        <v>0.82</v>
      </c>
    </row>
    <row r="28" spans="1:6" x14ac:dyDescent="0.35">
      <c r="A28">
        <v>3</v>
      </c>
      <c r="B28">
        <v>1</v>
      </c>
      <c r="D28" s="4">
        <v>5</v>
      </c>
      <c r="E28" s="4">
        <v>10</v>
      </c>
      <c r="F28" s="4">
        <v>15</v>
      </c>
    </row>
    <row r="29" spans="1:6" x14ac:dyDescent="0.35">
      <c r="A29">
        <v>3</v>
      </c>
      <c r="B29">
        <v>2</v>
      </c>
      <c r="D29" s="4">
        <v>15</v>
      </c>
      <c r="E29" s="4">
        <v>20</v>
      </c>
      <c r="F29" s="4">
        <v>25</v>
      </c>
    </row>
    <row r="30" spans="1:6" x14ac:dyDescent="0.35">
      <c r="A30">
        <v>3</v>
      </c>
      <c r="B30">
        <v>3</v>
      </c>
      <c r="D30" s="4">
        <v>-1</v>
      </c>
      <c r="E30" s="4">
        <v>2</v>
      </c>
      <c r="F30" s="4">
        <v>5</v>
      </c>
    </row>
    <row r="31" spans="1:6" x14ac:dyDescent="0.35">
      <c r="A31">
        <v>3</v>
      </c>
      <c r="B31">
        <v>4</v>
      </c>
      <c r="D31" s="4">
        <v>4</v>
      </c>
      <c r="E31" s="4">
        <v>11</v>
      </c>
      <c r="F31" s="4">
        <v>18</v>
      </c>
    </row>
    <row r="32" spans="1:6" x14ac:dyDescent="0.35">
      <c r="A32">
        <v>3</v>
      </c>
      <c r="B32">
        <v>5</v>
      </c>
      <c r="D32" s="4">
        <v>3</v>
      </c>
      <c r="E32" s="4">
        <v>4</v>
      </c>
      <c r="F32" s="4">
        <v>5</v>
      </c>
    </row>
    <row r="33" spans="1:6" x14ac:dyDescent="0.35">
      <c r="A33">
        <v>3</v>
      </c>
      <c r="B33">
        <v>6</v>
      </c>
      <c r="D33" s="4">
        <v>20</v>
      </c>
      <c r="E33" s="4">
        <v>25</v>
      </c>
      <c r="F33" s="4">
        <v>50</v>
      </c>
    </row>
    <row r="34" spans="1:6" x14ac:dyDescent="0.35">
      <c r="A34">
        <v>3</v>
      </c>
      <c r="B34">
        <v>7</v>
      </c>
      <c r="D34" s="4">
        <v>5</v>
      </c>
      <c r="E34" s="4">
        <v>6</v>
      </c>
      <c r="F34" s="4">
        <v>7</v>
      </c>
    </row>
    <row r="35" spans="1:6" x14ac:dyDescent="0.35">
      <c r="A35">
        <v>3</v>
      </c>
      <c r="B35">
        <v>8</v>
      </c>
      <c r="D35" s="4">
        <v>7</v>
      </c>
      <c r="E35" s="4">
        <v>8</v>
      </c>
      <c r="F35" s="4">
        <v>9</v>
      </c>
    </row>
    <row r="36" spans="1:6" x14ac:dyDescent="0.35">
      <c r="A36">
        <v>3</v>
      </c>
      <c r="B36">
        <v>9</v>
      </c>
      <c r="D36" s="4">
        <v>2.8</v>
      </c>
      <c r="E36" s="4">
        <v>3.2</v>
      </c>
      <c r="F36" s="4">
        <v>3.6</v>
      </c>
    </row>
    <row r="37" spans="1:6" x14ac:dyDescent="0.35">
      <c r="A37">
        <v>3</v>
      </c>
      <c r="B37">
        <v>10</v>
      </c>
      <c r="D37" s="4">
        <v>8</v>
      </c>
      <c r="E37" s="4">
        <v>10</v>
      </c>
      <c r="F37" s="4">
        <v>12</v>
      </c>
    </row>
    <row r="38" spans="1:6" x14ac:dyDescent="0.35">
      <c r="A38">
        <v>3</v>
      </c>
      <c r="B38">
        <v>11</v>
      </c>
      <c r="D38" s="4">
        <v>1</v>
      </c>
      <c r="E38" s="4">
        <v>1.33</v>
      </c>
      <c r="F38" s="4">
        <v>1.5</v>
      </c>
    </row>
    <row r="39" spans="1:6" x14ac:dyDescent="0.35">
      <c r="A39">
        <v>3</v>
      </c>
      <c r="B39">
        <v>12</v>
      </c>
      <c r="D39" s="4">
        <v>3</v>
      </c>
      <c r="E39" s="4">
        <v>3.5</v>
      </c>
      <c r="F39" s="4">
        <v>4.5</v>
      </c>
    </row>
    <row r="40" spans="1:6" x14ac:dyDescent="0.35">
      <c r="A40">
        <v>3</v>
      </c>
      <c r="B40">
        <v>13</v>
      </c>
      <c r="D40" s="4">
        <v>0.93</v>
      </c>
      <c r="E40" s="4">
        <v>0.95</v>
      </c>
      <c r="F40" s="4">
        <v>0.96</v>
      </c>
    </row>
    <row r="41" spans="1:6" x14ac:dyDescent="0.35">
      <c r="A41">
        <v>4</v>
      </c>
      <c r="B41">
        <v>1</v>
      </c>
      <c r="D41" s="4">
        <v>10</v>
      </c>
      <c r="E41" s="4">
        <v>15</v>
      </c>
      <c r="F41" s="4">
        <v>25</v>
      </c>
    </row>
    <row r="42" spans="1:6" x14ac:dyDescent="0.35">
      <c r="A42">
        <v>4</v>
      </c>
      <c r="B42">
        <v>2</v>
      </c>
      <c r="D42" s="4">
        <v>5</v>
      </c>
      <c r="E42" s="4">
        <v>8</v>
      </c>
      <c r="F42" s="4">
        <v>12</v>
      </c>
    </row>
    <row r="43" spans="1:6" x14ac:dyDescent="0.35">
      <c r="A43">
        <v>4</v>
      </c>
      <c r="B43">
        <v>3</v>
      </c>
      <c r="D43" s="4">
        <v>2</v>
      </c>
      <c r="E43" s="4">
        <v>3</v>
      </c>
      <c r="F43" s="4">
        <v>4</v>
      </c>
    </row>
    <row r="44" spans="1:6" x14ac:dyDescent="0.35">
      <c r="A44">
        <v>4</v>
      </c>
      <c r="B44">
        <v>4</v>
      </c>
      <c r="D44" s="4">
        <v>2</v>
      </c>
      <c r="E44" s="4">
        <v>3</v>
      </c>
      <c r="F44" s="4">
        <v>5</v>
      </c>
    </row>
    <row r="45" spans="1:6" x14ac:dyDescent="0.35">
      <c r="A45">
        <v>4</v>
      </c>
      <c r="B45">
        <v>5</v>
      </c>
      <c r="D45" s="4">
        <v>2</v>
      </c>
      <c r="E45" s="4">
        <v>3</v>
      </c>
      <c r="F45" s="4">
        <v>4</v>
      </c>
    </row>
    <row r="46" spans="1:6" x14ac:dyDescent="0.35">
      <c r="A46">
        <v>4</v>
      </c>
      <c r="B46">
        <v>6</v>
      </c>
      <c r="D46" s="4">
        <v>20</v>
      </c>
      <c r="E46" s="4">
        <v>40</v>
      </c>
      <c r="F46" s="4">
        <v>50</v>
      </c>
    </row>
    <row r="47" spans="1:6" x14ac:dyDescent="0.35">
      <c r="A47">
        <v>4</v>
      </c>
      <c r="B47">
        <v>7</v>
      </c>
      <c r="D47" s="4">
        <v>4</v>
      </c>
      <c r="E47" s="4">
        <v>5</v>
      </c>
      <c r="F47" s="4">
        <v>6</v>
      </c>
    </row>
    <row r="48" spans="1:6" x14ac:dyDescent="0.35">
      <c r="A48">
        <v>4</v>
      </c>
      <c r="B48">
        <v>8</v>
      </c>
      <c r="D48" s="4">
        <v>5</v>
      </c>
      <c r="E48" s="4">
        <v>6</v>
      </c>
      <c r="F48" s="4">
        <v>7</v>
      </c>
    </row>
    <row r="49" spans="1:6" x14ac:dyDescent="0.35">
      <c r="A49">
        <v>4</v>
      </c>
      <c r="B49">
        <v>9</v>
      </c>
      <c r="D49" s="4">
        <v>20</v>
      </c>
      <c r="E49" s="4">
        <v>24</v>
      </c>
      <c r="F49" s="4">
        <v>28</v>
      </c>
    </row>
    <row r="50" spans="1:6" x14ac:dyDescent="0.35">
      <c r="A50">
        <v>4</v>
      </c>
      <c r="B50">
        <v>10</v>
      </c>
      <c r="D50" s="4">
        <v>5</v>
      </c>
      <c r="E50" s="4">
        <v>6</v>
      </c>
      <c r="F50" s="4">
        <v>7</v>
      </c>
    </row>
    <row r="51" spans="1:6" x14ac:dyDescent="0.35">
      <c r="A51">
        <v>4</v>
      </c>
      <c r="B51">
        <v>11</v>
      </c>
      <c r="D51" s="4">
        <v>1</v>
      </c>
      <c r="E51" s="4">
        <v>1.25</v>
      </c>
      <c r="F51" s="4">
        <v>1.5</v>
      </c>
    </row>
    <row r="52" spans="1:6" x14ac:dyDescent="0.35">
      <c r="A52">
        <v>4</v>
      </c>
      <c r="B52">
        <v>12</v>
      </c>
      <c r="D52" s="4">
        <v>3</v>
      </c>
      <c r="E52" s="4">
        <v>5</v>
      </c>
      <c r="F52" s="4">
        <v>6</v>
      </c>
    </row>
    <row r="53" spans="1:6" x14ac:dyDescent="0.35">
      <c r="A53">
        <v>4</v>
      </c>
      <c r="B53">
        <v>13</v>
      </c>
      <c r="D53" s="4">
        <v>0.5</v>
      </c>
      <c r="E53" s="4">
        <v>0.7</v>
      </c>
      <c r="F53" s="4">
        <v>0.9</v>
      </c>
    </row>
    <row r="54" spans="1:6" x14ac:dyDescent="0.35">
      <c r="A54">
        <v>5</v>
      </c>
      <c r="B54">
        <v>1</v>
      </c>
      <c r="D54" s="4">
        <v>15</v>
      </c>
      <c r="E54" s="4">
        <v>20</v>
      </c>
      <c r="F54" s="4">
        <v>25</v>
      </c>
    </row>
    <row r="55" spans="1:6" x14ac:dyDescent="0.35">
      <c r="A55">
        <v>5</v>
      </c>
      <c r="B55">
        <v>2</v>
      </c>
      <c r="D55" s="4">
        <v>15</v>
      </c>
      <c r="E55" s="4">
        <v>20</v>
      </c>
      <c r="F55" s="4">
        <v>30</v>
      </c>
    </row>
    <row r="56" spans="1:6" x14ac:dyDescent="0.35">
      <c r="A56">
        <v>5</v>
      </c>
      <c r="B56">
        <v>3</v>
      </c>
      <c r="D56" s="4">
        <v>36</v>
      </c>
      <c r="E56" s="4">
        <v>46</v>
      </c>
      <c r="F56" s="4">
        <v>56</v>
      </c>
    </row>
    <row r="57" spans="1:6" x14ac:dyDescent="0.35">
      <c r="A57">
        <v>5</v>
      </c>
      <c r="B57">
        <v>4</v>
      </c>
      <c r="D57" s="4">
        <v>7</v>
      </c>
      <c r="E57" s="4">
        <v>8.8000000000000007</v>
      </c>
      <c r="F57" s="4">
        <v>11</v>
      </c>
    </row>
    <row r="58" spans="1:6" x14ac:dyDescent="0.35">
      <c r="A58">
        <v>5</v>
      </c>
      <c r="B58">
        <v>5</v>
      </c>
      <c r="D58" s="4">
        <v>5</v>
      </c>
      <c r="E58" s="4">
        <v>6.5</v>
      </c>
      <c r="F58" s="4">
        <v>7.5</v>
      </c>
    </row>
    <row r="59" spans="1:6" x14ac:dyDescent="0.35">
      <c r="A59">
        <v>5</v>
      </c>
      <c r="B59">
        <v>6</v>
      </c>
      <c r="D59" s="4">
        <v>40</v>
      </c>
      <c r="E59" s="4">
        <v>60</v>
      </c>
      <c r="F59" s="4">
        <v>80</v>
      </c>
    </row>
    <row r="60" spans="1:6" x14ac:dyDescent="0.35">
      <c r="A60">
        <v>5</v>
      </c>
      <c r="B60">
        <v>7</v>
      </c>
      <c r="D60" s="4">
        <v>4.5</v>
      </c>
      <c r="E60" s="4">
        <v>5</v>
      </c>
      <c r="F60" s="4">
        <v>6.5</v>
      </c>
    </row>
    <row r="61" spans="1:6" x14ac:dyDescent="0.35">
      <c r="A61">
        <v>5</v>
      </c>
      <c r="B61">
        <v>8</v>
      </c>
      <c r="D61" s="4">
        <v>5</v>
      </c>
      <c r="E61" s="4">
        <v>6.6</v>
      </c>
      <c r="F61" s="4">
        <v>7</v>
      </c>
    </row>
    <row r="62" spans="1:6" x14ac:dyDescent="0.35">
      <c r="A62">
        <v>5</v>
      </c>
      <c r="B62">
        <v>9</v>
      </c>
      <c r="D62" s="4">
        <v>1</v>
      </c>
      <c r="E62" s="4">
        <v>2</v>
      </c>
      <c r="F62" s="4">
        <v>4</v>
      </c>
    </row>
    <row r="63" spans="1:6" x14ac:dyDescent="0.35">
      <c r="A63">
        <v>5</v>
      </c>
      <c r="B63">
        <v>10</v>
      </c>
      <c r="D63" s="4">
        <v>5</v>
      </c>
      <c r="E63" s="4">
        <v>6</v>
      </c>
      <c r="F63" s="4">
        <v>8</v>
      </c>
    </row>
    <row r="64" spans="1:6" x14ac:dyDescent="0.35">
      <c r="A64">
        <v>5</v>
      </c>
      <c r="B64">
        <v>11</v>
      </c>
      <c r="D64" s="4">
        <v>0.8</v>
      </c>
      <c r="E64" s="4">
        <v>1.4</v>
      </c>
      <c r="F64" s="4">
        <v>1.8</v>
      </c>
    </row>
    <row r="65" spans="1:6" x14ac:dyDescent="0.35">
      <c r="A65">
        <v>5</v>
      </c>
      <c r="B65">
        <v>12</v>
      </c>
      <c r="D65" s="4">
        <v>2.6</v>
      </c>
      <c r="E65" s="4">
        <v>3.2</v>
      </c>
      <c r="F65" s="4">
        <v>4</v>
      </c>
    </row>
    <row r="66" spans="1:6" x14ac:dyDescent="0.35">
      <c r="A66">
        <v>5</v>
      </c>
      <c r="B66">
        <v>13</v>
      </c>
      <c r="D66" s="4">
        <v>0.4</v>
      </c>
      <c r="E66" s="4">
        <v>0.6</v>
      </c>
      <c r="F66" s="4">
        <v>0.8</v>
      </c>
    </row>
    <row r="67" spans="1:6" x14ac:dyDescent="0.35">
      <c r="A67">
        <v>6</v>
      </c>
      <c r="B67">
        <v>1</v>
      </c>
      <c r="D67" s="4">
        <v>3</v>
      </c>
      <c r="E67" s="4">
        <v>30</v>
      </c>
      <c r="F67" s="4">
        <v>60</v>
      </c>
    </row>
    <row r="68" spans="1:6" x14ac:dyDescent="0.35">
      <c r="A68">
        <v>6</v>
      </c>
      <c r="B68">
        <v>2</v>
      </c>
      <c r="D68" s="4">
        <v>20</v>
      </c>
      <c r="E68" s="4">
        <v>40</v>
      </c>
      <c r="F68" s="4">
        <v>50</v>
      </c>
    </row>
    <row r="69" spans="1:6" x14ac:dyDescent="0.35">
      <c r="A69">
        <v>6</v>
      </c>
      <c r="B69">
        <v>3</v>
      </c>
      <c r="D69" s="4">
        <v>30</v>
      </c>
      <c r="E69" s="4">
        <v>55</v>
      </c>
      <c r="F69" s="4">
        <v>90</v>
      </c>
    </row>
    <row r="70" spans="1:6" x14ac:dyDescent="0.35">
      <c r="A70">
        <v>6</v>
      </c>
      <c r="B70">
        <v>4</v>
      </c>
      <c r="D70" s="4">
        <v>6</v>
      </c>
      <c r="E70" s="4">
        <v>12</v>
      </c>
      <c r="F70" s="4">
        <v>20</v>
      </c>
    </row>
    <row r="71" spans="1:6" x14ac:dyDescent="0.35">
      <c r="A71">
        <v>6</v>
      </c>
      <c r="B71">
        <v>5</v>
      </c>
      <c r="D71" s="4">
        <v>3</v>
      </c>
      <c r="E71" s="4">
        <v>5.5</v>
      </c>
      <c r="F71" s="4">
        <v>8</v>
      </c>
    </row>
    <row r="72" spans="1:6" x14ac:dyDescent="0.35">
      <c r="A72">
        <v>6</v>
      </c>
      <c r="B72">
        <v>6</v>
      </c>
      <c r="D72" s="4">
        <v>50</v>
      </c>
      <c r="E72" s="4">
        <v>80</v>
      </c>
      <c r="F72" s="4">
        <v>100</v>
      </c>
    </row>
    <row r="73" spans="1:6" x14ac:dyDescent="0.35">
      <c r="A73">
        <v>6</v>
      </c>
      <c r="B73">
        <v>7</v>
      </c>
      <c r="D73" s="4">
        <v>4</v>
      </c>
      <c r="E73" s="4">
        <v>5.4</v>
      </c>
      <c r="F73" s="4">
        <v>6</v>
      </c>
    </row>
    <row r="74" spans="1:6" x14ac:dyDescent="0.35">
      <c r="A74">
        <v>6</v>
      </c>
      <c r="B74">
        <v>8</v>
      </c>
      <c r="D74" s="4">
        <v>5.0999999999999996</v>
      </c>
      <c r="E74" s="4">
        <v>5.9</v>
      </c>
      <c r="F74" s="4">
        <v>6.5</v>
      </c>
    </row>
    <row r="75" spans="1:6" x14ac:dyDescent="0.35">
      <c r="A75">
        <v>6</v>
      </c>
      <c r="B75">
        <v>9</v>
      </c>
      <c r="D75" s="4">
        <v>1.8</v>
      </c>
      <c r="E75" s="4">
        <v>2.5</v>
      </c>
      <c r="F75" s="4">
        <v>3.5</v>
      </c>
    </row>
    <row r="76" spans="1:6" x14ac:dyDescent="0.35">
      <c r="A76">
        <v>6</v>
      </c>
      <c r="B76">
        <v>10</v>
      </c>
      <c r="D76" s="4">
        <v>5.7</v>
      </c>
      <c r="E76" s="4">
        <v>6</v>
      </c>
      <c r="F76" s="4">
        <v>6.3</v>
      </c>
    </row>
    <row r="77" spans="1:6" x14ac:dyDescent="0.35">
      <c r="A77">
        <v>6</v>
      </c>
      <c r="B77">
        <v>11</v>
      </c>
      <c r="D77" s="4">
        <v>1.3</v>
      </c>
      <c r="E77" s="4">
        <v>1.35</v>
      </c>
      <c r="F77" s="4">
        <v>1.41</v>
      </c>
    </row>
    <row r="78" spans="1:6" x14ac:dyDescent="0.35">
      <c r="A78">
        <v>6</v>
      </c>
      <c r="B78">
        <v>12</v>
      </c>
      <c r="D78" s="4">
        <v>2.5</v>
      </c>
      <c r="E78" s="4">
        <v>3.7</v>
      </c>
      <c r="F78" s="4">
        <v>4.5</v>
      </c>
    </row>
    <row r="79" spans="1:6" x14ac:dyDescent="0.35">
      <c r="A79">
        <v>6</v>
      </c>
      <c r="B79">
        <v>13</v>
      </c>
      <c r="D79" s="4">
        <v>0.8</v>
      </c>
      <c r="E79" s="4">
        <v>0.9</v>
      </c>
      <c r="F79" s="4">
        <v>0.95</v>
      </c>
    </row>
    <row r="80" spans="1:6" x14ac:dyDescent="0.35">
      <c r="A80">
        <v>7</v>
      </c>
      <c r="B80">
        <v>1</v>
      </c>
      <c r="D80" s="4">
        <v>12</v>
      </c>
      <c r="E80" s="4">
        <v>18</v>
      </c>
      <c r="F80" s="4">
        <v>20</v>
      </c>
    </row>
    <row r="81" spans="1:6" x14ac:dyDescent="0.35">
      <c r="A81">
        <v>7</v>
      </c>
      <c r="B81">
        <v>2</v>
      </c>
      <c r="D81" s="4">
        <v>9</v>
      </c>
      <c r="E81" s="4">
        <v>10</v>
      </c>
      <c r="F81" s="4">
        <v>13</v>
      </c>
    </row>
    <row r="82" spans="1:6" x14ac:dyDescent="0.35">
      <c r="A82">
        <v>7</v>
      </c>
      <c r="B82">
        <v>3</v>
      </c>
      <c r="D82" s="4">
        <v>45</v>
      </c>
      <c r="E82" s="4">
        <v>50</v>
      </c>
      <c r="F82" s="4">
        <v>80</v>
      </c>
    </row>
    <row r="83" spans="1:6" x14ac:dyDescent="0.35">
      <c r="A83">
        <v>7</v>
      </c>
      <c r="B83">
        <v>4</v>
      </c>
      <c r="D83" s="4">
        <v>6</v>
      </c>
      <c r="E83" s="4">
        <v>7</v>
      </c>
      <c r="F83" s="4">
        <v>9</v>
      </c>
    </row>
    <row r="84" spans="1:6" x14ac:dyDescent="0.35">
      <c r="A84">
        <v>7</v>
      </c>
      <c r="B84">
        <v>5</v>
      </c>
      <c r="D84" s="4">
        <v>4.5</v>
      </c>
      <c r="E84" s="4">
        <v>5</v>
      </c>
      <c r="F84" s="4">
        <v>5.5</v>
      </c>
    </row>
    <row r="85" spans="1:6" x14ac:dyDescent="0.35">
      <c r="A85">
        <v>7</v>
      </c>
      <c r="B85">
        <v>6</v>
      </c>
      <c r="D85" s="4">
        <v>60</v>
      </c>
      <c r="E85" s="4">
        <v>70</v>
      </c>
      <c r="F85" s="4">
        <v>75</v>
      </c>
    </row>
    <row r="86" spans="1:6" x14ac:dyDescent="0.35">
      <c r="A86">
        <v>7</v>
      </c>
      <c r="B86">
        <v>7</v>
      </c>
      <c r="D86" s="4">
        <v>5</v>
      </c>
      <c r="E86" s="4">
        <v>6</v>
      </c>
      <c r="F86" s="4">
        <v>8</v>
      </c>
    </row>
    <row r="87" spans="1:6" x14ac:dyDescent="0.35">
      <c r="A87">
        <v>7</v>
      </c>
      <c r="B87">
        <v>8</v>
      </c>
      <c r="D87" s="4">
        <v>6</v>
      </c>
      <c r="E87" s="4">
        <v>6.5</v>
      </c>
      <c r="F87" s="4">
        <v>7</v>
      </c>
    </row>
    <row r="88" spans="1:6" x14ac:dyDescent="0.35">
      <c r="A88">
        <v>7</v>
      </c>
      <c r="B88">
        <v>9</v>
      </c>
      <c r="D88" s="4">
        <v>1</v>
      </c>
      <c r="E88" s="4">
        <v>1.5</v>
      </c>
      <c r="F88" s="4">
        <v>2</v>
      </c>
    </row>
    <row r="89" spans="1:6" x14ac:dyDescent="0.35">
      <c r="A89">
        <v>7</v>
      </c>
      <c r="B89">
        <v>10</v>
      </c>
      <c r="D89" s="4">
        <v>6.5</v>
      </c>
      <c r="E89" s="4">
        <v>7</v>
      </c>
      <c r="F89" s="4">
        <v>7.5</v>
      </c>
    </row>
    <row r="90" spans="1:6" x14ac:dyDescent="0.35">
      <c r="A90">
        <v>7</v>
      </c>
      <c r="B90">
        <v>11</v>
      </c>
      <c r="D90" s="4">
        <v>1.1000000000000001</v>
      </c>
      <c r="E90" s="4">
        <v>1.2</v>
      </c>
      <c r="F90" s="4">
        <v>1.4</v>
      </c>
    </row>
    <row r="91" spans="1:6" x14ac:dyDescent="0.35">
      <c r="A91">
        <v>7</v>
      </c>
      <c r="B91">
        <v>12</v>
      </c>
      <c r="D91" s="4">
        <v>1.9</v>
      </c>
      <c r="E91" s="4">
        <v>2.1</v>
      </c>
      <c r="F91" s="4">
        <v>2.2999999999999998</v>
      </c>
    </row>
    <row r="92" spans="1:6" x14ac:dyDescent="0.35">
      <c r="A92">
        <v>7</v>
      </c>
      <c r="B92">
        <v>13</v>
      </c>
      <c r="D92" s="4">
        <v>0.75</v>
      </c>
      <c r="E92" s="4">
        <v>0.8</v>
      </c>
      <c r="F92" s="4">
        <v>0.9</v>
      </c>
    </row>
    <row r="93" spans="1:6" x14ac:dyDescent="0.35">
      <c r="A93">
        <v>8</v>
      </c>
      <c r="B93">
        <v>1</v>
      </c>
      <c r="D93" s="4">
        <v>8</v>
      </c>
      <c r="E93" s="4">
        <v>9</v>
      </c>
      <c r="F93" s="4">
        <v>10</v>
      </c>
    </row>
    <row r="94" spans="1:6" x14ac:dyDescent="0.35">
      <c r="A94">
        <v>8</v>
      </c>
      <c r="B94">
        <v>2</v>
      </c>
      <c r="D94" s="4">
        <v>6</v>
      </c>
      <c r="E94" s="4">
        <v>7</v>
      </c>
      <c r="F94" s="4">
        <v>8</v>
      </c>
    </row>
    <row r="95" spans="1:6" x14ac:dyDescent="0.35">
      <c r="A95">
        <v>8</v>
      </c>
      <c r="B95">
        <v>3</v>
      </c>
      <c r="D95" s="4">
        <v>45</v>
      </c>
      <c r="E95" s="4">
        <v>55</v>
      </c>
      <c r="F95" s="4">
        <v>60</v>
      </c>
    </row>
    <row r="96" spans="1:6" x14ac:dyDescent="0.35">
      <c r="A96">
        <v>8</v>
      </c>
      <c r="B96">
        <v>4</v>
      </c>
      <c r="D96" s="4">
        <v>4.5</v>
      </c>
      <c r="E96" s="4">
        <v>5.5</v>
      </c>
      <c r="F96" s="4">
        <v>6.5</v>
      </c>
    </row>
    <row r="97" spans="1:6" x14ac:dyDescent="0.35">
      <c r="A97">
        <v>8</v>
      </c>
      <c r="B97">
        <v>5</v>
      </c>
      <c r="D97" s="4">
        <v>4.5</v>
      </c>
      <c r="E97" s="4">
        <v>5</v>
      </c>
      <c r="F97" s="4">
        <v>5.5</v>
      </c>
    </row>
    <row r="98" spans="1:6" x14ac:dyDescent="0.35">
      <c r="A98">
        <v>8</v>
      </c>
      <c r="B98">
        <v>6</v>
      </c>
      <c r="D98" s="4">
        <v>50</v>
      </c>
      <c r="E98" s="4">
        <v>60</v>
      </c>
      <c r="F98" s="4">
        <v>70</v>
      </c>
    </row>
    <row r="99" spans="1:6" x14ac:dyDescent="0.35">
      <c r="A99">
        <v>8</v>
      </c>
      <c r="B99">
        <v>7</v>
      </c>
      <c r="D99" s="4">
        <v>4.7</v>
      </c>
      <c r="E99" s="4">
        <v>5.7</v>
      </c>
      <c r="F99" s="4">
        <v>6.7</v>
      </c>
    </row>
    <row r="100" spans="1:6" x14ac:dyDescent="0.35">
      <c r="A100">
        <v>8</v>
      </c>
      <c r="B100">
        <v>8</v>
      </c>
      <c r="D100" s="4">
        <v>4.5</v>
      </c>
      <c r="E100" s="4">
        <v>5.5</v>
      </c>
      <c r="F100" s="4">
        <v>6</v>
      </c>
    </row>
    <row r="101" spans="1:6" x14ac:dyDescent="0.35">
      <c r="A101">
        <v>8</v>
      </c>
      <c r="B101">
        <v>9</v>
      </c>
      <c r="D101" s="4">
        <v>0.8</v>
      </c>
      <c r="E101" s="4">
        <v>1</v>
      </c>
      <c r="F101" s="4">
        <v>1.8</v>
      </c>
    </row>
    <row r="102" spans="1:6" x14ac:dyDescent="0.35">
      <c r="A102">
        <v>8</v>
      </c>
      <c r="B102">
        <v>10</v>
      </c>
      <c r="D102" s="4">
        <v>5</v>
      </c>
      <c r="E102" s="4">
        <v>6</v>
      </c>
      <c r="F102" s="4">
        <v>7</v>
      </c>
    </row>
    <row r="103" spans="1:6" x14ac:dyDescent="0.35">
      <c r="A103">
        <v>8</v>
      </c>
      <c r="B103">
        <v>11</v>
      </c>
      <c r="D103" s="4">
        <v>1</v>
      </c>
      <c r="E103" s="4">
        <v>1.4</v>
      </c>
      <c r="F103" s="4">
        <v>2</v>
      </c>
    </row>
    <row r="104" spans="1:6" x14ac:dyDescent="0.35">
      <c r="A104">
        <v>8</v>
      </c>
      <c r="B104">
        <v>12</v>
      </c>
      <c r="D104" s="4">
        <v>3</v>
      </c>
      <c r="E104" s="4">
        <v>3.8</v>
      </c>
      <c r="F104" s="4">
        <v>4.2</v>
      </c>
    </row>
    <row r="105" spans="1:6" x14ac:dyDescent="0.35">
      <c r="A105">
        <v>8</v>
      </c>
      <c r="B105">
        <v>13</v>
      </c>
      <c r="D105" s="4">
        <v>0.8</v>
      </c>
      <c r="E105" s="4">
        <v>0.85</v>
      </c>
      <c r="F105" s="4">
        <v>0.96</v>
      </c>
    </row>
    <row r="106" spans="1:6" x14ac:dyDescent="0.35">
      <c r="A106">
        <v>9</v>
      </c>
      <c r="B106">
        <v>1</v>
      </c>
      <c r="D106" s="4">
        <v>16</v>
      </c>
      <c r="E106" s="4">
        <v>25</v>
      </c>
      <c r="F106" s="4">
        <v>30</v>
      </c>
    </row>
    <row r="107" spans="1:6" x14ac:dyDescent="0.35">
      <c r="A107">
        <v>9</v>
      </c>
      <c r="B107">
        <v>2</v>
      </c>
      <c r="D107" s="4">
        <v>16</v>
      </c>
      <c r="E107" s="4">
        <v>20</v>
      </c>
      <c r="F107" s="4">
        <v>30</v>
      </c>
    </row>
    <row r="108" spans="1:6" x14ac:dyDescent="0.35">
      <c r="A108">
        <v>9</v>
      </c>
      <c r="B108">
        <v>3</v>
      </c>
      <c r="D108" s="4">
        <v>25</v>
      </c>
      <c r="E108" s="4">
        <v>40</v>
      </c>
      <c r="F108" s="4">
        <v>60</v>
      </c>
    </row>
    <row r="109" spans="1:6" x14ac:dyDescent="0.35">
      <c r="A109">
        <v>9</v>
      </c>
      <c r="B109">
        <v>4</v>
      </c>
      <c r="D109" s="4">
        <v>4</v>
      </c>
      <c r="E109" s="4">
        <v>6</v>
      </c>
      <c r="F109" s="4">
        <v>10</v>
      </c>
    </row>
    <row r="110" spans="1:6" x14ac:dyDescent="0.35">
      <c r="A110">
        <v>9</v>
      </c>
      <c r="B110">
        <v>5</v>
      </c>
      <c r="D110" s="4">
        <v>4</v>
      </c>
      <c r="E110" s="4">
        <v>5</v>
      </c>
      <c r="F110" s="4">
        <v>8</v>
      </c>
    </row>
    <row r="111" spans="1:6" x14ac:dyDescent="0.35">
      <c r="A111">
        <v>9</v>
      </c>
      <c r="B111">
        <v>6</v>
      </c>
      <c r="D111" s="4">
        <v>50</v>
      </c>
      <c r="E111" s="4">
        <v>60</v>
      </c>
      <c r="F111" s="4">
        <v>75</v>
      </c>
    </row>
    <row r="112" spans="1:6" x14ac:dyDescent="0.35">
      <c r="A112">
        <v>9</v>
      </c>
      <c r="B112">
        <v>7</v>
      </c>
      <c r="D112" s="4">
        <v>4</v>
      </c>
      <c r="E112" s="4">
        <v>5.2</v>
      </c>
      <c r="F112" s="4">
        <v>6</v>
      </c>
    </row>
    <row r="113" spans="1:6" x14ac:dyDescent="0.35">
      <c r="A113">
        <v>9</v>
      </c>
      <c r="B113">
        <v>8</v>
      </c>
      <c r="D113" s="4">
        <v>5</v>
      </c>
      <c r="E113" s="4">
        <v>6.6</v>
      </c>
      <c r="F113" s="4">
        <v>7</v>
      </c>
    </row>
    <row r="114" spans="1:6" x14ac:dyDescent="0.35">
      <c r="A114">
        <v>9</v>
      </c>
      <c r="B114">
        <v>9</v>
      </c>
      <c r="D114" s="4">
        <v>1.8</v>
      </c>
      <c r="E114" s="4">
        <v>2</v>
      </c>
      <c r="F114" s="4">
        <v>3</v>
      </c>
    </row>
    <row r="115" spans="1:6" x14ac:dyDescent="0.35">
      <c r="A115">
        <v>9</v>
      </c>
      <c r="B115">
        <v>10</v>
      </c>
      <c r="D115" s="4">
        <v>5</v>
      </c>
      <c r="E115" s="4">
        <v>7</v>
      </c>
      <c r="F115" s="4">
        <v>9</v>
      </c>
    </row>
    <row r="116" spans="1:6" x14ac:dyDescent="0.35">
      <c r="A116">
        <v>9</v>
      </c>
      <c r="B116">
        <v>11</v>
      </c>
      <c r="D116" s="4">
        <v>0.9</v>
      </c>
      <c r="E116" s="4">
        <v>1.2</v>
      </c>
      <c r="F116" s="4">
        <v>1.5</v>
      </c>
    </row>
    <row r="117" spans="1:6" x14ac:dyDescent="0.35">
      <c r="A117">
        <v>9</v>
      </c>
      <c r="B117">
        <v>12</v>
      </c>
      <c r="D117" s="4">
        <v>3</v>
      </c>
      <c r="E117" s="4">
        <v>4</v>
      </c>
      <c r="F117" s="4">
        <v>5.5</v>
      </c>
    </row>
    <row r="118" spans="1:6" x14ac:dyDescent="0.35">
      <c r="A118">
        <v>9</v>
      </c>
      <c r="B118">
        <v>13</v>
      </c>
      <c r="D118" s="4">
        <v>0.4</v>
      </c>
      <c r="E118" s="4">
        <v>0.6</v>
      </c>
      <c r="F118" s="4">
        <v>0.8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53"/>
  <dimension ref="A1:S141"/>
  <sheetViews>
    <sheetView workbookViewId="0">
      <selection activeCell="E14" sqref="E14"/>
    </sheetView>
  </sheetViews>
  <sheetFormatPr defaultRowHeight="14.5" x14ac:dyDescent="0.35"/>
  <cols>
    <col min="2" max="2" width="9.1796875" style="10"/>
    <col min="6" max="6" width="9.1796875"/>
  </cols>
  <sheetData>
    <row r="1" spans="1:19" x14ac:dyDescent="0.35">
      <c r="A1" s="10" t="s">
        <v>977</v>
      </c>
      <c r="H1" t="s">
        <v>58</v>
      </c>
    </row>
    <row r="2" spans="1:19" x14ac:dyDescent="0.35">
      <c r="A2">
        <v>1</v>
      </c>
      <c r="B2" s="10">
        <v>1</v>
      </c>
      <c r="D2" s="4">
        <v>7</v>
      </c>
      <c r="E2" s="4">
        <v>9</v>
      </c>
      <c r="F2" s="4">
        <v>11</v>
      </c>
      <c r="H2" s="4">
        <v>10.68</v>
      </c>
      <c r="I2" t="s">
        <v>876</v>
      </c>
      <c r="K2" s="4"/>
      <c r="Q2" s="4"/>
      <c r="R2" s="4"/>
      <c r="S2" s="4"/>
    </row>
    <row r="3" spans="1:19" x14ac:dyDescent="0.35">
      <c r="A3">
        <v>1</v>
      </c>
      <c r="B3" s="10">
        <v>2</v>
      </c>
      <c r="D3" s="4">
        <v>3</v>
      </c>
      <c r="E3" s="4">
        <v>4</v>
      </c>
      <c r="F3" s="4">
        <v>5</v>
      </c>
      <c r="H3" s="4">
        <v>2.5</v>
      </c>
      <c r="I3" t="s">
        <v>876</v>
      </c>
      <c r="K3" s="4"/>
      <c r="Q3" s="4"/>
      <c r="R3" s="4"/>
      <c r="S3" s="4"/>
    </row>
    <row r="4" spans="1:19" x14ac:dyDescent="0.35">
      <c r="A4">
        <v>1</v>
      </c>
      <c r="B4" s="10">
        <v>3</v>
      </c>
      <c r="D4" s="4">
        <v>4</v>
      </c>
      <c r="E4" s="4">
        <v>4.5</v>
      </c>
      <c r="F4" s="4">
        <v>6</v>
      </c>
      <c r="H4" s="4">
        <v>2.6</v>
      </c>
      <c r="I4" t="s">
        <v>876</v>
      </c>
      <c r="K4" s="4"/>
      <c r="Q4" s="4"/>
      <c r="R4" s="4"/>
      <c r="S4" s="4"/>
    </row>
    <row r="5" spans="1:19" x14ac:dyDescent="0.35">
      <c r="A5">
        <v>1</v>
      </c>
      <c r="B5" s="10">
        <v>4</v>
      </c>
      <c r="D5" s="4">
        <v>1.8</v>
      </c>
      <c r="E5" s="4">
        <v>2.2000000000000002</v>
      </c>
      <c r="F5" s="4">
        <v>2.5</v>
      </c>
      <c r="H5" s="4">
        <v>6.79</v>
      </c>
      <c r="I5" t="s">
        <v>876</v>
      </c>
      <c r="K5" s="4"/>
      <c r="Q5" s="4"/>
      <c r="R5" s="4"/>
      <c r="S5" s="4"/>
    </row>
    <row r="6" spans="1:19" x14ac:dyDescent="0.35">
      <c r="A6">
        <v>1</v>
      </c>
      <c r="B6" s="10">
        <v>5</v>
      </c>
      <c r="D6" s="4">
        <v>2.5</v>
      </c>
      <c r="E6" s="4">
        <v>3</v>
      </c>
      <c r="F6" s="4">
        <v>3.5</v>
      </c>
      <c r="H6" s="4">
        <v>2.13</v>
      </c>
      <c r="I6" t="s">
        <v>876</v>
      </c>
      <c r="K6" s="4"/>
      <c r="Q6" s="4"/>
      <c r="R6" s="4"/>
      <c r="S6" s="4"/>
    </row>
    <row r="7" spans="1:19" x14ac:dyDescent="0.35">
      <c r="A7">
        <v>1</v>
      </c>
      <c r="B7" s="10">
        <v>6</v>
      </c>
      <c r="D7" s="4">
        <v>2.5</v>
      </c>
      <c r="E7" s="4">
        <v>3.5</v>
      </c>
      <c r="F7" s="4">
        <v>4.5</v>
      </c>
      <c r="H7" s="4">
        <v>3.13</v>
      </c>
      <c r="I7" t="s">
        <v>876</v>
      </c>
      <c r="K7" s="4"/>
      <c r="Q7" s="4"/>
      <c r="R7" s="4"/>
      <c r="S7" s="4"/>
    </row>
    <row r="8" spans="1:19" x14ac:dyDescent="0.35">
      <c r="A8">
        <v>1</v>
      </c>
      <c r="B8" s="10">
        <v>7</v>
      </c>
      <c r="D8" s="4">
        <v>3.5</v>
      </c>
      <c r="E8" s="4">
        <v>4.5</v>
      </c>
      <c r="F8" s="4">
        <v>5</v>
      </c>
      <c r="H8" s="4">
        <v>7.15</v>
      </c>
      <c r="I8" t="s">
        <v>876</v>
      </c>
      <c r="K8" s="4"/>
      <c r="Q8" s="4"/>
      <c r="R8" s="4"/>
      <c r="S8" s="4"/>
    </row>
    <row r="9" spans="1:19" x14ac:dyDescent="0.35">
      <c r="A9">
        <v>1</v>
      </c>
      <c r="B9" s="10">
        <v>8</v>
      </c>
      <c r="D9" s="4">
        <v>0.5</v>
      </c>
      <c r="E9" s="4">
        <v>0.9</v>
      </c>
      <c r="F9" s="4">
        <v>1.3</v>
      </c>
      <c r="H9" s="4">
        <v>0.54</v>
      </c>
      <c r="I9" t="s">
        <v>876</v>
      </c>
      <c r="K9" s="4"/>
      <c r="Q9" s="4"/>
      <c r="R9" s="4"/>
      <c r="S9" s="4"/>
    </row>
    <row r="10" spans="1:19" x14ac:dyDescent="0.35">
      <c r="A10">
        <v>1</v>
      </c>
      <c r="B10" s="10">
        <v>9</v>
      </c>
      <c r="D10" s="4">
        <v>1.5</v>
      </c>
      <c r="E10" s="4">
        <v>2.5</v>
      </c>
      <c r="F10" s="4">
        <v>3</v>
      </c>
      <c r="H10" s="4">
        <v>1.72</v>
      </c>
      <c r="I10" t="s">
        <v>876</v>
      </c>
      <c r="K10" s="4"/>
      <c r="Q10" s="4"/>
      <c r="R10" s="4"/>
      <c r="S10" s="4"/>
    </row>
    <row r="11" spans="1:19" x14ac:dyDescent="0.35">
      <c r="A11">
        <v>1</v>
      </c>
      <c r="B11" s="10">
        <v>10</v>
      </c>
      <c r="D11" s="4">
        <v>0.4</v>
      </c>
      <c r="E11" s="4">
        <v>0.45</v>
      </c>
      <c r="F11" s="4">
        <v>0.48</v>
      </c>
      <c r="H11" s="4">
        <v>0.39</v>
      </c>
      <c r="I11" t="s">
        <v>876</v>
      </c>
      <c r="K11" s="4"/>
      <c r="Q11" s="4"/>
      <c r="R11" s="4"/>
      <c r="S11" s="4"/>
    </row>
    <row r="12" spans="1:19" x14ac:dyDescent="0.35">
      <c r="A12">
        <v>1</v>
      </c>
      <c r="B12" s="10">
        <v>11</v>
      </c>
      <c r="D12" s="4">
        <v>0.4</v>
      </c>
      <c r="E12" s="4">
        <v>0.42</v>
      </c>
      <c r="F12" s="4">
        <v>0.45</v>
      </c>
      <c r="H12" s="4">
        <v>0.41</v>
      </c>
      <c r="I12" t="s">
        <v>876</v>
      </c>
      <c r="K12" s="4"/>
      <c r="Q12" s="4"/>
      <c r="R12" s="4"/>
      <c r="S12" s="4"/>
    </row>
    <row r="13" spans="1:19" x14ac:dyDescent="0.35">
      <c r="A13">
        <v>1</v>
      </c>
      <c r="B13" s="10">
        <v>12</v>
      </c>
      <c r="D13" s="4">
        <v>0.38</v>
      </c>
      <c r="E13" s="4">
        <v>0.4</v>
      </c>
      <c r="F13" s="4">
        <v>0.45</v>
      </c>
      <c r="H13" s="4">
        <v>0.41</v>
      </c>
      <c r="I13" t="s">
        <v>876</v>
      </c>
      <c r="K13" s="4"/>
      <c r="Q13" s="4"/>
      <c r="R13" s="4"/>
      <c r="S13" s="4"/>
    </row>
    <row r="14" spans="1:19" x14ac:dyDescent="0.35">
      <c r="A14">
        <v>1</v>
      </c>
      <c r="B14" s="10">
        <v>13</v>
      </c>
      <c r="D14" s="4">
        <v>0.38</v>
      </c>
      <c r="E14" s="4">
        <v>0.42</v>
      </c>
      <c r="F14" s="4">
        <v>0.55000000000000004</v>
      </c>
      <c r="H14" s="4">
        <v>0.54</v>
      </c>
      <c r="I14" t="s">
        <v>876</v>
      </c>
      <c r="K14" s="4"/>
      <c r="Q14" s="4"/>
      <c r="R14" s="4"/>
      <c r="S14" s="4"/>
    </row>
    <row r="15" spans="1:19" x14ac:dyDescent="0.35">
      <c r="A15">
        <v>1</v>
      </c>
      <c r="B15" s="10">
        <v>14</v>
      </c>
      <c r="D15" s="4">
        <v>0.4</v>
      </c>
      <c r="E15" s="4">
        <v>0.45</v>
      </c>
      <c r="F15" s="4">
        <v>0.55000000000000004</v>
      </c>
      <c r="H15" s="4">
        <v>0.59</v>
      </c>
      <c r="I15" t="s">
        <v>876</v>
      </c>
      <c r="K15" s="4"/>
      <c r="Q15" s="4"/>
      <c r="R15" s="4"/>
      <c r="S15" s="4"/>
    </row>
    <row r="16" spans="1:19" x14ac:dyDescent="0.35">
      <c r="A16">
        <v>1</v>
      </c>
      <c r="B16" s="10">
        <v>15</v>
      </c>
      <c r="D16" s="4">
        <v>0.4</v>
      </c>
      <c r="E16" s="4">
        <v>0.5</v>
      </c>
      <c r="F16" s="4">
        <v>0.6</v>
      </c>
      <c r="H16" s="4">
        <v>0.59</v>
      </c>
      <c r="I16" t="s">
        <v>876</v>
      </c>
      <c r="K16" s="4"/>
      <c r="Q16" s="4"/>
      <c r="R16" s="4"/>
      <c r="S16" s="4"/>
    </row>
    <row r="17" spans="1:19" x14ac:dyDescent="0.35">
      <c r="A17">
        <v>1</v>
      </c>
      <c r="B17" s="10">
        <v>16</v>
      </c>
      <c r="D17" s="4">
        <v>235</v>
      </c>
      <c r="E17" s="4">
        <v>250</v>
      </c>
      <c r="F17" s="4">
        <v>260</v>
      </c>
      <c r="H17" s="4">
        <v>267.89999999999998</v>
      </c>
      <c r="I17" t="s">
        <v>876</v>
      </c>
      <c r="K17" s="4"/>
      <c r="Q17" s="4"/>
      <c r="R17" s="4"/>
      <c r="S17" s="4"/>
    </row>
    <row r="18" spans="1:19" x14ac:dyDescent="0.35">
      <c r="A18">
        <v>1</v>
      </c>
      <c r="B18" s="10">
        <v>17</v>
      </c>
      <c r="D18" s="4">
        <v>150</v>
      </c>
      <c r="E18" s="4">
        <v>200</v>
      </c>
      <c r="F18" s="4">
        <v>210</v>
      </c>
      <c r="H18" s="4">
        <v>297.60000000000002</v>
      </c>
      <c r="I18" t="s">
        <v>876</v>
      </c>
      <c r="K18" s="4"/>
      <c r="Q18" s="4"/>
      <c r="R18" s="4"/>
      <c r="S18" s="4"/>
    </row>
    <row r="19" spans="1:19" x14ac:dyDescent="0.35">
      <c r="A19">
        <v>1</v>
      </c>
      <c r="B19" s="10">
        <v>18</v>
      </c>
      <c r="D19" s="4">
        <v>140</v>
      </c>
      <c r="E19" s="4">
        <v>150</v>
      </c>
      <c r="F19" s="4">
        <v>170</v>
      </c>
      <c r="H19" s="4">
        <v>154.6</v>
      </c>
      <c r="I19" t="s">
        <v>876</v>
      </c>
      <c r="K19" s="4"/>
      <c r="Q19" s="4"/>
      <c r="R19" s="4"/>
      <c r="S19" s="4"/>
    </row>
    <row r="20" spans="1:19" x14ac:dyDescent="0.35">
      <c r="A20">
        <v>1</v>
      </c>
      <c r="B20" s="10">
        <v>19</v>
      </c>
      <c r="D20" s="4">
        <v>24</v>
      </c>
      <c r="E20" s="4">
        <v>26</v>
      </c>
      <c r="F20" s="4">
        <v>28</v>
      </c>
      <c r="H20" s="4">
        <v>20.68</v>
      </c>
      <c r="I20" t="s">
        <v>876</v>
      </c>
      <c r="K20" s="4"/>
      <c r="Q20" s="4"/>
      <c r="R20" s="4"/>
      <c r="S20" s="4"/>
    </row>
    <row r="21" spans="1:19" x14ac:dyDescent="0.35">
      <c r="A21">
        <v>1</v>
      </c>
      <c r="B21" s="10">
        <v>20</v>
      </c>
      <c r="D21" s="4">
        <v>9</v>
      </c>
      <c r="E21" s="4">
        <v>10</v>
      </c>
      <c r="F21" s="4">
        <v>11</v>
      </c>
      <c r="H21" s="4">
        <v>10.26</v>
      </c>
      <c r="I21" t="s">
        <v>876</v>
      </c>
      <c r="K21" s="4"/>
      <c r="Q21" s="4"/>
      <c r="R21" s="4"/>
      <c r="S21" s="4"/>
    </row>
    <row r="22" spans="1:19" x14ac:dyDescent="0.35">
      <c r="A22">
        <v>2</v>
      </c>
      <c r="B22" s="10">
        <v>1</v>
      </c>
      <c r="D22" s="4">
        <v>5</v>
      </c>
      <c r="E22" s="4">
        <v>6</v>
      </c>
      <c r="F22" s="4">
        <v>6.5</v>
      </c>
      <c r="Q22" s="4"/>
      <c r="R22" s="4"/>
      <c r="S22" s="4"/>
    </row>
    <row r="23" spans="1:19" x14ac:dyDescent="0.35">
      <c r="A23">
        <v>2</v>
      </c>
      <c r="B23" s="10">
        <v>2</v>
      </c>
      <c r="D23" s="4">
        <v>4</v>
      </c>
      <c r="E23" s="4">
        <v>4.5</v>
      </c>
      <c r="F23" s="4">
        <v>5.5</v>
      </c>
      <c r="Q23" s="4"/>
      <c r="R23" s="4"/>
      <c r="S23" s="4"/>
    </row>
    <row r="24" spans="1:19" x14ac:dyDescent="0.35">
      <c r="A24">
        <v>2</v>
      </c>
      <c r="B24" s="10">
        <v>3</v>
      </c>
      <c r="D24" s="4">
        <v>4.5</v>
      </c>
      <c r="E24" s="4">
        <v>5</v>
      </c>
      <c r="F24" s="4">
        <v>6</v>
      </c>
      <c r="Q24" s="4"/>
      <c r="R24" s="4"/>
      <c r="S24" s="4"/>
    </row>
    <row r="25" spans="1:19" x14ac:dyDescent="0.35">
      <c r="A25">
        <v>2</v>
      </c>
      <c r="B25" s="10">
        <v>4</v>
      </c>
      <c r="D25" s="4">
        <v>5</v>
      </c>
      <c r="E25" s="4">
        <v>6</v>
      </c>
      <c r="F25" s="4">
        <v>6.5</v>
      </c>
      <c r="Q25" s="4"/>
      <c r="R25" s="4"/>
      <c r="S25" s="4"/>
    </row>
    <row r="26" spans="1:19" x14ac:dyDescent="0.35">
      <c r="A26">
        <v>2</v>
      </c>
      <c r="B26" s="10">
        <v>5</v>
      </c>
      <c r="D26" s="4">
        <v>3</v>
      </c>
      <c r="E26" s="4">
        <v>4</v>
      </c>
      <c r="F26" s="4">
        <v>5</v>
      </c>
      <c r="Q26" s="4"/>
      <c r="R26" s="4"/>
      <c r="S26" s="4"/>
    </row>
    <row r="27" spans="1:19" x14ac:dyDescent="0.35">
      <c r="A27">
        <v>2</v>
      </c>
      <c r="B27" s="10">
        <v>6</v>
      </c>
      <c r="D27" s="4">
        <v>3.5</v>
      </c>
      <c r="E27" s="4">
        <v>4.5</v>
      </c>
      <c r="F27" s="4">
        <v>5.5</v>
      </c>
      <c r="Q27" s="4"/>
      <c r="R27" s="4"/>
      <c r="S27" s="4"/>
    </row>
    <row r="28" spans="1:19" x14ac:dyDescent="0.35">
      <c r="A28">
        <v>2</v>
      </c>
      <c r="B28" s="10">
        <v>7</v>
      </c>
      <c r="D28" s="4">
        <v>3.5</v>
      </c>
      <c r="E28" s="4">
        <v>4.5</v>
      </c>
      <c r="F28" s="4">
        <v>5.5</v>
      </c>
      <c r="Q28" s="4"/>
      <c r="R28" s="4"/>
      <c r="S28" s="4"/>
    </row>
    <row r="29" spans="1:19" x14ac:dyDescent="0.35">
      <c r="A29">
        <v>2</v>
      </c>
      <c r="B29" s="10">
        <v>8</v>
      </c>
      <c r="D29" s="4">
        <v>2</v>
      </c>
      <c r="E29" s="4">
        <v>3</v>
      </c>
      <c r="F29" s="4">
        <v>4</v>
      </c>
      <c r="Q29" s="4"/>
      <c r="R29" s="4"/>
      <c r="S29" s="4"/>
    </row>
    <row r="30" spans="1:19" x14ac:dyDescent="0.35">
      <c r="A30">
        <v>2</v>
      </c>
      <c r="B30" s="10">
        <v>9</v>
      </c>
      <c r="D30" s="4">
        <v>2.5</v>
      </c>
      <c r="E30" s="4">
        <v>3.5</v>
      </c>
      <c r="F30" s="4">
        <v>4.5</v>
      </c>
      <c r="Q30" s="4"/>
      <c r="R30" s="4"/>
      <c r="S30" s="4"/>
    </row>
    <row r="31" spans="1:19" x14ac:dyDescent="0.35">
      <c r="A31">
        <v>2</v>
      </c>
      <c r="B31" s="10">
        <v>10</v>
      </c>
      <c r="D31" s="4">
        <v>0.35</v>
      </c>
      <c r="E31" s="4">
        <v>0.4</v>
      </c>
      <c r="F31" s="4">
        <v>0.45</v>
      </c>
      <c r="Q31" s="4"/>
      <c r="R31" s="4"/>
      <c r="S31" s="4"/>
    </row>
    <row r="32" spans="1:19" x14ac:dyDescent="0.35">
      <c r="A32">
        <v>2</v>
      </c>
      <c r="B32" s="10">
        <v>11</v>
      </c>
      <c r="D32" s="4">
        <v>0.3</v>
      </c>
      <c r="E32" s="4">
        <v>0.35</v>
      </c>
      <c r="F32" s="4">
        <v>0.4</v>
      </c>
      <c r="Q32" s="4"/>
      <c r="R32" s="4"/>
      <c r="S32" s="4"/>
    </row>
    <row r="33" spans="1:19" x14ac:dyDescent="0.35">
      <c r="A33">
        <v>2</v>
      </c>
      <c r="B33" s="10">
        <v>12</v>
      </c>
      <c r="D33" s="4">
        <v>0.28000000000000003</v>
      </c>
      <c r="E33" s="4">
        <v>0.32</v>
      </c>
      <c r="F33" s="4">
        <v>0.36</v>
      </c>
      <c r="Q33" s="4"/>
      <c r="R33" s="4"/>
      <c r="S33" s="4"/>
    </row>
    <row r="34" spans="1:19" x14ac:dyDescent="0.35">
      <c r="A34">
        <v>2</v>
      </c>
      <c r="B34" s="10">
        <v>13</v>
      </c>
      <c r="D34" s="4">
        <v>0.5</v>
      </c>
      <c r="E34" s="4">
        <v>0.6</v>
      </c>
      <c r="F34" s="4">
        <v>0.7</v>
      </c>
      <c r="Q34" s="4"/>
      <c r="R34" s="4"/>
      <c r="S34" s="4"/>
    </row>
    <row r="35" spans="1:19" x14ac:dyDescent="0.35">
      <c r="A35">
        <v>2</v>
      </c>
      <c r="B35" s="10">
        <v>14</v>
      </c>
      <c r="D35" s="4">
        <v>0.45</v>
      </c>
      <c r="E35" s="4">
        <v>0.5</v>
      </c>
      <c r="F35" s="4">
        <v>0.6</v>
      </c>
      <c r="Q35" s="4"/>
      <c r="R35" s="4"/>
      <c r="S35" s="4"/>
    </row>
    <row r="36" spans="1:19" x14ac:dyDescent="0.35">
      <c r="A36">
        <v>2</v>
      </c>
      <c r="B36" s="10">
        <v>15</v>
      </c>
      <c r="D36" s="4">
        <v>0.35</v>
      </c>
      <c r="E36" s="4">
        <v>0.4</v>
      </c>
      <c r="F36" s="4">
        <v>0.5</v>
      </c>
      <c r="Q36" s="4"/>
      <c r="R36" s="4"/>
      <c r="S36" s="4"/>
    </row>
    <row r="37" spans="1:19" x14ac:dyDescent="0.35">
      <c r="A37">
        <v>2</v>
      </c>
      <c r="B37" s="10">
        <v>16</v>
      </c>
      <c r="D37" s="4">
        <v>120</v>
      </c>
      <c r="E37" s="4">
        <v>150</v>
      </c>
      <c r="F37" s="4">
        <v>180</v>
      </c>
      <c r="Q37" s="4"/>
      <c r="R37" s="4"/>
      <c r="S37" s="4"/>
    </row>
    <row r="38" spans="1:19" x14ac:dyDescent="0.35">
      <c r="A38">
        <v>2</v>
      </c>
      <c r="B38" s="10">
        <v>17</v>
      </c>
      <c r="D38" s="4">
        <v>60</v>
      </c>
      <c r="E38" s="4">
        <v>80</v>
      </c>
      <c r="F38" s="4">
        <v>100</v>
      </c>
      <c r="Q38" s="4"/>
      <c r="R38" s="4"/>
      <c r="S38" s="4"/>
    </row>
    <row r="39" spans="1:19" x14ac:dyDescent="0.35">
      <c r="A39">
        <v>2</v>
      </c>
      <c r="B39" s="10">
        <v>18</v>
      </c>
      <c r="D39" s="4">
        <v>50</v>
      </c>
      <c r="E39" s="4">
        <v>60</v>
      </c>
      <c r="F39" s="4">
        <v>80</v>
      </c>
      <c r="Q39" s="4"/>
      <c r="R39" s="4"/>
      <c r="S39" s="4"/>
    </row>
    <row r="40" spans="1:19" x14ac:dyDescent="0.35">
      <c r="A40">
        <v>2</v>
      </c>
      <c r="B40" s="10">
        <v>19</v>
      </c>
      <c r="D40" s="4">
        <v>20</v>
      </c>
      <c r="E40" s="4">
        <v>30</v>
      </c>
      <c r="F40" s="4">
        <v>40</v>
      </c>
      <c r="Q40" s="4"/>
      <c r="R40" s="4"/>
      <c r="S40" s="4"/>
    </row>
    <row r="41" spans="1:19" x14ac:dyDescent="0.35">
      <c r="A41">
        <v>2</v>
      </c>
      <c r="B41" s="10">
        <v>20</v>
      </c>
      <c r="D41" s="4">
        <v>9</v>
      </c>
      <c r="E41" s="4">
        <v>9.5</v>
      </c>
      <c r="F41" s="4">
        <v>10</v>
      </c>
      <c r="Q41" s="4"/>
      <c r="R41" s="4"/>
      <c r="S41" s="4"/>
    </row>
    <row r="42" spans="1:19" x14ac:dyDescent="0.35">
      <c r="A42">
        <v>3</v>
      </c>
      <c r="B42" s="10">
        <v>1</v>
      </c>
      <c r="D42" s="4">
        <v>7</v>
      </c>
      <c r="E42" s="4">
        <v>8.5</v>
      </c>
      <c r="F42" s="4">
        <v>9.5</v>
      </c>
      <c r="Q42" s="4"/>
      <c r="R42" s="4"/>
      <c r="S42" s="4"/>
    </row>
    <row r="43" spans="1:19" x14ac:dyDescent="0.35">
      <c r="A43">
        <v>3</v>
      </c>
      <c r="B43" s="10">
        <v>2</v>
      </c>
      <c r="D43" s="4">
        <v>1.5</v>
      </c>
      <c r="E43" s="4">
        <v>3</v>
      </c>
      <c r="F43" s="4">
        <v>3.5</v>
      </c>
      <c r="Q43" s="4"/>
      <c r="R43" s="4"/>
      <c r="S43" s="4"/>
    </row>
    <row r="44" spans="1:19" x14ac:dyDescent="0.35">
      <c r="A44">
        <v>3</v>
      </c>
      <c r="B44" s="10">
        <v>3</v>
      </c>
      <c r="D44" s="4">
        <v>1.5</v>
      </c>
      <c r="E44" s="4">
        <v>3.5</v>
      </c>
      <c r="F44" s="4">
        <v>4</v>
      </c>
      <c r="Q44" s="4"/>
      <c r="R44" s="4"/>
      <c r="S44" s="4"/>
    </row>
    <row r="45" spans="1:19" x14ac:dyDescent="0.35">
      <c r="A45">
        <v>3</v>
      </c>
      <c r="B45" s="10">
        <v>4</v>
      </c>
      <c r="D45" s="4">
        <v>1.5</v>
      </c>
      <c r="E45" s="4">
        <v>2.5</v>
      </c>
      <c r="F45" s="4">
        <v>3.5</v>
      </c>
      <c r="Q45" s="4"/>
      <c r="R45" s="4"/>
      <c r="S45" s="4"/>
    </row>
    <row r="46" spans="1:19" x14ac:dyDescent="0.35">
      <c r="A46">
        <v>3</v>
      </c>
      <c r="B46" s="10">
        <v>5</v>
      </c>
      <c r="D46" s="4">
        <v>1</v>
      </c>
      <c r="E46" s="4">
        <v>2.5</v>
      </c>
      <c r="F46" s="4">
        <v>3</v>
      </c>
      <c r="Q46" s="4"/>
      <c r="R46" s="4"/>
      <c r="S46" s="4"/>
    </row>
    <row r="47" spans="1:19" x14ac:dyDescent="0.35">
      <c r="A47">
        <v>3</v>
      </c>
      <c r="B47" s="10">
        <v>6</v>
      </c>
      <c r="D47" s="4">
        <v>1.5</v>
      </c>
      <c r="E47" s="4">
        <v>3</v>
      </c>
      <c r="F47" s="4">
        <v>4</v>
      </c>
      <c r="Q47" s="4"/>
      <c r="R47" s="4"/>
      <c r="S47" s="4"/>
    </row>
    <row r="48" spans="1:19" x14ac:dyDescent="0.35">
      <c r="A48">
        <v>3</v>
      </c>
      <c r="B48" s="10">
        <v>7</v>
      </c>
      <c r="D48" s="4">
        <v>4.5</v>
      </c>
      <c r="E48" s="4">
        <v>6</v>
      </c>
      <c r="F48" s="4">
        <v>7.5</v>
      </c>
      <c r="Q48" s="4"/>
      <c r="R48" s="4"/>
      <c r="S48" s="4"/>
    </row>
    <row r="49" spans="1:19" x14ac:dyDescent="0.35">
      <c r="A49">
        <v>3</v>
      </c>
      <c r="B49" s="10">
        <v>8</v>
      </c>
      <c r="D49" s="4">
        <v>0.5</v>
      </c>
      <c r="E49" s="4">
        <v>1.5</v>
      </c>
      <c r="F49" s="4">
        <v>3</v>
      </c>
      <c r="Q49" s="4"/>
      <c r="R49" s="4"/>
      <c r="S49" s="4"/>
    </row>
    <row r="50" spans="1:19" x14ac:dyDescent="0.35">
      <c r="A50">
        <v>3</v>
      </c>
      <c r="B50" s="10">
        <v>9</v>
      </c>
      <c r="D50" s="4">
        <v>1</v>
      </c>
      <c r="E50" s="4">
        <v>2.5</v>
      </c>
      <c r="F50" s="4">
        <v>3.5</v>
      </c>
      <c r="Q50" s="4"/>
      <c r="R50" s="4"/>
      <c r="S50" s="4"/>
    </row>
    <row r="51" spans="1:19" x14ac:dyDescent="0.35">
      <c r="A51">
        <v>3</v>
      </c>
      <c r="B51" s="10">
        <v>10</v>
      </c>
      <c r="D51" s="4">
        <v>0.3</v>
      </c>
      <c r="E51" s="4">
        <v>0.47</v>
      </c>
      <c r="F51" s="4">
        <v>0.55000000000000004</v>
      </c>
      <c r="Q51" s="4"/>
      <c r="R51" s="4"/>
      <c r="S51" s="4"/>
    </row>
    <row r="52" spans="1:19" x14ac:dyDescent="0.35">
      <c r="A52">
        <v>3</v>
      </c>
      <c r="B52" s="10">
        <v>11</v>
      </c>
      <c r="D52" s="4">
        <v>0.35</v>
      </c>
      <c r="E52" s="4">
        <v>0.43</v>
      </c>
      <c r="F52" s="4">
        <v>0.5</v>
      </c>
      <c r="Q52" s="4"/>
      <c r="R52" s="4"/>
      <c r="S52" s="4"/>
    </row>
    <row r="53" spans="1:19" x14ac:dyDescent="0.35">
      <c r="A53">
        <v>3</v>
      </c>
      <c r="B53" s="10">
        <v>12</v>
      </c>
      <c r="D53" s="4">
        <v>0.38</v>
      </c>
      <c r="E53" s="4">
        <v>0.49</v>
      </c>
      <c r="F53" s="4">
        <v>0.52</v>
      </c>
      <c r="Q53" s="4"/>
      <c r="R53" s="4"/>
      <c r="S53" s="4"/>
    </row>
    <row r="54" spans="1:19" x14ac:dyDescent="0.35">
      <c r="A54">
        <v>3</v>
      </c>
      <c r="B54" s="10">
        <v>13</v>
      </c>
      <c r="D54" s="4">
        <v>0.4</v>
      </c>
      <c r="E54" s="4">
        <v>0.5</v>
      </c>
      <c r="F54" s="4">
        <v>0.6</v>
      </c>
      <c r="Q54" s="4"/>
      <c r="R54" s="4"/>
      <c r="S54" s="4"/>
    </row>
    <row r="55" spans="1:19" x14ac:dyDescent="0.35">
      <c r="A55">
        <v>3</v>
      </c>
      <c r="B55" s="10">
        <v>14</v>
      </c>
      <c r="D55" s="4">
        <v>0.45</v>
      </c>
      <c r="E55" s="4">
        <v>0.55000000000000004</v>
      </c>
      <c r="F55" s="4">
        <v>0.65</v>
      </c>
      <c r="Q55" s="4"/>
      <c r="R55" s="4"/>
      <c r="S55" s="4"/>
    </row>
    <row r="56" spans="1:19" x14ac:dyDescent="0.35">
      <c r="A56">
        <v>3</v>
      </c>
      <c r="B56" s="10">
        <v>15</v>
      </c>
      <c r="D56" s="4">
        <v>0.48</v>
      </c>
      <c r="E56" s="4">
        <v>0.53</v>
      </c>
      <c r="F56" s="4">
        <v>0.63</v>
      </c>
      <c r="Q56" s="4"/>
      <c r="R56" s="4"/>
      <c r="S56" s="4"/>
    </row>
    <row r="57" spans="1:19" x14ac:dyDescent="0.35">
      <c r="A57">
        <v>3</v>
      </c>
      <c r="B57" s="10">
        <v>16</v>
      </c>
      <c r="D57" s="4">
        <v>60</v>
      </c>
      <c r="E57" s="4">
        <v>87</v>
      </c>
      <c r="F57" s="4">
        <v>110</v>
      </c>
      <c r="Q57" s="4"/>
      <c r="R57" s="4"/>
      <c r="S57" s="4"/>
    </row>
    <row r="58" spans="1:19" x14ac:dyDescent="0.35">
      <c r="A58">
        <v>3</v>
      </c>
      <c r="B58" s="10">
        <v>17</v>
      </c>
      <c r="D58" s="4">
        <v>50</v>
      </c>
      <c r="E58" s="4">
        <v>85</v>
      </c>
      <c r="F58" s="4">
        <v>120</v>
      </c>
      <c r="Q58" s="4"/>
      <c r="R58" s="4"/>
      <c r="S58" s="4"/>
    </row>
    <row r="59" spans="1:19" x14ac:dyDescent="0.35">
      <c r="A59">
        <v>3</v>
      </c>
      <c r="B59" s="10">
        <v>18</v>
      </c>
      <c r="D59" s="4">
        <v>10</v>
      </c>
      <c r="E59" s="4">
        <v>25</v>
      </c>
      <c r="F59" s="4">
        <v>35</v>
      </c>
      <c r="Q59" s="4"/>
      <c r="R59" s="4"/>
      <c r="S59" s="4"/>
    </row>
    <row r="60" spans="1:19" x14ac:dyDescent="0.35">
      <c r="A60">
        <v>3</v>
      </c>
      <c r="B60" s="10">
        <v>19</v>
      </c>
      <c r="D60" s="4">
        <v>15</v>
      </c>
      <c r="E60" s="4">
        <v>20</v>
      </c>
      <c r="F60" s="4">
        <v>40</v>
      </c>
      <c r="Q60" s="4"/>
      <c r="R60" s="4"/>
      <c r="S60" s="4"/>
    </row>
    <row r="61" spans="1:19" x14ac:dyDescent="0.35">
      <c r="A61">
        <v>3</v>
      </c>
      <c r="B61" s="10">
        <v>20</v>
      </c>
      <c r="D61" s="4">
        <v>7</v>
      </c>
      <c r="E61" s="4">
        <v>12</v>
      </c>
      <c r="F61" s="4">
        <v>15</v>
      </c>
      <c r="Q61" s="4"/>
      <c r="R61" s="4"/>
      <c r="S61" s="4"/>
    </row>
    <row r="62" spans="1:19" x14ac:dyDescent="0.35">
      <c r="A62">
        <v>4</v>
      </c>
      <c r="B62" s="10">
        <v>1</v>
      </c>
      <c r="D62" s="4">
        <v>2</v>
      </c>
      <c r="E62" s="4">
        <v>2.5</v>
      </c>
      <c r="F62" s="4">
        <v>3.8</v>
      </c>
      <c r="Q62" s="4"/>
      <c r="R62" s="4"/>
      <c r="S62" s="4"/>
    </row>
    <row r="63" spans="1:19" x14ac:dyDescent="0.35">
      <c r="A63">
        <v>4</v>
      </c>
      <c r="B63" s="10">
        <v>2</v>
      </c>
      <c r="D63" s="4">
        <v>2.5</v>
      </c>
      <c r="E63" s="4">
        <v>3</v>
      </c>
      <c r="F63" s="4">
        <v>5.9</v>
      </c>
      <c r="Q63" s="4"/>
      <c r="R63" s="4"/>
      <c r="S63" s="4"/>
    </row>
    <row r="64" spans="1:19" x14ac:dyDescent="0.35">
      <c r="A64">
        <v>4</v>
      </c>
      <c r="B64" s="10">
        <v>3</v>
      </c>
      <c r="D64" s="4">
        <v>3</v>
      </c>
      <c r="E64" s="4">
        <v>4</v>
      </c>
      <c r="F64" s="4">
        <v>6</v>
      </c>
      <c r="Q64" s="4"/>
      <c r="R64" s="4"/>
      <c r="S64" s="4"/>
    </row>
    <row r="65" spans="1:19" x14ac:dyDescent="0.35">
      <c r="A65">
        <v>4</v>
      </c>
      <c r="B65" s="10">
        <v>4</v>
      </c>
      <c r="D65" s="4">
        <v>2.5</v>
      </c>
      <c r="E65" s="4">
        <v>3</v>
      </c>
      <c r="F65" s="4">
        <v>3.5</v>
      </c>
      <c r="Q65" s="4"/>
      <c r="R65" s="4"/>
      <c r="S65" s="4"/>
    </row>
    <row r="66" spans="1:19" x14ac:dyDescent="0.35">
      <c r="A66">
        <v>4</v>
      </c>
      <c r="B66" s="10">
        <v>5</v>
      </c>
      <c r="D66" s="4">
        <v>3</v>
      </c>
      <c r="E66" s="4">
        <v>3.5</v>
      </c>
      <c r="F66" s="4">
        <v>4</v>
      </c>
      <c r="Q66" s="4"/>
      <c r="R66" s="4"/>
      <c r="S66" s="4"/>
    </row>
    <row r="67" spans="1:19" x14ac:dyDescent="0.35">
      <c r="A67">
        <v>4</v>
      </c>
      <c r="B67" s="10">
        <v>6</v>
      </c>
      <c r="D67" s="4">
        <v>3.5</v>
      </c>
      <c r="E67" s="4">
        <v>4</v>
      </c>
      <c r="F67" s="4">
        <v>5</v>
      </c>
      <c r="Q67" s="4"/>
      <c r="R67" s="4"/>
      <c r="S67" s="4"/>
    </row>
    <row r="68" spans="1:19" x14ac:dyDescent="0.35">
      <c r="A68">
        <v>4</v>
      </c>
      <c r="B68" s="10">
        <v>7</v>
      </c>
      <c r="D68" s="4">
        <v>1</v>
      </c>
      <c r="E68" s="4">
        <v>1.5</v>
      </c>
      <c r="F68" s="4">
        <v>2</v>
      </c>
      <c r="Q68" s="4"/>
      <c r="R68" s="4"/>
      <c r="S68" s="4"/>
    </row>
    <row r="69" spans="1:19" x14ac:dyDescent="0.35">
      <c r="A69">
        <v>4</v>
      </c>
      <c r="B69" s="10">
        <v>8</v>
      </c>
      <c r="D69" s="4">
        <v>1.5</v>
      </c>
      <c r="E69" s="4">
        <v>2</v>
      </c>
      <c r="F69" s="4">
        <v>3</v>
      </c>
      <c r="Q69" s="4"/>
      <c r="R69" s="4"/>
      <c r="S69" s="4"/>
    </row>
    <row r="70" spans="1:19" x14ac:dyDescent="0.35">
      <c r="A70">
        <v>4</v>
      </c>
      <c r="B70" s="10">
        <v>9</v>
      </c>
      <c r="D70" s="4">
        <v>3.5</v>
      </c>
      <c r="E70" s="4">
        <v>5</v>
      </c>
      <c r="F70" s="4">
        <v>6.5</v>
      </c>
      <c r="Q70" s="4"/>
      <c r="R70" s="4"/>
      <c r="S70" s="4"/>
    </row>
    <row r="71" spans="1:19" x14ac:dyDescent="0.35">
      <c r="A71">
        <v>4</v>
      </c>
      <c r="B71" s="10">
        <v>10</v>
      </c>
      <c r="D71" s="4">
        <v>0.5</v>
      </c>
      <c r="E71" s="4">
        <v>0.7</v>
      </c>
      <c r="F71" s="4">
        <v>0.8</v>
      </c>
      <c r="Q71" s="4"/>
      <c r="R71" s="4"/>
      <c r="S71" s="4"/>
    </row>
    <row r="72" spans="1:19" x14ac:dyDescent="0.35">
      <c r="A72">
        <v>4</v>
      </c>
      <c r="B72" s="10">
        <v>11</v>
      </c>
      <c r="D72" s="4">
        <v>0.45</v>
      </c>
      <c r="E72" s="4">
        <v>0.55000000000000004</v>
      </c>
      <c r="F72" s="4">
        <v>0.6</v>
      </c>
      <c r="Q72" s="4"/>
      <c r="R72" s="4"/>
      <c r="S72" s="4"/>
    </row>
    <row r="73" spans="1:19" x14ac:dyDescent="0.35">
      <c r="A73">
        <v>4</v>
      </c>
      <c r="B73" s="10">
        <v>12</v>
      </c>
      <c r="D73" s="4">
        <v>0.4</v>
      </c>
      <c r="E73" s="4">
        <v>0.6</v>
      </c>
      <c r="F73" s="4">
        <v>0.7</v>
      </c>
      <c r="Q73" s="4"/>
      <c r="R73" s="4"/>
      <c r="S73" s="4"/>
    </row>
    <row r="74" spans="1:19" x14ac:dyDescent="0.35">
      <c r="A74">
        <v>4</v>
      </c>
      <c r="B74" s="10">
        <v>13</v>
      </c>
      <c r="D74" s="4">
        <v>0.25</v>
      </c>
      <c r="E74" s="4">
        <v>0.3</v>
      </c>
      <c r="F74" s="4">
        <v>0.35</v>
      </c>
      <c r="Q74" s="4"/>
      <c r="R74" s="4"/>
      <c r="S74" s="4"/>
    </row>
    <row r="75" spans="1:19" x14ac:dyDescent="0.35">
      <c r="A75">
        <v>4</v>
      </c>
      <c r="B75" s="10">
        <v>14</v>
      </c>
      <c r="D75" s="4">
        <v>0.3</v>
      </c>
      <c r="E75" s="4">
        <v>0.45</v>
      </c>
      <c r="F75" s="4">
        <v>0.5</v>
      </c>
      <c r="Q75" s="4"/>
      <c r="R75" s="4"/>
      <c r="S75" s="4"/>
    </row>
    <row r="76" spans="1:19" x14ac:dyDescent="0.35">
      <c r="A76">
        <v>4</v>
      </c>
      <c r="B76" s="10">
        <v>15</v>
      </c>
      <c r="D76" s="4">
        <v>0.45</v>
      </c>
      <c r="E76" s="4">
        <v>0.5</v>
      </c>
      <c r="F76" s="4">
        <v>0.6</v>
      </c>
      <c r="Q76" s="4"/>
      <c r="R76" s="4"/>
      <c r="S76" s="4"/>
    </row>
    <row r="77" spans="1:19" x14ac:dyDescent="0.35">
      <c r="A77">
        <v>4</v>
      </c>
      <c r="B77" s="10">
        <v>16</v>
      </c>
      <c r="D77" s="4">
        <v>26</v>
      </c>
      <c r="E77" s="4">
        <v>280</v>
      </c>
      <c r="F77" s="4">
        <v>320</v>
      </c>
      <c r="Q77" s="4"/>
      <c r="R77" s="4"/>
      <c r="S77" s="4"/>
    </row>
    <row r="78" spans="1:19" x14ac:dyDescent="0.35">
      <c r="A78">
        <v>4</v>
      </c>
      <c r="B78" s="10">
        <v>17</v>
      </c>
      <c r="D78" s="4">
        <v>250</v>
      </c>
      <c r="E78" s="4">
        <v>270</v>
      </c>
      <c r="F78" s="4">
        <v>300</v>
      </c>
      <c r="Q78" s="4"/>
      <c r="R78" s="4"/>
      <c r="S78" s="4"/>
    </row>
    <row r="79" spans="1:19" x14ac:dyDescent="0.35">
      <c r="A79">
        <v>4</v>
      </c>
      <c r="B79" s="10">
        <v>18</v>
      </c>
      <c r="D79" s="4">
        <v>200</v>
      </c>
      <c r="E79" s="4">
        <v>250</v>
      </c>
      <c r="F79" s="4">
        <v>260</v>
      </c>
      <c r="Q79" s="4"/>
      <c r="R79" s="4"/>
      <c r="S79" s="4"/>
    </row>
    <row r="80" spans="1:19" x14ac:dyDescent="0.35">
      <c r="A80">
        <v>4</v>
      </c>
      <c r="B80" s="10">
        <v>19</v>
      </c>
      <c r="D80" s="4">
        <v>75</v>
      </c>
      <c r="E80" s="4">
        <v>80</v>
      </c>
      <c r="F80" s="4">
        <v>120</v>
      </c>
      <c r="Q80" s="4"/>
      <c r="R80" s="4"/>
      <c r="S80" s="4"/>
    </row>
    <row r="81" spans="1:19" x14ac:dyDescent="0.35">
      <c r="A81">
        <v>4</v>
      </c>
      <c r="B81" s="10">
        <v>20</v>
      </c>
      <c r="D81" s="4">
        <v>80</v>
      </c>
      <c r="E81" s="4">
        <v>99</v>
      </c>
      <c r="F81" s="4">
        <v>100</v>
      </c>
      <c r="Q81" s="4"/>
      <c r="R81" s="4"/>
      <c r="S81" s="4"/>
    </row>
    <row r="82" spans="1:19" x14ac:dyDescent="0.35">
      <c r="A82">
        <v>5</v>
      </c>
      <c r="B82" s="10">
        <v>1</v>
      </c>
      <c r="D82" s="4">
        <v>11</v>
      </c>
      <c r="E82" s="4">
        <v>12</v>
      </c>
      <c r="F82" s="4">
        <v>13</v>
      </c>
      <c r="Q82" s="4"/>
      <c r="R82" s="4"/>
      <c r="S82" s="4"/>
    </row>
    <row r="83" spans="1:19" x14ac:dyDescent="0.35">
      <c r="A83">
        <v>5</v>
      </c>
      <c r="B83" s="10">
        <v>2</v>
      </c>
      <c r="D83" s="4">
        <v>2.5</v>
      </c>
      <c r="E83" s="4">
        <v>3</v>
      </c>
      <c r="F83" s="4">
        <v>3.5</v>
      </c>
      <c r="Q83" s="4"/>
      <c r="R83" s="4"/>
      <c r="S83" s="4"/>
    </row>
    <row r="84" spans="1:19" x14ac:dyDescent="0.35">
      <c r="A84">
        <v>5</v>
      </c>
      <c r="B84" s="10">
        <v>3</v>
      </c>
      <c r="D84" s="4">
        <v>3.5</v>
      </c>
      <c r="E84" s="4">
        <v>4</v>
      </c>
      <c r="F84" s="4">
        <v>4.5</v>
      </c>
      <c r="Q84" s="4"/>
      <c r="R84" s="4"/>
      <c r="S84" s="4"/>
    </row>
    <row r="85" spans="1:19" x14ac:dyDescent="0.35">
      <c r="A85">
        <v>5</v>
      </c>
      <c r="B85" s="10">
        <v>4</v>
      </c>
      <c r="D85" s="4">
        <v>3.5</v>
      </c>
      <c r="E85" s="4">
        <v>4</v>
      </c>
      <c r="F85" s="4">
        <v>4.5</v>
      </c>
      <c r="Q85" s="4"/>
      <c r="R85" s="4"/>
      <c r="S85" s="4"/>
    </row>
    <row r="86" spans="1:19" x14ac:dyDescent="0.35">
      <c r="A86">
        <v>5</v>
      </c>
      <c r="B86" s="10">
        <v>5</v>
      </c>
      <c r="D86" s="4">
        <v>2</v>
      </c>
      <c r="E86" s="4">
        <v>2.5</v>
      </c>
      <c r="F86" s="4">
        <v>3</v>
      </c>
      <c r="Q86" s="4"/>
      <c r="R86" s="4"/>
      <c r="S86" s="4"/>
    </row>
    <row r="87" spans="1:19" x14ac:dyDescent="0.35">
      <c r="A87">
        <v>5</v>
      </c>
      <c r="B87" s="10">
        <v>6</v>
      </c>
      <c r="D87" s="4">
        <v>4</v>
      </c>
      <c r="E87" s="4">
        <v>4.5</v>
      </c>
      <c r="F87" s="4">
        <v>5</v>
      </c>
      <c r="Q87" s="4"/>
      <c r="R87" s="4"/>
      <c r="S87" s="4"/>
    </row>
    <row r="88" spans="1:19" x14ac:dyDescent="0.35">
      <c r="A88">
        <v>5</v>
      </c>
      <c r="B88" s="10">
        <v>7</v>
      </c>
      <c r="D88" s="4">
        <v>7.5</v>
      </c>
      <c r="E88" s="4">
        <v>8</v>
      </c>
      <c r="F88" s="4">
        <v>8.5</v>
      </c>
      <c r="Q88" s="4"/>
      <c r="R88" s="4"/>
      <c r="S88" s="4"/>
    </row>
    <row r="89" spans="1:19" x14ac:dyDescent="0.35">
      <c r="A89">
        <v>5</v>
      </c>
      <c r="B89" s="10">
        <v>8</v>
      </c>
      <c r="D89" s="4">
        <v>0.5</v>
      </c>
      <c r="E89" s="4">
        <v>1</v>
      </c>
      <c r="F89" s="4">
        <v>1.5</v>
      </c>
      <c r="Q89" s="4"/>
      <c r="R89" s="4"/>
      <c r="S89" s="4"/>
    </row>
    <row r="90" spans="1:19" x14ac:dyDescent="0.35">
      <c r="A90">
        <v>5</v>
      </c>
      <c r="B90" s="10">
        <v>9</v>
      </c>
      <c r="D90" s="4">
        <v>3.5</v>
      </c>
      <c r="E90" s="4">
        <v>4</v>
      </c>
      <c r="F90" s="4">
        <v>4.5</v>
      </c>
      <c r="Q90" s="4"/>
      <c r="R90" s="4"/>
      <c r="S90" s="4"/>
    </row>
    <row r="91" spans="1:19" x14ac:dyDescent="0.35">
      <c r="A91">
        <v>5</v>
      </c>
      <c r="B91" s="10">
        <v>10</v>
      </c>
      <c r="D91" s="4">
        <v>0.38</v>
      </c>
      <c r="E91" s="4">
        <v>0.4</v>
      </c>
      <c r="F91" s="4">
        <v>0.42</v>
      </c>
      <c r="Q91" s="4"/>
      <c r="R91" s="4"/>
      <c r="S91" s="4"/>
    </row>
    <row r="92" spans="1:19" x14ac:dyDescent="0.35">
      <c r="A92">
        <v>5</v>
      </c>
      <c r="B92" s="10">
        <v>11</v>
      </c>
      <c r="D92" s="4">
        <v>0.33</v>
      </c>
      <c r="E92" s="4">
        <v>0.35</v>
      </c>
      <c r="F92" s="4">
        <v>0.38</v>
      </c>
      <c r="Q92" s="4"/>
      <c r="R92" s="4"/>
      <c r="S92" s="4"/>
    </row>
    <row r="93" spans="1:19" x14ac:dyDescent="0.35">
      <c r="A93">
        <v>5</v>
      </c>
      <c r="B93" s="10">
        <v>12</v>
      </c>
      <c r="D93" s="4">
        <v>0.31</v>
      </c>
      <c r="E93" s="4">
        <v>0.33</v>
      </c>
      <c r="F93" s="4">
        <v>0.35</v>
      </c>
      <c r="Q93" s="4"/>
      <c r="R93" s="4"/>
      <c r="S93" s="4"/>
    </row>
    <row r="94" spans="1:19" x14ac:dyDescent="0.35">
      <c r="A94">
        <v>5</v>
      </c>
      <c r="B94" s="10">
        <v>13</v>
      </c>
      <c r="D94" s="4">
        <v>0.65</v>
      </c>
      <c r="E94" s="4">
        <v>0.7</v>
      </c>
      <c r="F94" s="4">
        <v>0.75</v>
      </c>
      <c r="Q94" s="4"/>
      <c r="R94" s="4"/>
      <c r="S94" s="4"/>
    </row>
    <row r="95" spans="1:19" x14ac:dyDescent="0.35">
      <c r="A95">
        <v>5</v>
      </c>
      <c r="B95" s="10">
        <v>14</v>
      </c>
      <c r="D95" s="4">
        <v>0.6</v>
      </c>
      <c r="E95" s="4">
        <v>0.65</v>
      </c>
      <c r="F95" s="4">
        <v>0.7</v>
      </c>
      <c r="Q95" s="4"/>
      <c r="R95" s="4"/>
      <c r="S95" s="4"/>
    </row>
    <row r="96" spans="1:19" x14ac:dyDescent="0.35">
      <c r="A96">
        <v>5</v>
      </c>
      <c r="B96" s="10">
        <v>15</v>
      </c>
      <c r="D96" s="4">
        <v>0.55000000000000004</v>
      </c>
      <c r="E96" s="4">
        <v>0.6</v>
      </c>
      <c r="F96" s="4">
        <v>0.65</v>
      </c>
      <c r="Q96" s="4"/>
      <c r="R96" s="4"/>
      <c r="S96" s="4"/>
    </row>
    <row r="97" spans="1:19" x14ac:dyDescent="0.35">
      <c r="A97">
        <v>5</v>
      </c>
      <c r="B97" s="10">
        <v>16</v>
      </c>
      <c r="D97" s="4">
        <v>85</v>
      </c>
      <c r="E97" s="4">
        <v>90</v>
      </c>
      <c r="F97" s="4">
        <v>95</v>
      </c>
      <c r="Q97" s="4"/>
      <c r="R97" s="4"/>
      <c r="S97" s="4"/>
    </row>
    <row r="98" spans="1:19" x14ac:dyDescent="0.35">
      <c r="A98">
        <v>5</v>
      </c>
      <c r="B98" s="10">
        <v>17</v>
      </c>
      <c r="D98" s="4">
        <v>75</v>
      </c>
      <c r="E98" s="4">
        <v>80</v>
      </c>
      <c r="F98" s="4">
        <v>90</v>
      </c>
      <c r="Q98" s="4"/>
      <c r="R98" s="4"/>
      <c r="S98" s="4"/>
    </row>
    <row r="99" spans="1:19" x14ac:dyDescent="0.35">
      <c r="A99">
        <v>5</v>
      </c>
      <c r="B99" s="10">
        <v>18</v>
      </c>
      <c r="D99" s="4">
        <v>60</v>
      </c>
      <c r="E99" s="4">
        <v>65</v>
      </c>
      <c r="F99" s="4">
        <v>70</v>
      </c>
      <c r="Q99" s="4"/>
      <c r="R99" s="4"/>
      <c r="S99" s="4"/>
    </row>
    <row r="100" spans="1:19" x14ac:dyDescent="0.35">
      <c r="A100">
        <v>5</v>
      </c>
      <c r="B100" s="10">
        <v>19</v>
      </c>
      <c r="D100" s="4">
        <v>25</v>
      </c>
      <c r="E100" s="4">
        <v>30</v>
      </c>
      <c r="F100" s="4">
        <v>35</v>
      </c>
      <c r="Q100" s="4"/>
      <c r="R100" s="4"/>
      <c r="S100" s="4"/>
    </row>
    <row r="101" spans="1:19" x14ac:dyDescent="0.35">
      <c r="A101">
        <v>5</v>
      </c>
      <c r="B101" s="10">
        <v>20</v>
      </c>
      <c r="D101" s="4">
        <v>12</v>
      </c>
      <c r="E101" s="4">
        <v>13</v>
      </c>
      <c r="F101" s="4">
        <v>14</v>
      </c>
      <c r="Q101" s="4"/>
      <c r="R101" s="4"/>
      <c r="S101" s="4"/>
    </row>
    <row r="102" spans="1:19" x14ac:dyDescent="0.35">
      <c r="A102">
        <v>6</v>
      </c>
      <c r="B102" s="10">
        <v>1</v>
      </c>
      <c r="D102" s="4">
        <v>3</v>
      </c>
      <c r="E102" s="4">
        <v>5</v>
      </c>
      <c r="F102" s="4">
        <v>6.5</v>
      </c>
      <c r="Q102" s="4"/>
      <c r="R102" s="4"/>
      <c r="S102" s="4"/>
    </row>
    <row r="103" spans="1:19" x14ac:dyDescent="0.35">
      <c r="A103">
        <v>6</v>
      </c>
      <c r="B103" s="10">
        <v>2</v>
      </c>
      <c r="D103" s="4">
        <v>2.5</v>
      </c>
      <c r="E103" s="4">
        <v>4.5</v>
      </c>
      <c r="F103" s="4">
        <v>5.5</v>
      </c>
      <c r="Q103" s="4"/>
      <c r="R103" s="4"/>
      <c r="S103" s="4"/>
    </row>
    <row r="104" spans="1:19" x14ac:dyDescent="0.35">
      <c r="A104">
        <v>6</v>
      </c>
      <c r="B104" s="10">
        <v>3</v>
      </c>
      <c r="D104" s="4">
        <v>2</v>
      </c>
      <c r="E104" s="4">
        <v>2.4</v>
      </c>
      <c r="F104" s="4">
        <v>3</v>
      </c>
      <c r="Q104" s="4"/>
      <c r="R104" s="4"/>
      <c r="S104" s="4"/>
    </row>
    <row r="105" spans="1:19" x14ac:dyDescent="0.35">
      <c r="A105">
        <v>6</v>
      </c>
      <c r="B105" s="10">
        <v>4</v>
      </c>
      <c r="D105" s="4">
        <v>3.4</v>
      </c>
      <c r="E105" s="4">
        <v>4.2</v>
      </c>
      <c r="F105" s="4">
        <v>4.8</v>
      </c>
      <c r="Q105" s="4"/>
      <c r="R105" s="4"/>
      <c r="S105" s="4"/>
    </row>
    <row r="106" spans="1:19" x14ac:dyDescent="0.35">
      <c r="A106">
        <v>6</v>
      </c>
      <c r="B106" s="10">
        <v>5</v>
      </c>
      <c r="D106" s="4">
        <v>2.6</v>
      </c>
      <c r="E106" s="4">
        <v>3.1</v>
      </c>
      <c r="F106" s="4">
        <v>3.8</v>
      </c>
      <c r="Q106" s="4"/>
      <c r="R106" s="4"/>
      <c r="S106" s="4"/>
    </row>
    <row r="107" spans="1:19" x14ac:dyDescent="0.35">
      <c r="A107">
        <v>6</v>
      </c>
      <c r="B107" s="10">
        <v>6</v>
      </c>
      <c r="D107" s="4">
        <v>2</v>
      </c>
      <c r="E107" s="4">
        <v>2.7</v>
      </c>
      <c r="F107" s="4">
        <v>3.6</v>
      </c>
      <c r="Q107" s="4"/>
      <c r="R107" s="4"/>
      <c r="S107" s="4"/>
    </row>
    <row r="108" spans="1:19" x14ac:dyDescent="0.35">
      <c r="A108">
        <v>6</v>
      </c>
      <c r="B108" s="10">
        <v>7</v>
      </c>
      <c r="D108" s="4">
        <v>5.5</v>
      </c>
      <c r="E108" s="4">
        <v>6.5</v>
      </c>
      <c r="F108" s="4">
        <v>7.5</v>
      </c>
      <c r="Q108" s="4"/>
      <c r="R108" s="4"/>
      <c r="S108" s="4"/>
    </row>
    <row r="109" spans="1:19" x14ac:dyDescent="0.35">
      <c r="A109">
        <v>6</v>
      </c>
      <c r="B109" s="10">
        <v>8</v>
      </c>
      <c r="D109" s="4">
        <v>1</v>
      </c>
      <c r="E109" s="4">
        <v>1.5</v>
      </c>
      <c r="F109" s="4">
        <v>2.2000000000000002</v>
      </c>
      <c r="Q109" s="4"/>
      <c r="R109" s="4"/>
      <c r="S109" s="4"/>
    </row>
    <row r="110" spans="1:19" x14ac:dyDescent="0.35">
      <c r="A110">
        <v>6</v>
      </c>
      <c r="B110" s="10">
        <v>9</v>
      </c>
      <c r="D110" s="4">
        <v>1</v>
      </c>
      <c r="E110" s="4">
        <v>1.7</v>
      </c>
      <c r="F110" s="4">
        <v>2.1</v>
      </c>
      <c r="Q110" s="4"/>
      <c r="R110" s="4"/>
      <c r="S110" s="4"/>
    </row>
    <row r="111" spans="1:19" x14ac:dyDescent="0.35">
      <c r="A111">
        <v>6</v>
      </c>
      <c r="B111" s="10">
        <v>10</v>
      </c>
      <c r="D111" s="4">
        <v>0.5</v>
      </c>
      <c r="E111" s="4">
        <v>0.55000000000000004</v>
      </c>
      <c r="F111" s="4">
        <v>0.6</v>
      </c>
      <c r="Q111" s="4"/>
      <c r="R111" s="4"/>
      <c r="S111" s="4"/>
    </row>
    <row r="112" spans="1:19" x14ac:dyDescent="0.35">
      <c r="A112">
        <v>6</v>
      </c>
      <c r="B112" s="10">
        <v>11</v>
      </c>
      <c r="D112" s="4">
        <v>0.45</v>
      </c>
      <c r="E112" s="4">
        <v>0.48</v>
      </c>
      <c r="F112" s="4">
        <v>0.55000000000000004</v>
      </c>
      <c r="Q112" s="4"/>
      <c r="R112" s="4"/>
      <c r="S112" s="4"/>
    </row>
    <row r="113" spans="1:19" x14ac:dyDescent="0.35">
      <c r="A113">
        <v>6</v>
      </c>
      <c r="B113" s="10">
        <v>12</v>
      </c>
      <c r="D113" s="4">
        <v>0.5</v>
      </c>
      <c r="E113" s="4">
        <v>0.55000000000000004</v>
      </c>
      <c r="F113" s="4">
        <v>0.6</v>
      </c>
      <c r="Q113" s="4"/>
      <c r="R113" s="4"/>
      <c r="S113" s="4"/>
    </row>
    <row r="114" spans="1:19" x14ac:dyDescent="0.35">
      <c r="A114">
        <v>6</v>
      </c>
      <c r="B114" s="10">
        <v>13</v>
      </c>
      <c r="D114" s="4">
        <v>0.4</v>
      </c>
      <c r="E114" s="4">
        <v>0.55000000000000004</v>
      </c>
      <c r="F114" s="4">
        <v>0.65</v>
      </c>
      <c r="Q114" s="4"/>
      <c r="R114" s="4"/>
      <c r="S114" s="4"/>
    </row>
    <row r="115" spans="1:19" x14ac:dyDescent="0.35">
      <c r="A115">
        <v>6</v>
      </c>
      <c r="B115" s="10">
        <v>14</v>
      </c>
      <c r="D115" s="4">
        <v>0.4</v>
      </c>
      <c r="E115" s="4">
        <v>0.48</v>
      </c>
      <c r="F115" s="4">
        <v>0.55000000000000004</v>
      </c>
      <c r="Q115" s="4"/>
      <c r="R115" s="4"/>
      <c r="S115" s="4"/>
    </row>
    <row r="116" spans="1:19" x14ac:dyDescent="0.35">
      <c r="A116">
        <v>6</v>
      </c>
      <c r="B116" s="10">
        <v>15</v>
      </c>
      <c r="D116" s="4">
        <v>0.4</v>
      </c>
      <c r="E116" s="4">
        <v>0.45</v>
      </c>
      <c r="F116" s="4">
        <v>0.55000000000000004</v>
      </c>
      <c r="Q116" s="4"/>
      <c r="R116" s="4"/>
      <c r="S116" s="4"/>
    </row>
    <row r="117" spans="1:19" x14ac:dyDescent="0.35">
      <c r="A117">
        <v>6</v>
      </c>
      <c r="B117" s="10">
        <v>16</v>
      </c>
      <c r="D117" s="4">
        <v>40</v>
      </c>
      <c r="E117" s="4">
        <v>45</v>
      </c>
      <c r="F117" s="4">
        <v>50</v>
      </c>
      <c r="Q117" s="4"/>
      <c r="R117" s="4"/>
      <c r="S117" s="4"/>
    </row>
    <row r="118" spans="1:19" x14ac:dyDescent="0.35">
      <c r="A118">
        <v>6</v>
      </c>
      <c r="B118" s="10">
        <v>17</v>
      </c>
      <c r="D118" s="4">
        <v>30</v>
      </c>
      <c r="E118" s="4">
        <v>38</v>
      </c>
      <c r="F118" s="4">
        <v>48</v>
      </c>
      <c r="Q118" s="4"/>
      <c r="R118" s="4"/>
      <c r="S118" s="4"/>
    </row>
    <row r="119" spans="1:19" x14ac:dyDescent="0.35">
      <c r="A119">
        <v>6</v>
      </c>
      <c r="B119" s="10">
        <v>18</v>
      </c>
      <c r="D119" s="4">
        <v>25</v>
      </c>
      <c r="E119" s="4">
        <v>30</v>
      </c>
      <c r="F119" s="4">
        <v>38</v>
      </c>
      <c r="Q119" s="4"/>
      <c r="R119" s="4"/>
      <c r="S119" s="4"/>
    </row>
    <row r="120" spans="1:19" x14ac:dyDescent="0.35">
      <c r="A120">
        <v>6</v>
      </c>
      <c r="B120" s="10">
        <v>19</v>
      </c>
      <c r="D120" s="4">
        <v>25</v>
      </c>
      <c r="E120" s="4">
        <v>28</v>
      </c>
      <c r="F120" s="4">
        <v>35</v>
      </c>
      <c r="Q120" s="4"/>
      <c r="R120" s="4"/>
      <c r="S120" s="4"/>
    </row>
    <row r="121" spans="1:19" x14ac:dyDescent="0.35">
      <c r="A121">
        <v>6</v>
      </c>
      <c r="B121" s="10">
        <v>20</v>
      </c>
      <c r="D121" s="4">
        <v>11</v>
      </c>
      <c r="E121" s="4">
        <v>13</v>
      </c>
      <c r="F121" s="4">
        <v>14</v>
      </c>
      <c r="Q121" s="4"/>
      <c r="R121" s="4"/>
      <c r="S121" s="4"/>
    </row>
    <row r="122" spans="1:19" x14ac:dyDescent="0.35">
      <c r="F122" s="4"/>
      <c r="Q122" s="4"/>
      <c r="R122" s="4"/>
      <c r="S122" s="4"/>
    </row>
    <row r="123" spans="1:19" x14ac:dyDescent="0.35">
      <c r="F123" s="4"/>
      <c r="Q123" s="4"/>
      <c r="R123" s="4"/>
      <c r="S123" s="4"/>
    </row>
    <row r="124" spans="1:19" x14ac:dyDescent="0.35">
      <c r="F124" s="4"/>
      <c r="Q124" s="4"/>
      <c r="R124" s="4"/>
      <c r="S124" s="4"/>
    </row>
    <row r="125" spans="1:19" x14ac:dyDescent="0.35">
      <c r="F125" s="4"/>
      <c r="Q125" s="4"/>
      <c r="R125" s="4"/>
      <c r="S125" s="4"/>
    </row>
    <row r="126" spans="1:19" x14ac:dyDescent="0.35">
      <c r="F126" s="4"/>
      <c r="Q126" s="4"/>
      <c r="R126" s="4"/>
      <c r="S126" s="4"/>
    </row>
    <row r="127" spans="1:19" x14ac:dyDescent="0.35">
      <c r="F127" s="4"/>
      <c r="Q127" s="4"/>
      <c r="R127" s="4"/>
      <c r="S127" s="4"/>
    </row>
    <row r="128" spans="1:19" x14ac:dyDescent="0.35">
      <c r="F128" s="4"/>
      <c r="Q128" s="4"/>
      <c r="R128" s="4"/>
      <c r="S128" s="4"/>
    </row>
    <row r="129" spans="6:19" x14ac:dyDescent="0.35">
      <c r="F129" s="4"/>
      <c r="Q129" s="4"/>
      <c r="R129" s="4"/>
      <c r="S129" s="4"/>
    </row>
    <row r="130" spans="6:19" x14ac:dyDescent="0.35">
      <c r="F130" s="4"/>
      <c r="Q130" s="4"/>
      <c r="R130" s="4"/>
      <c r="S130" s="4"/>
    </row>
    <row r="131" spans="6:19" x14ac:dyDescent="0.35">
      <c r="F131" s="4"/>
      <c r="Q131" s="4"/>
      <c r="R131" s="4"/>
      <c r="S131" s="4"/>
    </row>
    <row r="132" spans="6:19" x14ac:dyDescent="0.35">
      <c r="F132" s="4"/>
      <c r="Q132" s="4"/>
      <c r="R132" s="4"/>
      <c r="S132" s="4"/>
    </row>
    <row r="133" spans="6:19" x14ac:dyDescent="0.35">
      <c r="F133" s="4"/>
      <c r="Q133" s="4"/>
      <c r="R133" s="4"/>
      <c r="S133" s="4"/>
    </row>
    <row r="134" spans="6:19" x14ac:dyDescent="0.35">
      <c r="F134" s="4"/>
      <c r="Q134" s="4"/>
      <c r="R134" s="4"/>
      <c r="S134" s="4"/>
    </row>
    <row r="135" spans="6:19" x14ac:dyDescent="0.35">
      <c r="F135" s="4"/>
      <c r="Q135" s="4"/>
      <c r="R135" s="4"/>
      <c r="S135" s="4"/>
    </row>
    <row r="136" spans="6:19" x14ac:dyDescent="0.35">
      <c r="F136" s="4"/>
      <c r="Q136" s="4"/>
      <c r="R136" s="4"/>
      <c r="S136" s="4"/>
    </row>
    <row r="137" spans="6:19" x14ac:dyDescent="0.35">
      <c r="F137" s="4"/>
      <c r="Q137" s="4"/>
      <c r="R137" s="4"/>
      <c r="S137" s="4"/>
    </row>
    <row r="138" spans="6:19" x14ac:dyDescent="0.35">
      <c r="F138" s="4"/>
      <c r="Q138" s="4"/>
      <c r="R138" s="4"/>
      <c r="S138" s="4"/>
    </row>
    <row r="139" spans="6:19" x14ac:dyDescent="0.35">
      <c r="F139" s="4"/>
      <c r="Q139" s="4"/>
      <c r="R139" s="4"/>
      <c r="S139" s="4"/>
    </row>
    <row r="140" spans="6:19" x14ac:dyDescent="0.35">
      <c r="F140" s="4"/>
      <c r="Q140" s="4"/>
      <c r="R140" s="4"/>
      <c r="S140" s="4"/>
    </row>
    <row r="141" spans="6:19" x14ac:dyDescent="0.35">
      <c r="F141" s="4"/>
      <c r="Q141" s="4"/>
      <c r="R141" s="4"/>
      <c r="S141" s="4"/>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9"/>
  <dimension ref="A1:H97"/>
  <sheetViews>
    <sheetView workbookViewId="0">
      <selection activeCell="I10" sqref="I10"/>
    </sheetView>
  </sheetViews>
  <sheetFormatPr defaultRowHeight="14.5" x14ac:dyDescent="0.35"/>
  <cols>
    <col min="1" max="9" width="9.1796875"/>
  </cols>
  <sheetData>
    <row r="1" spans="1:8" x14ac:dyDescent="0.35">
      <c r="A1" t="s">
        <v>980</v>
      </c>
      <c r="H1" t="s">
        <v>58</v>
      </c>
    </row>
    <row r="2" spans="1:8" x14ac:dyDescent="0.35">
      <c r="A2">
        <v>1</v>
      </c>
      <c r="B2">
        <v>1</v>
      </c>
      <c r="C2" t="s">
        <v>983</v>
      </c>
      <c r="D2" s="4">
        <v>3</v>
      </c>
      <c r="E2" s="4">
        <v>4.5</v>
      </c>
      <c r="F2" s="4">
        <v>5.75</v>
      </c>
      <c r="H2" s="4">
        <v>0.75</v>
      </c>
    </row>
    <row r="3" spans="1:8" x14ac:dyDescent="0.35">
      <c r="A3">
        <v>1</v>
      </c>
      <c r="B3">
        <v>2</v>
      </c>
      <c r="C3" t="s">
        <v>984</v>
      </c>
      <c r="D3" s="4">
        <v>3000</v>
      </c>
      <c r="E3" s="4">
        <v>4500</v>
      </c>
      <c r="F3" s="4">
        <v>10000</v>
      </c>
      <c r="H3" s="4">
        <v>2794</v>
      </c>
    </row>
    <row r="4" spans="1:8" x14ac:dyDescent="0.35">
      <c r="A4">
        <v>1</v>
      </c>
      <c r="B4">
        <v>3</v>
      </c>
      <c r="C4" t="s">
        <v>985</v>
      </c>
      <c r="D4" s="4">
        <v>15</v>
      </c>
      <c r="E4" s="4">
        <v>22</v>
      </c>
      <c r="F4" s="4">
        <v>25</v>
      </c>
      <c r="H4" s="4">
        <v>15</v>
      </c>
    </row>
    <row r="5" spans="1:8" x14ac:dyDescent="0.35">
      <c r="A5">
        <v>1</v>
      </c>
      <c r="B5">
        <v>4</v>
      </c>
      <c r="C5" t="s">
        <v>986</v>
      </c>
      <c r="D5" s="4">
        <v>0.5</v>
      </c>
      <c r="E5" s="4">
        <v>1.5</v>
      </c>
      <c r="F5" s="4">
        <v>3</v>
      </c>
      <c r="H5" s="4">
        <v>1.1000000000000001</v>
      </c>
    </row>
    <row r="6" spans="1:8" x14ac:dyDescent="0.35">
      <c r="A6">
        <v>1</v>
      </c>
      <c r="B6">
        <v>5</v>
      </c>
      <c r="C6" t="s">
        <v>987</v>
      </c>
      <c r="D6" s="4">
        <v>6</v>
      </c>
      <c r="E6" s="4">
        <v>17</v>
      </c>
      <c r="F6" s="4">
        <v>25</v>
      </c>
      <c r="H6" s="4">
        <v>10</v>
      </c>
    </row>
    <row r="7" spans="1:8" x14ac:dyDescent="0.35">
      <c r="A7">
        <v>1</v>
      </c>
      <c r="B7">
        <v>6</v>
      </c>
      <c r="C7" t="s">
        <v>988</v>
      </c>
      <c r="D7" s="4">
        <v>1E-3</v>
      </c>
      <c r="E7" s="4">
        <v>3.0000000000000001E-3</v>
      </c>
      <c r="F7" s="4">
        <v>8.0000000000000002E-3</v>
      </c>
      <c r="H7" s="4">
        <v>2.3E-5</v>
      </c>
    </row>
    <row r="8" spans="1:8" x14ac:dyDescent="0.35">
      <c r="A8">
        <v>1</v>
      </c>
      <c r="B8">
        <v>7</v>
      </c>
      <c r="C8" t="s">
        <v>989</v>
      </c>
      <c r="D8" s="4">
        <v>1.0000000000000001E-5</v>
      </c>
      <c r="E8" s="4">
        <v>1E-4</v>
      </c>
      <c r="F8" s="4">
        <v>4.0000000000000002E-4</v>
      </c>
      <c r="H8" s="4">
        <v>4.8000000000000001E-4</v>
      </c>
    </row>
    <row r="9" spans="1:8" x14ac:dyDescent="0.35">
      <c r="A9">
        <v>1</v>
      </c>
      <c r="B9">
        <v>8</v>
      </c>
      <c r="C9" t="s">
        <v>990</v>
      </c>
      <c r="D9" s="4">
        <v>0.3</v>
      </c>
      <c r="E9" s="4">
        <v>0.6</v>
      </c>
      <c r="F9" s="4">
        <v>0.8</v>
      </c>
      <c r="H9" s="4">
        <v>0.57999999999999996</v>
      </c>
    </row>
    <row r="10" spans="1:8" x14ac:dyDescent="0.35">
      <c r="A10">
        <v>2</v>
      </c>
      <c r="B10">
        <v>1</v>
      </c>
      <c r="C10" t="s">
        <v>983</v>
      </c>
      <c r="D10" s="4">
        <v>1</v>
      </c>
      <c r="E10" s="4">
        <v>2</v>
      </c>
      <c r="F10" s="4">
        <v>4</v>
      </c>
      <c r="H10" s="4"/>
    </row>
    <row r="11" spans="1:8" x14ac:dyDescent="0.35">
      <c r="A11">
        <v>2</v>
      </c>
      <c r="B11">
        <v>2</v>
      </c>
      <c r="C11" t="s">
        <v>984</v>
      </c>
      <c r="D11" s="4">
        <v>1000</v>
      </c>
      <c r="E11" s="4">
        <v>2000</v>
      </c>
      <c r="F11" s="4">
        <v>9000</v>
      </c>
    </row>
    <row r="12" spans="1:8" x14ac:dyDescent="0.35">
      <c r="A12">
        <v>2</v>
      </c>
      <c r="B12">
        <v>3</v>
      </c>
      <c r="C12" t="s">
        <v>985</v>
      </c>
      <c r="D12" s="4">
        <v>18</v>
      </c>
      <c r="E12" s="4">
        <v>24</v>
      </c>
      <c r="F12" s="4">
        <v>27</v>
      </c>
    </row>
    <row r="13" spans="1:8" x14ac:dyDescent="0.35">
      <c r="A13">
        <v>2</v>
      </c>
      <c r="B13">
        <v>4</v>
      </c>
      <c r="C13" t="s">
        <v>986</v>
      </c>
      <c r="D13" s="4">
        <v>0.5</v>
      </c>
      <c r="E13" s="4">
        <v>1</v>
      </c>
      <c r="F13" s="4">
        <v>1.5</v>
      </c>
    </row>
    <row r="14" spans="1:8" x14ac:dyDescent="0.35">
      <c r="A14">
        <v>2</v>
      </c>
      <c r="B14">
        <v>5</v>
      </c>
      <c r="C14" t="s">
        <v>987</v>
      </c>
      <c r="D14" s="4">
        <v>1</v>
      </c>
      <c r="E14" s="4">
        <v>5</v>
      </c>
      <c r="F14" s="4">
        <v>16</v>
      </c>
    </row>
    <row r="15" spans="1:8" x14ac:dyDescent="0.35">
      <c r="A15">
        <v>2</v>
      </c>
      <c r="B15">
        <v>6</v>
      </c>
      <c r="C15" t="s">
        <v>988</v>
      </c>
      <c r="D15" s="4">
        <v>2E-3</v>
      </c>
      <c r="E15" s="4">
        <v>4.0000000000000001E-3</v>
      </c>
      <c r="F15" s="4">
        <v>6.0000000000000001E-3</v>
      </c>
    </row>
    <row r="16" spans="1:8" x14ac:dyDescent="0.35">
      <c r="A16">
        <v>2</v>
      </c>
      <c r="B16">
        <v>7</v>
      </c>
      <c r="C16" t="s">
        <v>989</v>
      </c>
      <c r="D16" s="4">
        <v>1E-4</v>
      </c>
      <c r="E16" s="4">
        <v>1E-3</v>
      </c>
      <c r="F16" s="4">
        <v>0.1</v>
      </c>
    </row>
    <row r="17" spans="1:6" x14ac:dyDescent="0.35">
      <c r="A17">
        <v>2</v>
      </c>
      <c r="B17">
        <v>8</v>
      </c>
      <c r="C17" t="s">
        <v>990</v>
      </c>
      <c r="D17" s="4">
        <v>0.1</v>
      </c>
      <c r="E17" s="4">
        <v>0.4</v>
      </c>
      <c r="F17" s="4">
        <v>0.6</v>
      </c>
    </row>
    <row r="18" spans="1:6" x14ac:dyDescent="0.35">
      <c r="A18">
        <v>3</v>
      </c>
      <c r="B18">
        <v>1</v>
      </c>
      <c r="C18" t="s">
        <v>983</v>
      </c>
      <c r="D18" s="4">
        <v>2</v>
      </c>
      <c r="E18" s="4">
        <v>3</v>
      </c>
      <c r="F18" s="4">
        <v>4</v>
      </c>
    </row>
    <row r="19" spans="1:6" x14ac:dyDescent="0.35">
      <c r="A19">
        <v>3</v>
      </c>
      <c r="B19">
        <v>2</v>
      </c>
      <c r="C19" t="s">
        <v>984</v>
      </c>
      <c r="D19" s="4">
        <v>1000</v>
      </c>
      <c r="E19" s="4">
        <v>3000</v>
      </c>
      <c r="F19" s="4">
        <v>5000</v>
      </c>
    </row>
    <row r="20" spans="1:6" x14ac:dyDescent="0.35">
      <c r="A20">
        <v>3</v>
      </c>
      <c r="B20">
        <v>3</v>
      </c>
      <c r="C20" t="s">
        <v>985</v>
      </c>
      <c r="D20" s="4">
        <v>15</v>
      </c>
      <c r="E20" s="4">
        <v>16.5</v>
      </c>
      <c r="F20" s="4">
        <v>18</v>
      </c>
    </row>
    <row r="21" spans="1:6" x14ac:dyDescent="0.35">
      <c r="A21">
        <v>3</v>
      </c>
      <c r="B21">
        <v>4</v>
      </c>
      <c r="C21" t="s">
        <v>986</v>
      </c>
      <c r="D21" s="4">
        <v>0.5</v>
      </c>
      <c r="E21" s="4">
        <v>1</v>
      </c>
      <c r="F21" s="4">
        <v>1.5</v>
      </c>
    </row>
    <row r="22" spans="1:6" x14ac:dyDescent="0.35">
      <c r="A22">
        <v>3</v>
      </c>
      <c r="B22">
        <v>5</v>
      </c>
      <c r="C22" t="s">
        <v>987</v>
      </c>
      <c r="D22" s="4">
        <v>15</v>
      </c>
      <c r="E22" s="4">
        <v>18</v>
      </c>
      <c r="F22" s="4">
        <v>22</v>
      </c>
    </row>
    <row r="23" spans="1:6" x14ac:dyDescent="0.35">
      <c r="A23">
        <v>3</v>
      </c>
      <c r="B23">
        <v>6</v>
      </c>
      <c r="C23" t="s">
        <v>988</v>
      </c>
      <c r="D23" s="4">
        <v>1.0000000000000001E-5</v>
      </c>
      <c r="E23" s="4">
        <v>5.0000000000000002E-5</v>
      </c>
      <c r="F23" s="4">
        <v>1E-4</v>
      </c>
    </row>
    <row r="24" spans="1:6" x14ac:dyDescent="0.35">
      <c r="A24">
        <v>3</v>
      </c>
      <c r="B24">
        <v>7</v>
      </c>
      <c r="C24" t="s">
        <v>989</v>
      </c>
      <c r="D24" s="4">
        <v>5.0000000000000002E-5</v>
      </c>
      <c r="E24" s="4">
        <v>1E-4</v>
      </c>
      <c r="F24" s="4">
        <v>1E-3</v>
      </c>
    </row>
    <row r="25" spans="1:6" x14ac:dyDescent="0.35">
      <c r="A25">
        <v>3</v>
      </c>
      <c r="B25">
        <v>8</v>
      </c>
      <c r="C25" t="s">
        <v>990</v>
      </c>
      <c r="D25" s="4">
        <v>0.25</v>
      </c>
      <c r="E25" s="4">
        <v>0.35</v>
      </c>
      <c r="F25" s="4">
        <v>0.5</v>
      </c>
    </row>
    <row r="26" spans="1:6" x14ac:dyDescent="0.35">
      <c r="A26">
        <v>4</v>
      </c>
      <c r="B26">
        <v>1</v>
      </c>
      <c r="C26" t="s">
        <v>983</v>
      </c>
      <c r="D26" s="4">
        <v>0.5</v>
      </c>
      <c r="E26" s="4">
        <v>2</v>
      </c>
      <c r="F26" s="4">
        <v>4</v>
      </c>
    </row>
    <row r="27" spans="1:6" x14ac:dyDescent="0.35">
      <c r="A27">
        <v>4</v>
      </c>
      <c r="B27">
        <v>2</v>
      </c>
      <c r="C27" t="s">
        <v>984</v>
      </c>
      <c r="D27" s="4">
        <v>2000</v>
      </c>
      <c r="E27" s="4">
        <v>4000</v>
      </c>
      <c r="F27" s="4">
        <v>8000</v>
      </c>
    </row>
    <row r="28" spans="1:6" x14ac:dyDescent="0.35">
      <c r="A28">
        <v>4</v>
      </c>
      <c r="B28">
        <v>3</v>
      </c>
      <c r="C28" t="s">
        <v>985</v>
      </c>
      <c r="D28" s="4">
        <v>9</v>
      </c>
      <c r="E28" s="4">
        <v>12</v>
      </c>
      <c r="F28" s="4">
        <v>15</v>
      </c>
    </row>
    <row r="29" spans="1:6" x14ac:dyDescent="0.35">
      <c r="A29">
        <v>4</v>
      </c>
      <c r="B29">
        <v>4</v>
      </c>
      <c r="C29" t="s">
        <v>986</v>
      </c>
      <c r="D29" s="4">
        <v>9.9999999999999995E-7</v>
      </c>
      <c r="E29" s="4">
        <v>1E-4</v>
      </c>
      <c r="F29" s="4">
        <v>0.01</v>
      </c>
    </row>
    <row r="30" spans="1:6" x14ac:dyDescent="0.35">
      <c r="A30">
        <v>4</v>
      </c>
      <c r="B30">
        <v>5</v>
      </c>
      <c r="C30" t="s">
        <v>987</v>
      </c>
      <c r="D30" s="4">
        <v>6</v>
      </c>
      <c r="E30" s="4">
        <v>16</v>
      </c>
      <c r="F30" s="4">
        <v>23</v>
      </c>
    </row>
    <row r="31" spans="1:6" x14ac:dyDescent="0.35">
      <c r="A31">
        <v>4</v>
      </c>
      <c r="B31">
        <v>6</v>
      </c>
      <c r="C31" t="s">
        <v>988</v>
      </c>
      <c r="D31" s="4">
        <v>1E-4</v>
      </c>
      <c r="E31" s="4">
        <v>1E-3</v>
      </c>
      <c r="F31" s="4">
        <v>0.01</v>
      </c>
    </row>
    <row r="32" spans="1:6" x14ac:dyDescent="0.35">
      <c r="A32">
        <v>4</v>
      </c>
      <c r="B32">
        <v>7</v>
      </c>
      <c r="C32" t="s">
        <v>989</v>
      </c>
      <c r="D32" s="4">
        <v>1.0000000000000001E-5</v>
      </c>
      <c r="E32" s="4">
        <v>1E-4</v>
      </c>
      <c r="F32" s="4">
        <v>1E-3</v>
      </c>
    </row>
    <row r="33" spans="1:6" x14ac:dyDescent="0.35">
      <c r="A33">
        <v>4</v>
      </c>
      <c r="B33">
        <v>8</v>
      </c>
      <c r="C33" t="s">
        <v>990</v>
      </c>
      <c r="D33" s="4">
        <v>0.3</v>
      </c>
      <c r="E33" s="4">
        <v>0.5</v>
      </c>
      <c r="F33" s="4">
        <v>0.8</v>
      </c>
    </row>
    <row r="34" spans="1:6" x14ac:dyDescent="0.35">
      <c r="A34">
        <v>5</v>
      </c>
      <c r="B34">
        <v>1</v>
      </c>
      <c r="C34" t="s">
        <v>983</v>
      </c>
      <c r="D34" s="4">
        <v>0.5</v>
      </c>
      <c r="E34" s="4">
        <v>4</v>
      </c>
      <c r="F34" s="4">
        <v>5.5</v>
      </c>
    </row>
    <row r="35" spans="1:6" x14ac:dyDescent="0.35">
      <c r="A35">
        <v>5</v>
      </c>
      <c r="B35">
        <v>2</v>
      </c>
      <c r="C35" t="s">
        <v>984</v>
      </c>
      <c r="D35" s="4">
        <v>1000</v>
      </c>
      <c r="E35" s="4">
        <v>3000</v>
      </c>
      <c r="F35" s="4">
        <v>7000</v>
      </c>
    </row>
    <row r="36" spans="1:6" x14ac:dyDescent="0.35">
      <c r="A36">
        <v>5</v>
      </c>
      <c r="B36">
        <v>3</v>
      </c>
      <c r="C36" t="s">
        <v>985</v>
      </c>
      <c r="D36" s="4">
        <v>10</v>
      </c>
      <c r="E36" s="4">
        <v>20</v>
      </c>
      <c r="F36" s="4">
        <v>25</v>
      </c>
    </row>
    <row r="37" spans="1:6" x14ac:dyDescent="0.35">
      <c r="A37">
        <v>5</v>
      </c>
      <c r="B37">
        <v>4</v>
      </c>
      <c r="C37" t="s">
        <v>986</v>
      </c>
      <c r="D37" s="4">
        <v>0.5</v>
      </c>
      <c r="E37" s="4">
        <v>1</v>
      </c>
      <c r="F37" s="4">
        <v>3</v>
      </c>
    </row>
    <row r="38" spans="1:6" x14ac:dyDescent="0.35">
      <c r="A38">
        <v>5</v>
      </c>
      <c r="B38">
        <v>5</v>
      </c>
      <c r="C38" t="s">
        <v>987</v>
      </c>
      <c r="D38" s="4">
        <v>2</v>
      </c>
      <c r="E38" s="4">
        <v>6</v>
      </c>
      <c r="F38" s="4">
        <v>23</v>
      </c>
    </row>
    <row r="39" spans="1:6" x14ac:dyDescent="0.35">
      <c r="A39">
        <v>5</v>
      </c>
      <c r="B39">
        <v>6</v>
      </c>
      <c r="C39" t="s">
        <v>988</v>
      </c>
      <c r="D39" s="4">
        <v>1.0000000000000001E-5</v>
      </c>
      <c r="E39" s="4">
        <v>1.4999999999999999E-4</v>
      </c>
      <c r="F39" s="4">
        <v>7.5000000000000002E-4</v>
      </c>
    </row>
    <row r="40" spans="1:6" x14ac:dyDescent="0.35">
      <c r="A40">
        <v>5</v>
      </c>
      <c r="B40">
        <v>7</v>
      </c>
      <c r="C40" t="s">
        <v>989</v>
      </c>
      <c r="D40" s="4">
        <v>1.0000000000000001E-5</v>
      </c>
      <c r="E40" s="4">
        <v>1E-4</v>
      </c>
      <c r="F40" s="4">
        <v>5.0000000000000001E-4</v>
      </c>
    </row>
    <row r="41" spans="1:6" x14ac:dyDescent="0.35">
      <c r="A41">
        <v>5</v>
      </c>
      <c r="B41">
        <v>8</v>
      </c>
      <c r="C41" t="s">
        <v>990</v>
      </c>
      <c r="D41" s="4">
        <v>0.01</v>
      </c>
      <c r="E41" s="4">
        <v>0.1</v>
      </c>
      <c r="F41" s="4">
        <v>1</v>
      </c>
    </row>
    <row r="42" spans="1:6" x14ac:dyDescent="0.35">
      <c r="A42">
        <v>6</v>
      </c>
      <c r="B42">
        <v>1</v>
      </c>
      <c r="C42" t="s">
        <v>983</v>
      </c>
      <c r="D42" s="4">
        <v>1.5</v>
      </c>
      <c r="E42" s="4">
        <v>2</v>
      </c>
      <c r="F42" s="4">
        <v>3</v>
      </c>
    </row>
    <row r="43" spans="1:6" x14ac:dyDescent="0.35">
      <c r="A43">
        <v>6</v>
      </c>
      <c r="B43">
        <v>2</v>
      </c>
      <c r="C43" t="s">
        <v>984</v>
      </c>
      <c r="D43" s="4">
        <v>2000</v>
      </c>
      <c r="E43" s="4">
        <v>4000</v>
      </c>
      <c r="F43" s="4">
        <v>6000</v>
      </c>
    </row>
    <row r="44" spans="1:6" x14ac:dyDescent="0.35">
      <c r="A44">
        <v>6</v>
      </c>
      <c r="B44">
        <v>3</v>
      </c>
      <c r="C44" t="s">
        <v>985</v>
      </c>
      <c r="D44" s="4">
        <v>13</v>
      </c>
      <c r="E44" s="4">
        <v>15</v>
      </c>
      <c r="F44" s="4">
        <v>23</v>
      </c>
    </row>
    <row r="45" spans="1:6" x14ac:dyDescent="0.35">
      <c r="A45">
        <v>6</v>
      </c>
      <c r="B45">
        <v>4</v>
      </c>
      <c r="C45" t="s">
        <v>986</v>
      </c>
      <c r="D45" s="4">
        <v>0.5</v>
      </c>
      <c r="E45" s="4">
        <v>1.5</v>
      </c>
      <c r="F45" s="4">
        <v>2</v>
      </c>
    </row>
    <row r="46" spans="1:6" x14ac:dyDescent="0.35">
      <c r="A46">
        <v>6</v>
      </c>
      <c r="B46">
        <v>5</v>
      </c>
      <c r="C46" t="s">
        <v>987</v>
      </c>
      <c r="D46" s="4">
        <v>5</v>
      </c>
      <c r="E46" s="4">
        <v>15</v>
      </c>
      <c r="F46" s="4">
        <v>25</v>
      </c>
    </row>
    <row r="47" spans="1:6" x14ac:dyDescent="0.35">
      <c r="A47">
        <v>6</v>
      </c>
      <c r="B47">
        <v>6</v>
      </c>
      <c r="C47" t="s">
        <v>988</v>
      </c>
      <c r="D47" s="4">
        <v>2.0000000000000001E-4</v>
      </c>
      <c r="E47" s="4">
        <v>1E-3</v>
      </c>
      <c r="F47" s="4">
        <v>5.0000000000000001E-3</v>
      </c>
    </row>
    <row r="48" spans="1:6" x14ac:dyDescent="0.35">
      <c r="A48">
        <v>6</v>
      </c>
      <c r="B48">
        <v>7</v>
      </c>
      <c r="C48" t="s">
        <v>989</v>
      </c>
      <c r="D48" s="4">
        <v>2.8899999999999998E-4</v>
      </c>
      <c r="E48" s="4">
        <v>1.15E-3</v>
      </c>
      <c r="F48" s="4">
        <v>2.31E-3</v>
      </c>
    </row>
    <row r="49" spans="1:6" x14ac:dyDescent="0.35">
      <c r="A49">
        <v>6</v>
      </c>
      <c r="B49">
        <v>8</v>
      </c>
      <c r="C49" t="s">
        <v>990</v>
      </c>
      <c r="D49" s="4">
        <v>0.05</v>
      </c>
      <c r="E49" s="4">
        <v>0.2</v>
      </c>
      <c r="F49" s="4">
        <v>0.6</v>
      </c>
    </row>
    <row r="50" spans="1:6" x14ac:dyDescent="0.35">
      <c r="A50">
        <v>7</v>
      </c>
      <c r="B50">
        <v>1</v>
      </c>
      <c r="C50" t="s">
        <v>983</v>
      </c>
      <c r="D50" s="4">
        <v>0.5</v>
      </c>
      <c r="E50" s="4">
        <v>1</v>
      </c>
      <c r="F50" s="4">
        <v>1.5</v>
      </c>
    </row>
    <row r="51" spans="1:6" x14ac:dyDescent="0.35">
      <c r="A51">
        <v>7</v>
      </c>
      <c r="B51">
        <v>2</v>
      </c>
      <c r="C51" t="s">
        <v>984</v>
      </c>
      <c r="D51" s="4">
        <v>3000</v>
      </c>
      <c r="E51" s="4">
        <v>5000</v>
      </c>
      <c r="F51" s="4">
        <v>10000</v>
      </c>
    </row>
    <row r="52" spans="1:6" x14ac:dyDescent="0.35">
      <c r="A52">
        <v>7</v>
      </c>
      <c r="B52">
        <v>3</v>
      </c>
      <c r="C52" t="s">
        <v>985</v>
      </c>
      <c r="D52" s="4">
        <v>15</v>
      </c>
      <c r="E52" s="4">
        <v>20</v>
      </c>
      <c r="F52" s="4">
        <v>25</v>
      </c>
    </row>
    <row r="53" spans="1:6" x14ac:dyDescent="0.35">
      <c r="A53">
        <v>7</v>
      </c>
      <c r="B53">
        <v>4</v>
      </c>
      <c r="C53" t="s">
        <v>986</v>
      </c>
      <c r="D53" s="4">
        <v>0.5</v>
      </c>
      <c r="E53" s="4">
        <v>1</v>
      </c>
      <c r="F53" s="4">
        <v>1.5</v>
      </c>
    </row>
    <row r="54" spans="1:6" x14ac:dyDescent="0.35">
      <c r="A54">
        <v>7</v>
      </c>
      <c r="B54">
        <v>5</v>
      </c>
      <c r="C54" t="s">
        <v>987</v>
      </c>
      <c r="D54" s="4">
        <v>5</v>
      </c>
      <c r="E54" s="4">
        <v>10</v>
      </c>
      <c r="F54" s="4">
        <v>15</v>
      </c>
    </row>
    <row r="55" spans="1:6" x14ac:dyDescent="0.35">
      <c r="A55">
        <v>7</v>
      </c>
      <c r="B55">
        <v>6</v>
      </c>
      <c r="C55" t="s">
        <v>988</v>
      </c>
      <c r="D55" s="4">
        <v>1E-8</v>
      </c>
      <c r="E55" s="4">
        <v>1.4999999999999999E-8</v>
      </c>
      <c r="F55" s="4">
        <v>2E-8</v>
      </c>
    </row>
    <row r="56" spans="1:6" x14ac:dyDescent="0.35">
      <c r="A56">
        <v>7</v>
      </c>
      <c r="B56">
        <v>7</v>
      </c>
      <c r="C56" t="s">
        <v>989</v>
      </c>
      <c r="D56" s="4">
        <v>1E-4</v>
      </c>
      <c r="E56" s="4">
        <v>4.0000000000000002E-4</v>
      </c>
      <c r="F56" s="4">
        <v>1E-3</v>
      </c>
    </row>
    <row r="57" spans="1:6" x14ac:dyDescent="0.35">
      <c r="A57">
        <v>7</v>
      </c>
      <c r="B57">
        <v>8</v>
      </c>
      <c r="C57" t="s">
        <v>990</v>
      </c>
      <c r="D57" s="4">
        <v>0.25</v>
      </c>
      <c r="E57" s="4">
        <v>0.5</v>
      </c>
      <c r="F57" s="4">
        <v>0.75</v>
      </c>
    </row>
    <row r="58" spans="1:6" x14ac:dyDescent="0.35">
      <c r="A58">
        <v>8</v>
      </c>
      <c r="B58">
        <v>1</v>
      </c>
      <c r="C58" t="s">
        <v>983</v>
      </c>
      <c r="D58" s="4">
        <v>2</v>
      </c>
      <c r="E58" s="4">
        <v>3</v>
      </c>
      <c r="F58" s="4">
        <v>4</v>
      </c>
    </row>
    <row r="59" spans="1:6" x14ac:dyDescent="0.35">
      <c r="A59">
        <v>8</v>
      </c>
      <c r="B59">
        <v>2</v>
      </c>
      <c r="C59" t="s">
        <v>984</v>
      </c>
      <c r="D59" s="4">
        <v>1000</v>
      </c>
      <c r="E59" s="4">
        <v>2000</v>
      </c>
      <c r="F59" s="4">
        <v>3000</v>
      </c>
    </row>
    <row r="60" spans="1:6" x14ac:dyDescent="0.35">
      <c r="A60">
        <v>8</v>
      </c>
      <c r="B60">
        <v>3</v>
      </c>
      <c r="C60" t="s">
        <v>985</v>
      </c>
      <c r="D60" s="4">
        <v>17</v>
      </c>
      <c r="E60" s="4">
        <v>19</v>
      </c>
      <c r="F60" s="4">
        <v>21</v>
      </c>
    </row>
    <row r="61" spans="1:6" x14ac:dyDescent="0.35">
      <c r="A61">
        <v>8</v>
      </c>
      <c r="B61">
        <v>4</v>
      </c>
      <c r="C61" t="s">
        <v>986</v>
      </c>
      <c r="D61" s="4">
        <v>0.6</v>
      </c>
      <c r="E61" s="4">
        <v>0.8</v>
      </c>
      <c r="F61" s="4">
        <v>1.2</v>
      </c>
    </row>
    <row r="62" spans="1:6" x14ac:dyDescent="0.35">
      <c r="A62">
        <v>8</v>
      </c>
      <c r="B62">
        <v>5</v>
      </c>
      <c r="C62" t="s">
        <v>987</v>
      </c>
      <c r="D62" s="4">
        <v>7</v>
      </c>
      <c r="E62" s="4">
        <v>12</v>
      </c>
      <c r="F62" s="4">
        <v>19</v>
      </c>
    </row>
    <row r="63" spans="1:6" x14ac:dyDescent="0.35">
      <c r="A63">
        <v>8</v>
      </c>
      <c r="B63">
        <v>6</v>
      </c>
      <c r="C63" t="s">
        <v>988</v>
      </c>
      <c r="D63" s="4">
        <v>5.0000000000000001E-4</v>
      </c>
      <c r="E63" s="4">
        <v>1E-3</v>
      </c>
      <c r="F63" s="4">
        <v>1.5E-3</v>
      </c>
    </row>
    <row r="64" spans="1:6" x14ac:dyDescent="0.35">
      <c r="A64">
        <v>8</v>
      </c>
      <c r="B64">
        <v>7</v>
      </c>
      <c r="C64" t="s">
        <v>989</v>
      </c>
      <c r="D64" s="4">
        <v>2.0000000000000001E-4</v>
      </c>
      <c r="E64" s="4">
        <v>1E-3</v>
      </c>
      <c r="F64" s="4">
        <v>4.0000000000000001E-3</v>
      </c>
    </row>
    <row r="65" spans="1:6" x14ac:dyDescent="0.35">
      <c r="A65">
        <v>8</v>
      </c>
      <c r="B65">
        <v>8</v>
      </c>
      <c r="C65" t="s">
        <v>990</v>
      </c>
      <c r="D65" s="4">
        <v>0.1</v>
      </c>
      <c r="E65" s="4">
        <v>0.3</v>
      </c>
      <c r="F65" s="4">
        <v>0.5</v>
      </c>
    </row>
    <row r="66" spans="1:6" x14ac:dyDescent="0.35">
      <c r="A66">
        <v>9</v>
      </c>
      <c r="B66">
        <v>1</v>
      </c>
      <c r="C66" t="s">
        <v>983</v>
      </c>
      <c r="D66" s="4">
        <v>1</v>
      </c>
      <c r="E66" s="4">
        <v>2</v>
      </c>
      <c r="F66" s="4">
        <v>4</v>
      </c>
    </row>
    <row r="67" spans="1:6" x14ac:dyDescent="0.35">
      <c r="A67">
        <v>9</v>
      </c>
      <c r="B67">
        <v>2</v>
      </c>
      <c r="C67" t="s">
        <v>984</v>
      </c>
      <c r="D67" s="4">
        <v>3000</v>
      </c>
      <c r="E67" s="4">
        <v>5000</v>
      </c>
      <c r="F67" s="4">
        <v>10000</v>
      </c>
    </row>
    <row r="68" spans="1:6" x14ac:dyDescent="0.35">
      <c r="A68">
        <v>9</v>
      </c>
      <c r="B68">
        <v>3</v>
      </c>
      <c r="C68" t="s">
        <v>985</v>
      </c>
      <c r="D68" s="4">
        <v>15</v>
      </c>
      <c r="E68" s="4">
        <v>19</v>
      </c>
      <c r="F68" s="4">
        <v>22</v>
      </c>
    </row>
    <row r="69" spans="1:6" x14ac:dyDescent="0.35">
      <c r="A69">
        <v>9</v>
      </c>
      <c r="B69">
        <v>4</v>
      </c>
      <c r="C69" t="s">
        <v>986</v>
      </c>
      <c r="D69" s="4">
        <v>0.5</v>
      </c>
      <c r="E69" s="4">
        <v>1</v>
      </c>
      <c r="F69" s="4">
        <v>2</v>
      </c>
    </row>
    <row r="70" spans="1:6" x14ac:dyDescent="0.35">
      <c r="A70">
        <v>9</v>
      </c>
      <c r="B70">
        <v>5</v>
      </c>
      <c r="C70" t="s">
        <v>987</v>
      </c>
      <c r="D70" s="4">
        <v>3</v>
      </c>
      <c r="E70" s="4">
        <v>17</v>
      </c>
      <c r="F70" s="4">
        <v>23</v>
      </c>
    </row>
    <row r="71" spans="1:6" x14ac:dyDescent="0.35">
      <c r="A71">
        <v>9</v>
      </c>
      <c r="B71">
        <v>6</v>
      </c>
      <c r="C71" t="s">
        <v>988</v>
      </c>
      <c r="D71" s="4">
        <v>1.2E-5</v>
      </c>
      <c r="E71" s="4">
        <v>5.0000000000000002E-5</v>
      </c>
      <c r="F71" s="4">
        <v>2.0000000000000001E-4</v>
      </c>
    </row>
    <row r="72" spans="1:6" x14ac:dyDescent="0.35">
      <c r="A72">
        <v>9</v>
      </c>
      <c r="B72">
        <v>7</v>
      </c>
      <c r="C72" t="s">
        <v>989</v>
      </c>
      <c r="D72" s="4">
        <v>1.2E-4</v>
      </c>
      <c r="E72" s="4">
        <v>4.8000000000000001E-4</v>
      </c>
      <c r="F72" s="4">
        <v>9.2000000000000003E-4</v>
      </c>
    </row>
    <row r="73" spans="1:6" x14ac:dyDescent="0.35">
      <c r="A73">
        <v>9</v>
      </c>
      <c r="B73">
        <v>8</v>
      </c>
      <c r="C73" t="s">
        <v>990</v>
      </c>
      <c r="D73" s="4">
        <v>0.01</v>
      </c>
      <c r="E73" s="4">
        <v>3.3300000000000003E-2</v>
      </c>
      <c r="F73" s="4">
        <v>0.1</v>
      </c>
    </row>
    <row r="74" spans="1:6" x14ac:dyDescent="0.35">
      <c r="A74">
        <v>10</v>
      </c>
      <c r="B74">
        <v>1</v>
      </c>
      <c r="C74" t="s">
        <v>983</v>
      </c>
      <c r="D74" s="4">
        <v>0.5</v>
      </c>
      <c r="E74" s="4">
        <v>1.5</v>
      </c>
      <c r="F74" s="4">
        <v>2</v>
      </c>
    </row>
    <row r="75" spans="1:6" x14ac:dyDescent="0.35">
      <c r="A75">
        <v>10</v>
      </c>
      <c r="B75">
        <v>2</v>
      </c>
      <c r="C75" t="s">
        <v>984</v>
      </c>
      <c r="D75" s="4">
        <v>2500</v>
      </c>
      <c r="E75" s="4">
        <v>6000</v>
      </c>
      <c r="F75" s="4">
        <v>14000</v>
      </c>
    </row>
    <row r="76" spans="1:6" x14ac:dyDescent="0.35">
      <c r="A76">
        <v>10</v>
      </c>
      <c r="B76">
        <v>3</v>
      </c>
      <c r="C76" t="s">
        <v>985</v>
      </c>
      <c r="D76" s="4">
        <v>12</v>
      </c>
      <c r="E76" s="4">
        <v>14</v>
      </c>
      <c r="F76" s="4">
        <v>15</v>
      </c>
    </row>
    <row r="77" spans="1:6" x14ac:dyDescent="0.35">
      <c r="A77">
        <v>10</v>
      </c>
      <c r="B77">
        <v>4</v>
      </c>
      <c r="C77" t="s">
        <v>986</v>
      </c>
      <c r="D77" s="4">
        <v>0.05</v>
      </c>
      <c r="E77" s="4">
        <v>0.1</v>
      </c>
      <c r="F77" s="4">
        <v>0.2</v>
      </c>
    </row>
    <row r="78" spans="1:6" x14ac:dyDescent="0.35">
      <c r="A78">
        <v>10</v>
      </c>
      <c r="B78">
        <v>5</v>
      </c>
      <c r="C78" t="s">
        <v>987</v>
      </c>
      <c r="D78" s="4">
        <v>4</v>
      </c>
      <c r="E78" s="4">
        <v>10</v>
      </c>
      <c r="F78" s="4">
        <v>20</v>
      </c>
    </row>
    <row r="79" spans="1:6" x14ac:dyDescent="0.35">
      <c r="A79">
        <v>10</v>
      </c>
      <c r="B79">
        <v>6</v>
      </c>
      <c r="C79" t="s">
        <v>988</v>
      </c>
      <c r="D79" s="4">
        <v>9.9999999999999995E-7</v>
      </c>
      <c r="E79" s="4">
        <v>5.0000000000000004E-6</v>
      </c>
      <c r="F79" s="4">
        <v>1.0000000000000001E-5</v>
      </c>
    </row>
    <row r="80" spans="1:6" x14ac:dyDescent="0.35">
      <c r="A80">
        <v>10</v>
      </c>
      <c r="B80">
        <v>7</v>
      </c>
      <c r="C80" t="s">
        <v>989</v>
      </c>
      <c r="D80" s="4">
        <v>2.8899999999999998E-4</v>
      </c>
      <c r="E80" s="4">
        <v>4.6299999999999998E-4</v>
      </c>
      <c r="F80" s="4">
        <v>5.7799999999999995E-4</v>
      </c>
    </row>
    <row r="81" spans="1:6" x14ac:dyDescent="0.35">
      <c r="A81">
        <v>10</v>
      </c>
      <c r="B81">
        <v>8</v>
      </c>
      <c r="C81" t="s">
        <v>990</v>
      </c>
      <c r="D81" s="4">
        <v>0.4</v>
      </c>
      <c r="E81" s="4">
        <v>0.6</v>
      </c>
      <c r="F81" s="4">
        <v>0.75</v>
      </c>
    </row>
    <row r="82" spans="1:6" x14ac:dyDescent="0.35">
      <c r="A82">
        <v>11</v>
      </c>
      <c r="B82">
        <v>1</v>
      </c>
      <c r="C82" t="s">
        <v>983</v>
      </c>
      <c r="D82" s="4">
        <v>1</v>
      </c>
      <c r="E82" s="4">
        <v>2</v>
      </c>
      <c r="F82" s="4">
        <v>3</v>
      </c>
    </row>
    <row r="83" spans="1:6" x14ac:dyDescent="0.35">
      <c r="A83">
        <v>11</v>
      </c>
      <c r="B83">
        <v>2</v>
      </c>
      <c r="C83" t="s">
        <v>984</v>
      </c>
      <c r="D83" s="4">
        <v>7000</v>
      </c>
      <c r="E83" s="4">
        <v>8000</v>
      </c>
      <c r="F83" s="4">
        <v>11000</v>
      </c>
    </row>
    <row r="84" spans="1:6" x14ac:dyDescent="0.35">
      <c r="A84">
        <v>11</v>
      </c>
      <c r="B84">
        <v>3</v>
      </c>
      <c r="C84" t="s">
        <v>985</v>
      </c>
      <c r="D84" s="4">
        <v>15</v>
      </c>
      <c r="E84" s="4">
        <v>16</v>
      </c>
      <c r="F84" s="4">
        <v>20</v>
      </c>
    </row>
    <row r="85" spans="1:6" x14ac:dyDescent="0.35">
      <c r="A85">
        <v>11</v>
      </c>
      <c r="B85">
        <v>4</v>
      </c>
      <c r="C85" t="s">
        <v>986</v>
      </c>
      <c r="D85" s="4">
        <v>0.5</v>
      </c>
      <c r="E85" s="4">
        <v>0.75</v>
      </c>
      <c r="F85" s="4">
        <v>1.5</v>
      </c>
    </row>
    <row r="86" spans="1:6" x14ac:dyDescent="0.35">
      <c r="A86">
        <v>11</v>
      </c>
      <c r="B86">
        <v>5</v>
      </c>
      <c r="C86" t="s">
        <v>987</v>
      </c>
      <c r="D86" s="4">
        <v>8</v>
      </c>
      <c r="E86" s="4">
        <v>10</v>
      </c>
      <c r="F86" s="4">
        <v>14</v>
      </c>
    </row>
    <row r="87" spans="1:6" x14ac:dyDescent="0.35">
      <c r="A87">
        <v>11</v>
      </c>
      <c r="B87">
        <v>6</v>
      </c>
      <c r="C87" t="s">
        <v>988</v>
      </c>
      <c r="D87" s="4">
        <v>0.05</v>
      </c>
      <c r="E87" s="4">
        <v>0.1</v>
      </c>
      <c r="F87" s="4">
        <v>0.2</v>
      </c>
    </row>
    <row r="88" spans="1:6" x14ac:dyDescent="0.35">
      <c r="A88">
        <v>11</v>
      </c>
      <c r="B88">
        <v>7</v>
      </c>
      <c r="C88" t="s">
        <v>989</v>
      </c>
      <c r="D88" s="4">
        <v>5.0000000000000001E-4</v>
      </c>
      <c r="E88" s="4">
        <v>1E-3</v>
      </c>
      <c r="F88" s="4">
        <v>1.5E-3</v>
      </c>
    </row>
    <row r="89" spans="1:6" x14ac:dyDescent="0.35">
      <c r="A89">
        <v>11</v>
      </c>
      <c r="B89">
        <v>8</v>
      </c>
      <c r="C89" t="s">
        <v>990</v>
      </c>
      <c r="D89" s="4">
        <v>0.7</v>
      </c>
      <c r="E89" s="4">
        <v>0.8</v>
      </c>
      <c r="F89" s="4">
        <v>0.9</v>
      </c>
    </row>
    <row r="90" spans="1:6" x14ac:dyDescent="0.35">
      <c r="A90">
        <v>12</v>
      </c>
      <c r="B90">
        <v>1</v>
      </c>
      <c r="C90" t="s">
        <v>983</v>
      </c>
      <c r="D90" s="4">
        <v>2</v>
      </c>
      <c r="E90" s="4">
        <v>3</v>
      </c>
      <c r="F90" s="4">
        <v>4</v>
      </c>
    </row>
    <row r="91" spans="1:6" x14ac:dyDescent="0.35">
      <c r="A91">
        <v>12</v>
      </c>
      <c r="B91">
        <v>2</v>
      </c>
      <c r="C91" t="s">
        <v>984</v>
      </c>
      <c r="D91" s="4">
        <v>3000</v>
      </c>
      <c r="E91" s="4">
        <v>4000</v>
      </c>
      <c r="F91" s="4">
        <v>5000</v>
      </c>
    </row>
    <row r="92" spans="1:6" x14ac:dyDescent="0.35">
      <c r="A92">
        <v>12</v>
      </c>
      <c r="B92">
        <v>3</v>
      </c>
      <c r="C92" t="s">
        <v>985</v>
      </c>
      <c r="D92" s="4">
        <v>19</v>
      </c>
      <c r="E92" s="4">
        <v>20</v>
      </c>
      <c r="F92" s="4">
        <v>21</v>
      </c>
    </row>
    <row r="93" spans="1:6" x14ac:dyDescent="0.35">
      <c r="A93">
        <v>12</v>
      </c>
      <c r="B93">
        <v>4</v>
      </c>
      <c r="C93" t="s">
        <v>986</v>
      </c>
      <c r="D93" s="4">
        <v>0.6</v>
      </c>
      <c r="E93" s="4">
        <v>0.75</v>
      </c>
      <c r="F93" s="4">
        <v>0.9</v>
      </c>
    </row>
    <row r="94" spans="1:6" x14ac:dyDescent="0.35">
      <c r="A94">
        <v>12</v>
      </c>
      <c r="B94">
        <v>5</v>
      </c>
      <c r="C94" t="s">
        <v>987</v>
      </c>
      <c r="D94" s="4">
        <v>4</v>
      </c>
      <c r="E94" s="4">
        <v>6</v>
      </c>
      <c r="F94" s="4">
        <v>8</v>
      </c>
    </row>
    <row r="95" spans="1:6" x14ac:dyDescent="0.35">
      <c r="A95">
        <v>12</v>
      </c>
      <c r="B95">
        <v>6</v>
      </c>
      <c r="C95" t="s">
        <v>988</v>
      </c>
      <c r="D95" s="4">
        <v>9.9999999999999995E-7</v>
      </c>
      <c r="E95" s="4">
        <v>1.9999999999999999E-6</v>
      </c>
      <c r="F95" s="4">
        <v>3.0000000000000001E-6</v>
      </c>
    </row>
    <row r="96" spans="1:6" x14ac:dyDescent="0.35">
      <c r="A96">
        <v>12</v>
      </c>
      <c r="B96">
        <v>7</v>
      </c>
      <c r="C96" t="s">
        <v>989</v>
      </c>
      <c r="D96" s="4">
        <v>1.0000000000000001E-5</v>
      </c>
      <c r="E96" s="4">
        <v>3.0000000000000001E-5</v>
      </c>
      <c r="F96" s="4">
        <v>5.0000000000000002E-5</v>
      </c>
    </row>
    <row r="97" spans="1:6" x14ac:dyDescent="0.35">
      <c r="A97">
        <v>12</v>
      </c>
      <c r="B97">
        <v>8</v>
      </c>
      <c r="C97" t="s">
        <v>990</v>
      </c>
      <c r="D97" s="4">
        <v>0.35</v>
      </c>
      <c r="E97" s="4">
        <v>0.4</v>
      </c>
      <c r="F97" s="4">
        <v>0.45</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28"/>
  <dimension ref="A1:I406"/>
  <sheetViews>
    <sheetView workbookViewId="0">
      <selection activeCell="R15" sqref="R15"/>
    </sheetView>
  </sheetViews>
  <sheetFormatPr defaultRowHeight="14.5" x14ac:dyDescent="0.35"/>
  <sheetData>
    <row r="1" spans="1:9" x14ac:dyDescent="0.35">
      <c r="A1" t="s">
        <v>697</v>
      </c>
    </row>
    <row r="2" spans="1:9" x14ac:dyDescent="0.35">
      <c r="A2">
        <v>1</v>
      </c>
      <c r="B2">
        <v>1</v>
      </c>
      <c r="C2" t="s">
        <v>236</v>
      </c>
      <c r="D2" s="4">
        <v>5000</v>
      </c>
      <c r="E2" s="4">
        <v>19500</v>
      </c>
      <c r="F2" s="4">
        <v>30000</v>
      </c>
      <c r="H2" s="4">
        <v>28620</v>
      </c>
      <c r="I2" t="s">
        <v>419</v>
      </c>
    </row>
    <row r="3" spans="1:9" x14ac:dyDescent="0.35">
      <c r="A3">
        <v>1</v>
      </c>
      <c r="B3">
        <v>2</v>
      </c>
      <c r="C3" t="s">
        <v>237</v>
      </c>
      <c r="D3" s="4">
        <v>100</v>
      </c>
      <c r="E3" s="4">
        <v>3400</v>
      </c>
      <c r="F3" s="4">
        <v>5000</v>
      </c>
      <c r="H3" s="4">
        <v>11310</v>
      </c>
      <c r="I3" t="s">
        <v>419</v>
      </c>
    </row>
    <row r="4" spans="1:9" x14ac:dyDescent="0.35">
      <c r="A4">
        <v>1</v>
      </c>
      <c r="B4">
        <v>3</v>
      </c>
      <c r="C4" t="s">
        <v>238</v>
      </c>
      <c r="D4" s="4">
        <v>50</v>
      </c>
      <c r="E4" s="4">
        <v>1500</v>
      </c>
      <c r="F4" s="4">
        <v>2000</v>
      </c>
      <c r="H4" s="4">
        <v>10000</v>
      </c>
      <c r="I4" t="s">
        <v>419</v>
      </c>
    </row>
    <row r="5" spans="1:9" x14ac:dyDescent="0.35">
      <c r="A5">
        <v>1</v>
      </c>
      <c r="B5">
        <v>4</v>
      </c>
      <c r="C5" t="s">
        <v>239</v>
      </c>
      <c r="D5" s="4">
        <v>100</v>
      </c>
      <c r="E5" s="4">
        <v>600</v>
      </c>
      <c r="F5" s="4">
        <v>1000</v>
      </c>
      <c r="H5" s="4">
        <v>11840</v>
      </c>
      <c r="I5" t="s">
        <v>419</v>
      </c>
    </row>
    <row r="6" spans="1:9" x14ac:dyDescent="0.35">
      <c r="A6">
        <v>1</v>
      </c>
      <c r="B6">
        <v>5</v>
      </c>
      <c r="C6" t="s">
        <v>240</v>
      </c>
      <c r="D6" s="4">
        <v>0.1</v>
      </c>
      <c r="E6" s="4">
        <v>0.6</v>
      </c>
      <c r="F6" s="4">
        <v>0.75</v>
      </c>
      <c r="H6" s="4">
        <v>0.16</v>
      </c>
      <c r="I6" t="s">
        <v>740</v>
      </c>
    </row>
    <row r="7" spans="1:9" x14ac:dyDescent="0.35">
      <c r="A7">
        <v>1</v>
      </c>
      <c r="B7">
        <v>6</v>
      </c>
      <c r="C7" t="s">
        <v>241</v>
      </c>
      <c r="D7" s="4">
        <v>20</v>
      </c>
      <c r="E7" s="4">
        <v>100</v>
      </c>
      <c r="F7" s="4">
        <v>200</v>
      </c>
      <c r="H7" s="4">
        <v>17</v>
      </c>
      <c r="I7" t="s">
        <v>740</v>
      </c>
    </row>
    <row r="8" spans="1:9" x14ac:dyDescent="0.35">
      <c r="A8">
        <v>1</v>
      </c>
      <c r="B8">
        <v>7</v>
      </c>
      <c r="C8" t="s">
        <v>242</v>
      </c>
      <c r="D8" s="4">
        <v>15</v>
      </c>
      <c r="E8" s="4">
        <v>89</v>
      </c>
      <c r="F8" s="4">
        <v>150</v>
      </c>
      <c r="H8" s="4">
        <v>70.7</v>
      </c>
      <c r="I8" t="s">
        <v>740</v>
      </c>
    </row>
    <row r="9" spans="1:9" x14ac:dyDescent="0.35">
      <c r="A9">
        <v>1</v>
      </c>
      <c r="B9">
        <v>8</v>
      </c>
      <c r="C9" t="s">
        <v>243</v>
      </c>
      <c r="D9" s="4">
        <v>10</v>
      </c>
      <c r="E9" s="4">
        <v>75</v>
      </c>
      <c r="F9" s="4">
        <v>100</v>
      </c>
      <c r="H9" s="4">
        <v>12</v>
      </c>
      <c r="I9" t="s">
        <v>740</v>
      </c>
    </row>
    <row r="10" spans="1:9" x14ac:dyDescent="0.35">
      <c r="A10">
        <v>1</v>
      </c>
      <c r="B10">
        <v>9</v>
      </c>
      <c r="C10" t="s">
        <v>244</v>
      </c>
      <c r="D10" s="4">
        <v>100</v>
      </c>
      <c r="E10" s="4">
        <v>250</v>
      </c>
      <c r="F10" s="4">
        <v>500</v>
      </c>
      <c r="H10" s="4">
        <v>3.5</v>
      </c>
      <c r="I10" t="s">
        <v>419</v>
      </c>
    </row>
    <row r="11" spans="1:9" x14ac:dyDescent="0.35">
      <c r="A11">
        <v>1</v>
      </c>
      <c r="B11">
        <v>10</v>
      </c>
      <c r="C11" t="s">
        <v>245</v>
      </c>
      <c r="D11" s="4">
        <v>0.1</v>
      </c>
      <c r="E11" s="4">
        <v>0.35</v>
      </c>
      <c r="F11" s="4">
        <v>0.5</v>
      </c>
      <c r="H11" s="4">
        <v>0.28899999999999998</v>
      </c>
      <c r="I11" t="s">
        <v>740</v>
      </c>
    </row>
    <row r="12" spans="1:9" x14ac:dyDescent="0.35">
      <c r="A12">
        <v>1</v>
      </c>
      <c r="B12">
        <v>11</v>
      </c>
      <c r="C12" t="s">
        <v>772</v>
      </c>
      <c r="D12" s="4">
        <v>0.6</v>
      </c>
      <c r="E12" s="4">
        <v>0.7</v>
      </c>
      <c r="F12" s="4">
        <v>0.95</v>
      </c>
    </row>
    <row r="13" spans="1:9" x14ac:dyDescent="0.35">
      <c r="A13">
        <v>1</v>
      </c>
      <c r="B13">
        <v>12</v>
      </c>
      <c r="C13" t="s">
        <v>773</v>
      </c>
      <c r="D13" s="4">
        <v>0.1</v>
      </c>
      <c r="E13" s="4">
        <v>0.3</v>
      </c>
      <c r="F13" s="4">
        <v>0.55000000000000004</v>
      </c>
    </row>
    <row r="14" spans="1:9" x14ac:dyDescent="0.35">
      <c r="A14">
        <v>1</v>
      </c>
      <c r="B14">
        <v>13</v>
      </c>
      <c r="C14" t="s">
        <v>774</v>
      </c>
      <c r="D14" s="4">
        <v>0.01</v>
      </c>
      <c r="E14" s="4">
        <v>0.1</v>
      </c>
      <c r="F14" s="4">
        <v>0.55000000000000004</v>
      </c>
    </row>
    <row r="15" spans="1:9" x14ac:dyDescent="0.35">
      <c r="A15">
        <v>1</v>
      </c>
      <c r="B15">
        <v>14</v>
      </c>
      <c r="C15" t="s">
        <v>775</v>
      </c>
      <c r="D15" s="4">
        <v>7.0000000000000007E-2</v>
      </c>
      <c r="E15" s="4">
        <v>0.2</v>
      </c>
      <c r="F15" s="4">
        <v>0.6</v>
      </c>
    </row>
    <row r="16" spans="1:9" x14ac:dyDescent="0.35">
      <c r="A16">
        <v>1</v>
      </c>
      <c r="B16">
        <v>15</v>
      </c>
      <c r="C16" t="s">
        <v>776</v>
      </c>
      <c r="D16" s="4">
        <v>0.12</v>
      </c>
      <c r="E16" s="4">
        <v>0.4</v>
      </c>
      <c r="F16" s="4">
        <v>0.65</v>
      </c>
    </row>
    <row r="17" spans="1:6" x14ac:dyDescent="0.35">
      <c r="A17">
        <v>1</v>
      </c>
      <c r="B17">
        <v>16</v>
      </c>
      <c r="C17" t="s">
        <v>777</v>
      </c>
      <c r="D17" s="4">
        <v>0.03</v>
      </c>
      <c r="E17" s="4">
        <v>0.1</v>
      </c>
      <c r="F17" s="4">
        <v>0.65</v>
      </c>
    </row>
    <row r="18" spans="1:6" x14ac:dyDescent="0.35">
      <c r="A18">
        <v>1</v>
      </c>
      <c r="B18">
        <v>17</v>
      </c>
      <c r="C18" t="s">
        <v>778</v>
      </c>
      <c r="D18" s="4">
        <v>0.02</v>
      </c>
      <c r="E18" s="4">
        <v>0.19</v>
      </c>
      <c r="F18" s="4">
        <v>0.4</v>
      </c>
    </row>
    <row r="19" spans="1:6" x14ac:dyDescent="0.35">
      <c r="A19">
        <v>1</v>
      </c>
      <c r="B19">
        <v>18</v>
      </c>
      <c r="C19" t="s">
        <v>779</v>
      </c>
      <c r="D19" s="4">
        <v>0.1</v>
      </c>
      <c r="E19" s="4">
        <v>0.75</v>
      </c>
      <c r="F19" s="4">
        <v>0.95</v>
      </c>
    </row>
    <row r="20" spans="1:6" x14ac:dyDescent="0.35">
      <c r="A20">
        <v>1</v>
      </c>
      <c r="B20">
        <v>19</v>
      </c>
      <c r="C20" t="s">
        <v>780</v>
      </c>
      <c r="D20" s="4">
        <v>0.05</v>
      </c>
      <c r="E20" s="4">
        <v>0.25</v>
      </c>
      <c r="F20" s="4">
        <v>0.5</v>
      </c>
    </row>
    <row r="21" spans="1:6" x14ac:dyDescent="0.35">
      <c r="A21">
        <v>1</v>
      </c>
      <c r="B21">
        <v>20</v>
      </c>
      <c r="C21" t="s">
        <v>781</v>
      </c>
      <c r="D21" s="4">
        <v>0.15</v>
      </c>
      <c r="E21" s="4">
        <v>0.5</v>
      </c>
      <c r="F21" s="4">
        <v>0.9</v>
      </c>
    </row>
    <row r="22" spans="1:6" x14ac:dyDescent="0.35">
      <c r="A22">
        <v>1</v>
      </c>
      <c r="B22">
        <v>21</v>
      </c>
      <c r="C22" t="s">
        <v>782</v>
      </c>
      <c r="D22" s="4">
        <v>0.1</v>
      </c>
      <c r="E22" s="4">
        <v>0.25</v>
      </c>
      <c r="F22" s="4">
        <v>0.6</v>
      </c>
    </row>
    <row r="23" spans="1:6" x14ac:dyDescent="0.35">
      <c r="A23">
        <v>1</v>
      </c>
      <c r="B23">
        <v>22</v>
      </c>
      <c r="C23" t="s">
        <v>783</v>
      </c>
      <c r="D23" s="4">
        <v>0.05</v>
      </c>
      <c r="E23" s="4">
        <v>0.15</v>
      </c>
      <c r="F23" s="4">
        <v>0.5</v>
      </c>
    </row>
    <row r="24" spans="1:6" x14ac:dyDescent="0.35">
      <c r="A24">
        <v>1</v>
      </c>
      <c r="B24">
        <v>23</v>
      </c>
      <c r="C24" t="s">
        <v>784</v>
      </c>
      <c r="D24" s="4">
        <v>0.01</v>
      </c>
      <c r="E24" s="4">
        <v>7.0000000000000007E-2</v>
      </c>
      <c r="F24" s="4">
        <v>0.3</v>
      </c>
    </row>
    <row r="25" spans="1:6" x14ac:dyDescent="0.35">
      <c r="A25">
        <v>1</v>
      </c>
      <c r="B25">
        <v>24</v>
      </c>
      <c r="C25" t="s">
        <v>785</v>
      </c>
      <c r="D25" s="4">
        <v>0.01</v>
      </c>
      <c r="E25" s="4">
        <v>0.03</v>
      </c>
      <c r="F25" s="4">
        <v>0.25</v>
      </c>
    </row>
    <row r="26" spans="1:6" x14ac:dyDescent="0.35">
      <c r="A26">
        <v>1</v>
      </c>
      <c r="B26">
        <v>25</v>
      </c>
      <c r="C26" t="s">
        <v>786</v>
      </c>
      <c r="D26" s="4">
        <v>0.2</v>
      </c>
      <c r="E26" s="4">
        <v>0.6</v>
      </c>
      <c r="F26" s="4">
        <v>0.9</v>
      </c>
    </row>
    <row r="27" spans="1:6" x14ac:dyDescent="0.35">
      <c r="A27">
        <v>1</v>
      </c>
      <c r="B27">
        <v>26</v>
      </c>
      <c r="C27" t="s">
        <v>787</v>
      </c>
      <c r="D27" s="4">
        <v>0.1</v>
      </c>
      <c r="E27" s="4">
        <v>0.4</v>
      </c>
      <c r="F27" s="4">
        <v>0.6</v>
      </c>
    </row>
    <row r="28" spans="1:6" x14ac:dyDescent="0.35">
      <c r="A28">
        <v>1</v>
      </c>
      <c r="B28">
        <v>27</v>
      </c>
      <c r="C28" t="s">
        <v>788</v>
      </c>
      <c r="D28" s="4">
        <v>0.2</v>
      </c>
      <c r="E28" s="4">
        <v>0.62</v>
      </c>
      <c r="F28" s="4">
        <v>0.95</v>
      </c>
    </row>
    <row r="29" spans="1:6" x14ac:dyDescent="0.35">
      <c r="A29">
        <v>1</v>
      </c>
      <c r="B29">
        <v>28</v>
      </c>
      <c r="C29" t="s">
        <v>789</v>
      </c>
      <c r="D29" s="4">
        <v>0.15</v>
      </c>
      <c r="E29" s="4">
        <v>0.22</v>
      </c>
      <c r="F29" s="4">
        <v>0.45</v>
      </c>
    </row>
    <row r="30" spans="1:6" x14ac:dyDescent="0.35">
      <c r="A30">
        <v>1</v>
      </c>
      <c r="B30">
        <v>29</v>
      </c>
      <c r="C30" t="s">
        <v>790</v>
      </c>
      <c r="D30" s="4">
        <v>0.03</v>
      </c>
      <c r="E30" s="4">
        <v>0.1</v>
      </c>
      <c r="F30" s="4">
        <v>0.3</v>
      </c>
    </row>
    <row r="31" spans="1:6" x14ac:dyDescent="0.35">
      <c r="A31">
        <v>1</v>
      </c>
      <c r="B31">
        <v>30</v>
      </c>
      <c r="C31" t="s">
        <v>791</v>
      </c>
      <c r="D31" s="4">
        <v>0.01</v>
      </c>
      <c r="E31" s="4">
        <v>0.05</v>
      </c>
      <c r="F31" s="4">
        <v>0.2</v>
      </c>
    </row>
    <row r="32" spans="1:6" x14ac:dyDescent="0.35">
      <c r="A32">
        <v>1</v>
      </c>
      <c r="B32">
        <v>31</v>
      </c>
      <c r="C32" t="s">
        <v>792</v>
      </c>
      <c r="D32" s="4">
        <v>1E-8</v>
      </c>
      <c r="E32" s="4">
        <v>9.9999999999999995E-8</v>
      </c>
      <c r="F32" s="4">
        <v>9.9999999999999995E-7</v>
      </c>
    </row>
    <row r="33" spans="1:6" x14ac:dyDescent="0.35">
      <c r="A33">
        <v>1</v>
      </c>
      <c r="B33">
        <v>32</v>
      </c>
      <c r="C33" t="s">
        <v>793</v>
      </c>
      <c r="D33" s="4">
        <v>0.3</v>
      </c>
      <c r="E33" s="4">
        <v>0.55000000000000004</v>
      </c>
      <c r="F33" s="4">
        <v>0.95</v>
      </c>
    </row>
    <row r="34" spans="1:6" x14ac:dyDescent="0.35">
      <c r="A34">
        <v>1</v>
      </c>
      <c r="B34">
        <v>33</v>
      </c>
      <c r="C34" t="s">
        <v>794</v>
      </c>
      <c r="D34" s="4">
        <v>0.2</v>
      </c>
      <c r="E34" s="4">
        <v>0.45</v>
      </c>
      <c r="F34" s="4">
        <v>0.8</v>
      </c>
    </row>
    <row r="35" spans="1:6" x14ac:dyDescent="0.35">
      <c r="A35">
        <v>1</v>
      </c>
      <c r="B35">
        <v>34</v>
      </c>
      <c r="C35" t="s">
        <v>795</v>
      </c>
      <c r="D35" s="4">
        <v>0.2</v>
      </c>
      <c r="E35" s="4">
        <v>0.48</v>
      </c>
      <c r="F35" s="4">
        <v>0.9</v>
      </c>
    </row>
    <row r="36" spans="1:6" x14ac:dyDescent="0.35">
      <c r="A36">
        <v>1</v>
      </c>
      <c r="B36">
        <v>35</v>
      </c>
      <c r="C36" t="s">
        <v>796</v>
      </c>
      <c r="D36" s="4">
        <v>0.15</v>
      </c>
      <c r="E36" s="4">
        <v>0.35</v>
      </c>
      <c r="F36" s="4">
        <v>0.85</v>
      </c>
    </row>
    <row r="37" spans="1:6" x14ac:dyDescent="0.35">
      <c r="A37">
        <v>1</v>
      </c>
      <c r="B37">
        <v>36</v>
      </c>
      <c r="C37" t="s">
        <v>797</v>
      </c>
      <c r="D37" s="4">
        <v>0.05</v>
      </c>
      <c r="E37" s="4">
        <v>0.1</v>
      </c>
      <c r="F37" s="4">
        <v>0.5</v>
      </c>
    </row>
    <row r="38" spans="1:6" x14ac:dyDescent="0.35">
      <c r="A38">
        <v>1</v>
      </c>
      <c r="B38">
        <v>37</v>
      </c>
      <c r="C38" t="s">
        <v>798</v>
      </c>
      <c r="D38" s="4">
        <v>0.01</v>
      </c>
      <c r="E38" s="4">
        <v>0.05</v>
      </c>
      <c r="F38" s="4">
        <v>0.3</v>
      </c>
    </row>
    <row r="39" spans="1:6" x14ac:dyDescent="0.35">
      <c r="A39">
        <v>1</v>
      </c>
      <c r="B39">
        <v>38</v>
      </c>
      <c r="C39" t="s">
        <v>799</v>
      </c>
      <c r="D39" s="4">
        <v>1E-8</v>
      </c>
      <c r="E39" s="4">
        <v>9.9999999999999995E-8</v>
      </c>
      <c r="F39" s="4">
        <v>9.9999999999999995E-7</v>
      </c>
    </row>
    <row r="40" spans="1:6" x14ac:dyDescent="0.35">
      <c r="A40">
        <v>1</v>
      </c>
      <c r="B40">
        <v>39</v>
      </c>
      <c r="C40" t="s">
        <v>800</v>
      </c>
      <c r="D40" s="4">
        <v>0.15</v>
      </c>
      <c r="E40" s="4">
        <v>0.68</v>
      </c>
      <c r="F40" s="4">
        <v>0.98</v>
      </c>
    </row>
    <row r="41" spans="1:6" x14ac:dyDescent="0.35">
      <c r="A41">
        <v>1</v>
      </c>
      <c r="B41">
        <v>40</v>
      </c>
      <c r="C41" t="s">
        <v>801</v>
      </c>
      <c r="D41" s="4">
        <v>7.0000000000000007E-2</v>
      </c>
      <c r="E41" s="4">
        <v>0.32</v>
      </c>
      <c r="F41" s="4">
        <v>0.56000000000000005</v>
      </c>
    </row>
    <row r="42" spans="1:6" x14ac:dyDescent="0.35">
      <c r="A42">
        <v>1</v>
      </c>
      <c r="B42">
        <v>41</v>
      </c>
      <c r="C42" t="s">
        <v>802</v>
      </c>
      <c r="D42" s="4">
        <v>0.25</v>
      </c>
      <c r="E42" s="4">
        <v>0.6</v>
      </c>
      <c r="F42" s="4">
        <v>0.99</v>
      </c>
    </row>
    <row r="43" spans="1:6" x14ac:dyDescent="0.35">
      <c r="A43">
        <v>1</v>
      </c>
      <c r="B43">
        <v>42</v>
      </c>
      <c r="C43" t="s">
        <v>803</v>
      </c>
      <c r="D43" s="4">
        <v>0.1</v>
      </c>
      <c r="E43" s="4">
        <v>0.25</v>
      </c>
      <c r="F43" s="4">
        <v>0.85</v>
      </c>
    </row>
    <row r="44" spans="1:6" x14ac:dyDescent="0.35">
      <c r="A44">
        <v>1</v>
      </c>
      <c r="B44">
        <v>43</v>
      </c>
      <c r="C44" t="s">
        <v>804</v>
      </c>
      <c r="D44" s="4">
        <v>0.05</v>
      </c>
      <c r="E44" s="4">
        <v>0.1</v>
      </c>
      <c r="F44" s="4">
        <v>0.5</v>
      </c>
    </row>
    <row r="45" spans="1:6" x14ac:dyDescent="0.35">
      <c r="A45">
        <v>1</v>
      </c>
      <c r="B45">
        <v>44</v>
      </c>
      <c r="C45" t="s">
        <v>805</v>
      </c>
      <c r="D45" s="4">
        <v>0.01</v>
      </c>
      <c r="E45" s="4">
        <v>0.03</v>
      </c>
      <c r="F45" s="4">
        <v>0.2</v>
      </c>
    </row>
    <row r="46" spans="1:6" x14ac:dyDescent="0.35">
      <c r="A46">
        <v>1</v>
      </c>
      <c r="B46">
        <v>45</v>
      </c>
      <c r="C46" t="s">
        <v>806</v>
      </c>
      <c r="D46" s="4">
        <v>0.01</v>
      </c>
      <c r="E46" s="4">
        <v>0.02</v>
      </c>
      <c r="F46" s="4">
        <v>0.1</v>
      </c>
    </row>
    <row r="47" spans="1:6" x14ac:dyDescent="0.35">
      <c r="A47">
        <v>2</v>
      </c>
      <c r="B47">
        <v>1</v>
      </c>
      <c r="C47" t="s">
        <v>236</v>
      </c>
      <c r="D47" s="4">
        <v>5000</v>
      </c>
      <c r="E47" s="4">
        <v>8500</v>
      </c>
      <c r="F47" s="4">
        <v>12000</v>
      </c>
    </row>
    <row r="48" spans="1:6" x14ac:dyDescent="0.35">
      <c r="A48">
        <v>2</v>
      </c>
      <c r="B48">
        <v>2</v>
      </c>
      <c r="C48" t="s">
        <v>237</v>
      </c>
      <c r="D48" s="4">
        <v>5000</v>
      </c>
      <c r="E48" s="4">
        <v>8500</v>
      </c>
      <c r="F48" s="4">
        <v>12000</v>
      </c>
    </row>
    <row r="49" spans="1:6" x14ac:dyDescent="0.35">
      <c r="A49">
        <v>2</v>
      </c>
      <c r="B49">
        <v>3</v>
      </c>
      <c r="C49" t="s">
        <v>238</v>
      </c>
      <c r="D49" s="4">
        <v>1000</v>
      </c>
      <c r="E49" s="4">
        <v>2000</v>
      </c>
      <c r="F49" s="4">
        <v>3000</v>
      </c>
    </row>
    <row r="50" spans="1:6" x14ac:dyDescent="0.35">
      <c r="A50">
        <v>2</v>
      </c>
      <c r="B50">
        <v>4</v>
      </c>
      <c r="C50" t="s">
        <v>239</v>
      </c>
      <c r="D50" s="4">
        <v>3000</v>
      </c>
      <c r="E50" s="4">
        <v>4000</v>
      </c>
      <c r="F50" s="4">
        <v>5000</v>
      </c>
    </row>
    <row r="51" spans="1:6" x14ac:dyDescent="0.35">
      <c r="A51">
        <v>2</v>
      </c>
      <c r="B51">
        <v>5</v>
      </c>
      <c r="C51" t="s">
        <v>240</v>
      </c>
      <c r="D51" s="4">
        <v>5.0000000000000001E-3</v>
      </c>
      <c r="E51" s="4">
        <v>0.06</v>
      </c>
      <c r="F51" s="4">
        <v>0.12</v>
      </c>
    </row>
    <row r="52" spans="1:6" x14ac:dyDescent="0.35">
      <c r="A52">
        <v>2</v>
      </c>
      <c r="B52">
        <v>6</v>
      </c>
      <c r="C52" t="s">
        <v>241</v>
      </c>
      <c r="D52" s="4">
        <v>500</v>
      </c>
      <c r="E52" s="4">
        <v>1250</v>
      </c>
      <c r="F52" s="4">
        <v>2000</v>
      </c>
    </row>
    <row r="53" spans="1:6" x14ac:dyDescent="0.35">
      <c r="A53">
        <v>2</v>
      </c>
      <c r="B53">
        <v>7</v>
      </c>
      <c r="C53" t="s">
        <v>242</v>
      </c>
      <c r="D53" s="4">
        <v>500</v>
      </c>
      <c r="E53" s="4">
        <v>1250</v>
      </c>
      <c r="F53" s="4">
        <v>2500</v>
      </c>
    </row>
    <row r="54" spans="1:6" x14ac:dyDescent="0.35">
      <c r="A54">
        <v>2</v>
      </c>
      <c r="B54">
        <v>8</v>
      </c>
      <c r="C54" t="s">
        <v>243</v>
      </c>
      <c r="D54" s="4">
        <v>1</v>
      </c>
      <c r="E54" s="4">
        <v>5</v>
      </c>
      <c r="F54" s="4">
        <v>10</v>
      </c>
    </row>
    <row r="55" spans="1:6" x14ac:dyDescent="0.35">
      <c r="A55">
        <v>2</v>
      </c>
      <c r="B55">
        <v>9</v>
      </c>
      <c r="C55" t="s">
        <v>244</v>
      </c>
      <c r="D55" s="4">
        <v>500</v>
      </c>
      <c r="E55" s="4">
        <v>725</v>
      </c>
      <c r="F55" s="4">
        <v>950</v>
      </c>
    </row>
    <row r="56" spans="1:6" x14ac:dyDescent="0.35">
      <c r="A56">
        <v>2</v>
      </c>
      <c r="B56">
        <v>10</v>
      </c>
      <c r="C56" t="s">
        <v>245</v>
      </c>
      <c r="D56" s="4">
        <v>0.3</v>
      </c>
      <c r="E56" s="4">
        <v>0.39</v>
      </c>
      <c r="F56" s="4">
        <v>0.48</v>
      </c>
    </row>
    <row r="57" spans="1:6" x14ac:dyDescent="0.35">
      <c r="A57">
        <v>2</v>
      </c>
      <c r="B57">
        <v>11</v>
      </c>
      <c r="C57" t="s">
        <v>772</v>
      </c>
      <c r="D57" s="4">
        <v>0.7</v>
      </c>
      <c r="E57" s="4">
        <v>0.8</v>
      </c>
      <c r="F57" s="4">
        <v>0.9</v>
      </c>
    </row>
    <row r="58" spans="1:6" x14ac:dyDescent="0.35">
      <c r="A58">
        <v>2</v>
      </c>
      <c r="B58">
        <v>12</v>
      </c>
      <c r="C58" t="s">
        <v>773</v>
      </c>
      <c r="D58" s="4">
        <v>0.1</v>
      </c>
      <c r="E58" s="4">
        <v>0.2</v>
      </c>
      <c r="F58" s="4">
        <v>0.3</v>
      </c>
    </row>
    <row r="59" spans="1:6" x14ac:dyDescent="0.35">
      <c r="A59">
        <v>2</v>
      </c>
      <c r="B59">
        <v>13</v>
      </c>
      <c r="C59" t="s">
        <v>774</v>
      </c>
      <c r="D59" s="4">
        <v>0.3</v>
      </c>
      <c r="E59" s="4">
        <v>0.5</v>
      </c>
      <c r="F59" s="4">
        <v>0.6</v>
      </c>
    </row>
    <row r="60" spans="1:6" x14ac:dyDescent="0.35">
      <c r="A60">
        <v>2</v>
      </c>
      <c r="B60">
        <v>14</v>
      </c>
      <c r="C60" t="s">
        <v>775</v>
      </c>
      <c r="D60" s="4">
        <v>0.2</v>
      </c>
      <c r="E60" s="4">
        <v>0.35</v>
      </c>
      <c r="F60" s="4">
        <v>0.45</v>
      </c>
    </row>
    <row r="61" spans="1:6" x14ac:dyDescent="0.35">
      <c r="A61">
        <v>2</v>
      </c>
      <c r="B61">
        <v>15</v>
      </c>
      <c r="C61" t="s">
        <v>776</v>
      </c>
      <c r="D61" s="4">
        <v>9.9999999999999995E-7</v>
      </c>
      <c r="E61" s="4">
        <v>0.05</v>
      </c>
      <c r="F61" s="4">
        <v>0.1</v>
      </c>
    </row>
    <row r="62" spans="1:6" x14ac:dyDescent="0.35">
      <c r="A62">
        <v>2</v>
      </c>
      <c r="B62">
        <v>16</v>
      </c>
      <c r="C62" t="s">
        <v>777</v>
      </c>
      <c r="D62" s="4">
        <v>0.05</v>
      </c>
      <c r="E62" s="4">
        <v>0.1</v>
      </c>
      <c r="F62" s="4">
        <v>0.2</v>
      </c>
    </row>
    <row r="63" spans="1:6" x14ac:dyDescent="0.35">
      <c r="A63">
        <v>2</v>
      </c>
      <c r="B63">
        <v>17</v>
      </c>
      <c r="C63" t="s">
        <v>778</v>
      </c>
      <c r="D63" s="4">
        <v>1E-8</v>
      </c>
      <c r="E63" s="4">
        <v>9.9999999999999995E-8</v>
      </c>
      <c r="F63" s="4">
        <v>9.9999999999999995E-7</v>
      </c>
    </row>
    <row r="64" spans="1:6" x14ac:dyDescent="0.35">
      <c r="A64">
        <v>2</v>
      </c>
      <c r="B64">
        <v>18</v>
      </c>
      <c r="C64" t="s">
        <v>779</v>
      </c>
      <c r="D64" s="4">
        <v>0.4</v>
      </c>
      <c r="E64" s="4">
        <v>0.9</v>
      </c>
      <c r="F64" s="4">
        <v>0.95</v>
      </c>
    </row>
    <row r="65" spans="1:6" x14ac:dyDescent="0.35">
      <c r="A65">
        <v>2</v>
      </c>
      <c r="B65">
        <v>19</v>
      </c>
      <c r="C65" t="s">
        <v>780</v>
      </c>
      <c r="D65" s="4">
        <v>1.0000000000000001E-5</v>
      </c>
      <c r="E65" s="4">
        <v>0.1</v>
      </c>
      <c r="F65" s="4">
        <v>0.15</v>
      </c>
    </row>
    <row r="66" spans="1:6" x14ac:dyDescent="0.35">
      <c r="A66">
        <v>2</v>
      </c>
      <c r="B66">
        <v>20</v>
      </c>
      <c r="C66" t="s">
        <v>781</v>
      </c>
      <c r="D66" s="4">
        <v>0.35</v>
      </c>
      <c r="E66" s="4">
        <v>0.5</v>
      </c>
      <c r="F66" s="4">
        <v>0.65</v>
      </c>
    </row>
    <row r="67" spans="1:6" x14ac:dyDescent="0.35">
      <c r="A67">
        <v>2</v>
      </c>
      <c r="B67">
        <v>21</v>
      </c>
      <c r="C67" t="s">
        <v>782</v>
      </c>
      <c r="D67" s="4">
        <v>0.15</v>
      </c>
      <c r="E67" s="4">
        <v>0.2</v>
      </c>
      <c r="F67" s="4">
        <v>0.35</v>
      </c>
    </row>
    <row r="68" spans="1:6" x14ac:dyDescent="0.35">
      <c r="A68">
        <v>2</v>
      </c>
      <c r="B68">
        <v>22</v>
      </c>
      <c r="C68" t="s">
        <v>783</v>
      </c>
      <c r="D68" s="4">
        <v>0.01</v>
      </c>
      <c r="E68" s="4">
        <v>0.03</v>
      </c>
      <c r="F68" s="4">
        <v>0.05</v>
      </c>
    </row>
    <row r="69" spans="1:6" x14ac:dyDescent="0.35">
      <c r="A69">
        <v>2</v>
      </c>
      <c r="B69">
        <v>23</v>
      </c>
      <c r="C69" t="s">
        <v>784</v>
      </c>
      <c r="D69" s="4">
        <v>0.1</v>
      </c>
      <c r="E69" s="4">
        <v>0.17</v>
      </c>
      <c r="F69" s="4">
        <v>0.2</v>
      </c>
    </row>
    <row r="70" spans="1:6" x14ac:dyDescent="0.35">
      <c r="A70">
        <v>2</v>
      </c>
      <c r="B70">
        <v>24</v>
      </c>
      <c r="C70" t="s">
        <v>785</v>
      </c>
      <c r="D70" s="4">
        <v>0.05</v>
      </c>
      <c r="E70" s="4">
        <v>0.1</v>
      </c>
      <c r="F70" s="4">
        <v>0.15</v>
      </c>
    </row>
    <row r="71" spans="1:6" x14ac:dyDescent="0.35">
      <c r="A71">
        <v>2</v>
      </c>
      <c r="B71">
        <v>25</v>
      </c>
      <c r="C71" t="s">
        <v>786</v>
      </c>
      <c r="D71" s="4">
        <v>0.4</v>
      </c>
      <c r="E71" s="4">
        <v>0.95</v>
      </c>
      <c r="F71" s="4">
        <v>0.99</v>
      </c>
    </row>
    <row r="72" spans="1:6" x14ac:dyDescent="0.35">
      <c r="A72">
        <v>2</v>
      </c>
      <c r="B72">
        <v>26</v>
      </c>
      <c r="C72" t="s">
        <v>787</v>
      </c>
      <c r="D72" s="4">
        <v>9.9999999999999995E-7</v>
      </c>
      <c r="E72" s="4">
        <v>0.05</v>
      </c>
      <c r="F72" s="4">
        <v>0.1</v>
      </c>
    </row>
    <row r="73" spans="1:6" x14ac:dyDescent="0.35">
      <c r="A73">
        <v>2</v>
      </c>
      <c r="B73">
        <v>27</v>
      </c>
      <c r="C73" t="s">
        <v>788</v>
      </c>
      <c r="D73" s="4">
        <v>0.3</v>
      </c>
      <c r="E73" s="4">
        <v>0.65</v>
      </c>
      <c r="F73" s="4">
        <v>0.7</v>
      </c>
    </row>
    <row r="74" spans="1:6" x14ac:dyDescent="0.35">
      <c r="A74">
        <v>2</v>
      </c>
      <c r="B74">
        <v>28</v>
      </c>
      <c r="C74" t="s">
        <v>789</v>
      </c>
      <c r="D74" s="4">
        <v>0.06</v>
      </c>
      <c r="E74" s="4">
        <v>0.2</v>
      </c>
      <c r="F74" s="4">
        <v>0.3</v>
      </c>
    </row>
    <row r="75" spans="1:6" x14ac:dyDescent="0.35">
      <c r="A75">
        <v>2</v>
      </c>
      <c r="B75">
        <v>29</v>
      </c>
      <c r="C75" t="s">
        <v>790</v>
      </c>
      <c r="D75" s="4">
        <v>9.9999999999999995E-7</v>
      </c>
      <c r="E75" s="4">
        <v>0.05</v>
      </c>
      <c r="F75" s="4">
        <v>7.0000000000000007E-2</v>
      </c>
    </row>
    <row r="76" spans="1:6" x14ac:dyDescent="0.35">
      <c r="A76">
        <v>2</v>
      </c>
      <c r="B76">
        <v>30</v>
      </c>
      <c r="C76" t="s">
        <v>791</v>
      </c>
      <c r="D76" s="4">
        <v>0.02</v>
      </c>
      <c r="E76" s="4">
        <v>0.1</v>
      </c>
      <c r="F76" s="4">
        <v>0.15</v>
      </c>
    </row>
    <row r="77" spans="1:6" x14ac:dyDescent="0.35">
      <c r="A77">
        <v>2</v>
      </c>
      <c r="B77">
        <v>31</v>
      </c>
      <c r="C77" t="s">
        <v>792</v>
      </c>
      <c r="D77" s="4">
        <v>1E-8</v>
      </c>
      <c r="E77" s="4">
        <v>9.9999999999999995E-8</v>
      </c>
      <c r="F77" s="4">
        <v>9.9999999999999995E-7</v>
      </c>
    </row>
    <row r="78" spans="1:6" x14ac:dyDescent="0.35">
      <c r="A78">
        <v>2</v>
      </c>
      <c r="B78">
        <v>32</v>
      </c>
      <c r="C78" t="s">
        <v>793</v>
      </c>
      <c r="D78" s="4">
        <v>0.4</v>
      </c>
      <c r="E78" s="4">
        <v>0.8</v>
      </c>
      <c r="F78" s="4">
        <v>0.9</v>
      </c>
    </row>
    <row r="79" spans="1:6" x14ac:dyDescent="0.35">
      <c r="A79">
        <v>2</v>
      </c>
      <c r="B79">
        <v>33</v>
      </c>
      <c r="C79" t="s">
        <v>794</v>
      </c>
      <c r="D79" s="4">
        <v>7.0000000000000007E-2</v>
      </c>
      <c r="E79" s="4">
        <v>0.2</v>
      </c>
      <c r="F79" s="4">
        <v>0.3</v>
      </c>
    </row>
    <row r="80" spans="1:6" x14ac:dyDescent="0.35">
      <c r="A80">
        <v>2</v>
      </c>
      <c r="B80">
        <v>34</v>
      </c>
      <c r="C80" t="s">
        <v>795</v>
      </c>
      <c r="D80" s="4">
        <v>0.2</v>
      </c>
      <c r="E80" s="4">
        <v>0.4</v>
      </c>
      <c r="F80" s="4">
        <v>0.5</v>
      </c>
    </row>
    <row r="81" spans="1:6" x14ac:dyDescent="0.35">
      <c r="A81">
        <v>2</v>
      </c>
      <c r="B81">
        <v>35</v>
      </c>
      <c r="C81" t="s">
        <v>796</v>
      </c>
      <c r="D81" s="4">
        <v>0.2</v>
      </c>
      <c r="E81" s="4">
        <v>0.3</v>
      </c>
      <c r="F81" s="4">
        <v>0.5</v>
      </c>
    </row>
    <row r="82" spans="1:6" x14ac:dyDescent="0.35">
      <c r="A82">
        <v>2</v>
      </c>
      <c r="B82">
        <v>36</v>
      </c>
      <c r="C82" t="s">
        <v>797</v>
      </c>
      <c r="D82" s="4">
        <v>0.01</v>
      </c>
      <c r="E82" s="4">
        <v>0.05</v>
      </c>
      <c r="F82" s="4">
        <v>0.1</v>
      </c>
    </row>
    <row r="83" spans="1:6" x14ac:dyDescent="0.35">
      <c r="A83">
        <v>2</v>
      </c>
      <c r="B83">
        <v>37</v>
      </c>
      <c r="C83" t="s">
        <v>798</v>
      </c>
      <c r="D83" s="4">
        <v>0.1</v>
      </c>
      <c r="E83" s="4">
        <v>0.15</v>
      </c>
      <c r="F83" s="4">
        <v>0.2</v>
      </c>
    </row>
    <row r="84" spans="1:6" x14ac:dyDescent="0.35">
      <c r="A84">
        <v>2</v>
      </c>
      <c r="B84">
        <v>38</v>
      </c>
      <c r="C84" t="s">
        <v>799</v>
      </c>
      <c r="D84" s="4">
        <v>0.04</v>
      </c>
      <c r="E84" s="4">
        <v>0.1</v>
      </c>
      <c r="F84" s="4">
        <v>0.2</v>
      </c>
    </row>
    <row r="85" spans="1:6" x14ac:dyDescent="0.35">
      <c r="A85">
        <v>2</v>
      </c>
      <c r="B85">
        <v>39</v>
      </c>
      <c r="C85" t="s">
        <v>800</v>
      </c>
      <c r="D85" s="4">
        <v>0.7</v>
      </c>
      <c r="E85" s="4">
        <v>0.8</v>
      </c>
      <c r="F85" s="4">
        <v>0.9</v>
      </c>
    </row>
    <row r="86" spans="1:6" x14ac:dyDescent="0.35">
      <c r="A86">
        <v>2</v>
      </c>
      <c r="B86">
        <v>40</v>
      </c>
      <c r="C86" t="s">
        <v>801</v>
      </c>
      <c r="D86" s="4">
        <v>0.1</v>
      </c>
      <c r="E86" s="4">
        <v>0.2</v>
      </c>
      <c r="F86" s="4">
        <v>0.3</v>
      </c>
    </row>
    <row r="87" spans="1:6" x14ac:dyDescent="0.35">
      <c r="A87">
        <v>2</v>
      </c>
      <c r="B87">
        <v>41</v>
      </c>
      <c r="C87" t="s">
        <v>802</v>
      </c>
      <c r="D87" s="4">
        <v>0.3</v>
      </c>
      <c r="E87" s="4">
        <v>0.5</v>
      </c>
      <c r="F87" s="4">
        <v>0.6</v>
      </c>
    </row>
    <row r="88" spans="1:6" x14ac:dyDescent="0.35">
      <c r="A88">
        <v>2</v>
      </c>
      <c r="B88">
        <v>42</v>
      </c>
      <c r="C88" t="s">
        <v>803</v>
      </c>
      <c r="D88" s="4">
        <v>0.15</v>
      </c>
      <c r="E88" s="4">
        <v>0.3</v>
      </c>
      <c r="F88" s="4">
        <v>0.45</v>
      </c>
    </row>
    <row r="89" spans="1:6" x14ac:dyDescent="0.35">
      <c r="A89">
        <v>2</v>
      </c>
      <c r="B89">
        <v>43</v>
      </c>
      <c r="C89" t="s">
        <v>804</v>
      </c>
      <c r="D89" s="4">
        <v>0.01</v>
      </c>
      <c r="E89" s="4">
        <v>0.05</v>
      </c>
      <c r="F89" s="4">
        <v>0.1</v>
      </c>
    </row>
    <row r="90" spans="1:6" x14ac:dyDescent="0.35">
      <c r="A90">
        <v>2</v>
      </c>
      <c r="B90">
        <v>44</v>
      </c>
      <c r="C90" t="s">
        <v>805</v>
      </c>
      <c r="D90" s="4">
        <v>0.05</v>
      </c>
      <c r="E90" s="4">
        <v>0.15</v>
      </c>
      <c r="F90" s="4">
        <v>0.3</v>
      </c>
    </row>
    <row r="91" spans="1:6" x14ac:dyDescent="0.35">
      <c r="A91">
        <v>2</v>
      </c>
      <c r="B91">
        <v>45</v>
      </c>
      <c r="C91" t="s">
        <v>806</v>
      </c>
      <c r="D91" s="4">
        <v>1E-8</v>
      </c>
      <c r="E91" s="4">
        <v>9.9999999999999995E-8</v>
      </c>
      <c r="F91" s="4">
        <v>9.9999999999999995E-7</v>
      </c>
    </row>
    <row r="92" spans="1:6" x14ac:dyDescent="0.35">
      <c r="A92">
        <v>3</v>
      </c>
      <c r="B92">
        <v>1</v>
      </c>
      <c r="C92" t="s">
        <v>236</v>
      </c>
      <c r="D92" s="4">
        <v>50</v>
      </c>
      <c r="E92" s="4">
        <v>175</v>
      </c>
      <c r="F92" s="4">
        <v>250</v>
      </c>
    </row>
    <row r="93" spans="1:6" x14ac:dyDescent="0.35">
      <c r="A93">
        <v>3</v>
      </c>
      <c r="B93">
        <v>2</v>
      </c>
      <c r="C93" t="s">
        <v>237</v>
      </c>
      <c r="D93" s="4">
        <v>20</v>
      </c>
      <c r="E93" s="4">
        <v>60</v>
      </c>
      <c r="F93" s="4">
        <v>80</v>
      </c>
    </row>
    <row r="94" spans="1:6" x14ac:dyDescent="0.35">
      <c r="A94">
        <v>3</v>
      </c>
      <c r="B94">
        <v>3</v>
      </c>
      <c r="C94" t="s">
        <v>238</v>
      </c>
      <c r="D94" s="4">
        <v>60000</v>
      </c>
      <c r="E94" s="4">
        <v>80000</v>
      </c>
      <c r="F94" s="4">
        <v>100000</v>
      </c>
    </row>
    <row r="95" spans="1:6" x14ac:dyDescent="0.35">
      <c r="A95">
        <v>3</v>
      </c>
      <c r="B95">
        <v>4</v>
      </c>
      <c r="C95" t="s">
        <v>239</v>
      </c>
      <c r="D95" s="4">
        <v>200</v>
      </c>
      <c r="E95" s="4">
        <v>600</v>
      </c>
      <c r="F95" s="4">
        <v>1000</v>
      </c>
    </row>
    <row r="96" spans="1:6" x14ac:dyDescent="0.35">
      <c r="A96">
        <v>3</v>
      </c>
      <c r="B96">
        <v>5</v>
      </c>
      <c r="C96" t="s">
        <v>240</v>
      </c>
      <c r="D96" s="4">
        <v>0.05</v>
      </c>
      <c r="E96" s="4">
        <v>0.08</v>
      </c>
      <c r="F96" s="4">
        <v>0.12</v>
      </c>
    </row>
    <row r="97" spans="1:6" x14ac:dyDescent="0.35">
      <c r="A97">
        <v>3</v>
      </c>
      <c r="B97">
        <v>6</v>
      </c>
      <c r="C97" t="s">
        <v>241</v>
      </c>
      <c r="D97" s="4">
        <v>3000</v>
      </c>
      <c r="E97" s="4">
        <v>5000</v>
      </c>
      <c r="F97" s="4">
        <v>7000</v>
      </c>
    </row>
    <row r="98" spans="1:6" x14ac:dyDescent="0.35">
      <c r="A98">
        <v>3</v>
      </c>
      <c r="B98">
        <v>7</v>
      </c>
      <c r="C98" t="s">
        <v>242</v>
      </c>
      <c r="D98" s="4">
        <v>6000</v>
      </c>
      <c r="E98" s="4">
        <v>8000</v>
      </c>
      <c r="F98" s="4">
        <v>12000</v>
      </c>
    </row>
    <row r="99" spans="1:6" x14ac:dyDescent="0.35">
      <c r="A99">
        <v>3</v>
      </c>
      <c r="B99">
        <v>8</v>
      </c>
      <c r="C99" t="s">
        <v>243</v>
      </c>
      <c r="D99" s="4">
        <v>50</v>
      </c>
      <c r="E99" s="4">
        <v>300</v>
      </c>
      <c r="F99" s="4">
        <v>500</v>
      </c>
    </row>
    <row r="100" spans="1:6" x14ac:dyDescent="0.35">
      <c r="A100">
        <v>3</v>
      </c>
      <c r="B100">
        <v>9</v>
      </c>
      <c r="C100" t="s">
        <v>244</v>
      </c>
      <c r="D100" s="4">
        <v>150</v>
      </c>
      <c r="E100" s="4">
        <v>250</v>
      </c>
      <c r="F100" s="4">
        <v>400</v>
      </c>
    </row>
    <row r="101" spans="1:6" x14ac:dyDescent="0.35">
      <c r="A101">
        <v>3</v>
      </c>
      <c r="B101">
        <v>10</v>
      </c>
      <c r="C101" t="s">
        <v>245</v>
      </c>
      <c r="D101" s="4">
        <v>0.03</v>
      </c>
      <c r="E101" s="4">
        <v>0.1</v>
      </c>
      <c r="F101" s="4">
        <v>0.15</v>
      </c>
    </row>
    <row r="102" spans="1:6" x14ac:dyDescent="0.35">
      <c r="A102">
        <v>3</v>
      </c>
      <c r="B102">
        <v>11</v>
      </c>
      <c r="C102" t="s">
        <v>772</v>
      </c>
      <c r="D102" s="4">
        <v>0.7</v>
      </c>
      <c r="E102" s="4">
        <v>0.9</v>
      </c>
      <c r="F102" s="4">
        <v>0.95</v>
      </c>
    </row>
    <row r="103" spans="1:6" x14ac:dyDescent="0.35">
      <c r="A103">
        <v>3</v>
      </c>
      <c r="B103">
        <v>12</v>
      </c>
      <c r="C103" t="s">
        <v>773</v>
      </c>
      <c r="D103" s="4">
        <v>7.0000000000000007E-2</v>
      </c>
      <c r="E103" s="4">
        <v>0.1</v>
      </c>
      <c r="F103" s="4">
        <v>0.12</v>
      </c>
    </row>
    <row r="104" spans="1:6" x14ac:dyDescent="0.35">
      <c r="A104">
        <v>3</v>
      </c>
      <c r="B104">
        <v>13</v>
      </c>
      <c r="C104" t="s">
        <v>774</v>
      </c>
      <c r="D104" s="4">
        <v>0.05</v>
      </c>
      <c r="E104" s="4">
        <v>0.09</v>
      </c>
      <c r="F104" s="4">
        <v>0.1</v>
      </c>
    </row>
    <row r="105" spans="1:6" x14ac:dyDescent="0.35">
      <c r="A105">
        <v>3</v>
      </c>
      <c r="B105">
        <v>14</v>
      </c>
      <c r="C105" t="s">
        <v>775</v>
      </c>
      <c r="D105" s="4">
        <v>0.7</v>
      </c>
      <c r="E105" s="4">
        <v>0.8</v>
      </c>
      <c r="F105" s="4">
        <v>0.9</v>
      </c>
    </row>
    <row r="106" spans="1:6" x14ac:dyDescent="0.35">
      <c r="A106">
        <v>3</v>
      </c>
      <c r="B106">
        <v>15</v>
      </c>
      <c r="C106" t="s">
        <v>776</v>
      </c>
      <c r="D106" s="4">
        <v>0.01</v>
      </c>
      <c r="E106" s="4">
        <v>0.02</v>
      </c>
      <c r="F106" s="4">
        <v>0.03</v>
      </c>
    </row>
    <row r="107" spans="1:6" x14ac:dyDescent="0.35">
      <c r="A107">
        <v>3</v>
      </c>
      <c r="B107">
        <v>16</v>
      </c>
      <c r="C107" t="s">
        <v>777</v>
      </c>
      <c r="D107" s="4">
        <v>0.01</v>
      </c>
      <c r="E107" s="4">
        <v>0.03</v>
      </c>
      <c r="F107" s="4">
        <v>0.05</v>
      </c>
    </row>
    <row r="108" spans="1:6" x14ac:dyDescent="0.35">
      <c r="A108">
        <v>3</v>
      </c>
      <c r="B108">
        <v>17</v>
      </c>
      <c r="C108" t="s">
        <v>778</v>
      </c>
      <c r="D108" s="4">
        <v>0.02</v>
      </c>
      <c r="E108" s="4">
        <v>0.04</v>
      </c>
      <c r="F108" s="4">
        <v>0.05</v>
      </c>
    </row>
    <row r="109" spans="1:6" x14ac:dyDescent="0.35">
      <c r="A109">
        <v>3</v>
      </c>
      <c r="B109">
        <v>18</v>
      </c>
      <c r="C109" t="s">
        <v>779</v>
      </c>
      <c r="D109" s="4">
        <v>0.65</v>
      </c>
      <c r="E109" s="4">
        <v>0.85</v>
      </c>
      <c r="F109" s="4">
        <v>0.9</v>
      </c>
    </row>
    <row r="110" spans="1:6" x14ac:dyDescent="0.35">
      <c r="A110">
        <v>3</v>
      </c>
      <c r="B110">
        <v>19</v>
      </c>
      <c r="C110" t="s">
        <v>780</v>
      </c>
      <c r="D110" s="4">
        <v>0.1</v>
      </c>
      <c r="E110" s="4">
        <v>0.15</v>
      </c>
      <c r="F110" s="4">
        <v>0.2</v>
      </c>
    </row>
    <row r="111" spans="1:6" x14ac:dyDescent="0.35">
      <c r="A111">
        <v>3</v>
      </c>
      <c r="B111">
        <v>20</v>
      </c>
      <c r="C111" t="s">
        <v>781</v>
      </c>
      <c r="D111" s="4">
        <v>0.08</v>
      </c>
      <c r="E111" s="4">
        <v>0.12</v>
      </c>
      <c r="F111" s="4">
        <v>0.17</v>
      </c>
    </row>
    <row r="112" spans="1:6" x14ac:dyDescent="0.35">
      <c r="A112">
        <v>3</v>
      </c>
      <c r="B112">
        <v>21</v>
      </c>
      <c r="C112" t="s">
        <v>782</v>
      </c>
      <c r="D112" s="4">
        <v>0.54</v>
      </c>
      <c r="E112" s="4">
        <v>0.75</v>
      </c>
      <c r="F112" s="4">
        <v>0.8</v>
      </c>
    </row>
    <row r="113" spans="1:6" x14ac:dyDescent="0.35">
      <c r="A113">
        <v>3</v>
      </c>
      <c r="B113">
        <v>22</v>
      </c>
      <c r="C113" t="s">
        <v>783</v>
      </c>
      <c r="D113" s="4">
        <v>0.01</v>
      </c>
      <c r="E113" s="4">
        <v>0.03</v>
      </c>
      <c r="F113" s="4">
        <v>0.06</v>
      </c>
    </row>
    <row r="114" spans="1:6" x14ac:dyDescent="0.35">
      <c r="A114">
        <v>3</v>
      </c>
      <c r="B114">
        <v>23</v>
      </c>
      <c r="C114" t="s">
        <v>784</v>
      </c>
      <c r="D114" s="4">
        <v>0.02</v>
      </c>
      <c r="E114" s="4">
        <v>0.08</v>
      </c>
      <c r="F114" s="4">
        <v>0.13</v>
      </c>
    </row>
    <row r="115" spans="1:6" x14ac:dyDescent="0.35">
      <c r="A115">
        <v>3</v>
      </c>
      <c r="B115">
        <v>24</v>
      </c>
      <c r="C115" t="s">
        <v>785</v>
      </c>
      <c r="D115" s="4">
        <v>0.01</v>
      </c>
      <c r="E115" s="4">
        <v>0.02</v>
      </c>
      <c r="F115" s="4">
        <v>0.04</v>
      </c>
    </row>
    <row r="116" spans="1:6" x14ac:dyDescent="0.35">
      <c r="A116">
        <v>3</v>
      </c>
      <c r="B116">
        <v>25</v>
      </c>
      <c r="C116" t="s">
        <v>786</v>
      </c>
      <c r="D116" s="4">
        <v>0.6</v>
      </c>
      <c r="E116" s="4">
        <v>0.95</v>
      </c>
      <c r="F116" s="4">
        <v>0.97</v>
      </c>
    </row>
    <row r="117" spans="1:6" x14ac:dyDescent="0.35">
      <c r="A117">
        <v>3</v>
      </c>
      <c r="B117">
        <v>26</v>
      </c>
      <c r="C117" t="s">
        <v>787</v>
      </c>
      <c r="D117" s="4">
        <v>0.02</v>
      </c>
      <c r="E117" s="4">
        <v>0.05</v>
      </c>
      <c r="F117" s="4">
        <v>7.0000000000000007E-2</v>
      </c>
    </row>
    <row r="118" spans="1:6" x14ac:dyDescent="0.35">
      <c r="A118">
        <v>3</v>
      </c>
      <c r="B118">
        <v>27</v>
      </c>
      <c r="C118" t="s">
        <v>788</v>
      </c>
      <c r="D118" s="4">
        <v>0.06</v>
      </c>
      <c r="E118" s="4">
        <v>0.1</v>
      </c>
      <c r="F118" s="4">
        <v>0.15</v>
      </c>
    </row>
    <row r="119" spans="1:6" x14ac:dyDescent="0.35">
      <c r="A119">
        <v>3</v>
      </c>
      <c r="B119">
        <v>28</v>
      </c>
      <c r="C119" t="s">
        <v>789</v>
      </c>
      <c r="D119" s="4">
        <v>0.45</v>
      </c>
      <c r="E119" s="4">
        <v>0.76</v>
      </c>
      <c r="F119" s="4">
        <v>0.8</v>
      </c>
    </row>
    <row r="120" spans="1:6" x14ac:dyDescent="0.35">
      <c r="A120">
        <v>3</v>
      </c>
      <c r="B120">
        <v>29</v>
      </c>
      <c r="C120" t="s">
        <v>790</v>
      </c>
      <c r="D120" s="4">
        <v>0.04</v>
      </c>
      <c r="E120" s="4">
        <v>0.08</v>
      </c>
      <c r="F120" s="4">
        <v>0.1</v>
      </c>
    </row>
    <row r="121" spans="1:6" x14ac:dyDescent="0.35">
      <c r="A121">
        <v>3</v>
      </c>
      <c r="B121">
        <v>30</v>
      </c>
      <c r="C121" t="s">
        <v>791</v>
      </c>
      <c r="D121" s="4">
        <v>0.01</v>
      </c>
      <c r="E121" s="4">
        <v>0.03</v>
      </c>
      <c r="F121" s="4">
        <v>0.04</v>
      </c>
    </row>
    <row r="122" spans="1:6" x14ac:dyDescent="0.35">
      <c r="A122">
        <v>3</v>
      </c>
      <c r="B122">
        <v>31</v>
      </c>
      <c r="C122" t="s">
        <v>792</v>
      </c>
      <c r="D122" s="4">
        <v>0.01</v>
      </c>
      <c r="E122" s="4">
        <v>0.02</v>
      </c>
      <c r="F122" s="4">
        <v>0.06</v>
      </c>
    </row>
    <row r="123" spans="1:6" x14ac:dyDescent="0.35">
      <c r="A123">
        <v>3</v>
      </c>
      <c r="B123">
        <v>32</v>
      </c>
      <c r="C123" t="s">
        <v>793</v>
      </c>
      <c r="D123" s="4">
        <v>0.2</v>
      </c>
      <c r="E123" s="4">
        <v>0.9</v>
      </c>
      <c r="F123" s="4">
        <v>0.93</v>
      </c>
    </row>
    <row r="124" spans="1:6" x14ac:dyDescent="0.35">
      <c r="A124">
        <v>3</v>
      </c>
      <c r="B124">
        <v>33</v>
      </c>
      <c r="C124" t="s">
        <v>794</v>
      </c>
      <c r="D124" s="4">
        <v>0.01</v>
      </c>
      <c r="E124" s="4">
        <v>0.04</v>
      </c>
      <c r="F124" s="4">
        <v>0.05</v>
      </c>
    </row>
    <row r="125" spans="1:6" x14ac:dyDescent="0.35">
      <c r="A125">
        <v>3</v>
      </c>
      <c r="B125">
        <v>34</v>
      </c>
      <c r="C125" t="s">
        <v>795</v>
      </c>
      <c r="D125" s="4">
        <v>0.02</v>
      </c>
      <c r="E125" s="4">
        <v>0.05</v>
      </c>
      <c r="F125" s="4">
        <v>0.12</v>
      </c>
    </row>
    <row r="126" spans="1:6" x14ac:dyDescent="0.35">
      <c r="A126">
        <v>3</v>
      </c>
      <c r="B126">
        <v>35</v>
      </c>
      <c r="C126" t="s">
        <v>796</v>
      </c>
      <c r="D126" s="4">
        <v>0.56000000000000005</v>
      </c>
      <c r="E126" s="4">
        <v>0.87</v>
      </c>
      <c r="F126" s="4">
        <v>0.92</v>
      </c>
    </row>
    <row r="127" spans="1:6" x14ac:dyDescent="0.35">
      <c r="A127">
        <v>3</v>
      </c>
      <c r="B127">
        <v>36</v>
      </c>
      <c r="C127" t="s">
        <v>797</v>
      </c>
      <c r="D127" s="4">
        <v>0.03</v>
      </c>
      <c r="E127" s="4">
        <v>0.04</v>
      </c>
      <c r="F127" s="4">
        <v>0.06</v>
      </c>
    </row>
    <row r="128" spans="1:6" x14ac:dyDescent="0.35">
      <c r="A128">
        <v>3</v>
      </c>
      <c r="B128">
        <v>37</v>
      </c>
      <c r="C128" t="s">
        <v>798</v>
      </c>
      <c r="D128" s="4">
        <v>0.01</v>
      </c>
      <c r="E128" s="4">
        <v>0.02</v>
      </c>
      <c r="F128" s="4">
        <v>0.05</v>
      </c>
    </row>
    <row r="129" spans="1:6" x14ac:dyDescent="0.35">
      <c r="A129">
        <v>3</v>
      </c>
      <c r="B129">
        <v>38</v>
      </c>
      <c r="C129" t="s">
        <v>799</v>
      </c>
      <c r="D129" s="4">
        <v>0.01</v>
      </c>
      <c r="E129" s="4">
        <v>0.02</v>
      </c>
      <c r="F129" s="4">
        <v>0.08</v>
      </c>
    </row>
    <row r="130" spans="1:6" x14ac:dyDescent="0.35">
      <c r="A130">
        <v>3</v>
      </c>
      <c r="B130">
        <v>39</v>
      </c>
      <c r="C130" t="s">
        <v>800</v>
      </c>
      <c r="D130" s="4">
        <v>0.35</v>
      </c>
      <c r="E130" s="4">
        <v>0.95</v>
      </c>
      <c r="F130" s="4">
        <v>0.97</v>
      </c>
    </row>
    <row r="131" spans="1:6" x14ac:dyDescent="0.35">
      <c r="A131">
        <v>3</v>
      </c>
      <c r="B131">
        <v>40</v>
      </c>
      <c r="C131" t="s">
        <v>801</v>
      </c>
      <c r="D131" s="4">
        <v>0.02</v>
      </c>
      <c r="E131" s="4">
        <v>0.05</v>
      </c>
      <c r="F131" s="4">
        <v>0.08</v>
      </c>
    </row>
    <row r="132" spans="1:6" x14ac:dyDescent="0.35">
      <c r="A132">
        <v>3</v>
      </c>
      <c r="B132">
        <v>41</v>
      </c>
      <c r="C132" t="s">
        <v>802</v>
      </c>
      <c r="D132" s="4">
        <v>0.02</v>
      </c>
      <c r="E132" s="4">
        <v>0.06</v>
      </c>
      <c r="F132" s="4">
        <v>0.19</v>
      </c>
    </row>
    <row r="133" spans="1:6" x14ac:dyDescent="0.35">
      <c r="A133">
        <v>3</v>
      </c>
      <c r="B133">
        <v>42</v>
      </c>
      <c r="C133" t="s">
        <v>803</v>
      </c>
      <c r="D133" s="4">
        <v>0.6</v>
      </c>
      <c r="E133" s="4">
        <v>0.8</v>
      </c>
      <c r="F133" s="4">
        <v>0.9</v>
      </c>
    </row>
    <row r="134" spans="1:6" x14ac:dyDescent="0.35">
      <c r="A134">
        <v>3</v>
      </c>
      <c r="B134">
        <v>43</v>
      </c>
      <c r="C134" t="s">
        <v>804</v>
      </c>
      <c r="D134" s="4">
        <v>0.02</v>
      </c>
      <c r="E134" s="4">
        <v>0.05</v>
      </c>
      <c r="F134" s="4">
        <v>0.08</v>
      </c>
    </row>
    <row r="135" spans="1:6" x14ac:dyDescent="0.35">
      <c r="A135">
        <v>3</v>
      </c>
      <c r="B135">
        <v>44</v>
      </c>
      <c r="C135" t="s">
        <v>805</v>
      </c>
      <c r="D135" s="4">
        <v>0.01</v>
      </c>
      <c r="E135" s="4">
        <v>0.03</v>
      </c>
      <c r="F135" s="4">
        <v>0.06</v>
      </c>
    </row>
    <row r="136" spans="1:6" x14ac:dyDescent="0.35">
      <c r="A136">
        <v>3</v>
      </c>
      <c r="B136">
        <v>45</v>
      </c>
      <c r="C136" t="s">
        <v>806</v>
      </c>
      <c r="D136" s="4">
        <v>0.02</v>
      </c>
      <c r="E136" s="4">
        <v>0.04</v>
      </c>
      <c r="F136" s="4">
        <v>0.09</v>
      </c>
    </row>
    <row r="137" spans="1:6" x14ac:dyDescent="0.35">
      <c r="A137">
        <v>4</v>
      </c>
      <c r="B137">
        <v>1</v>
      </c>
      <c r="C137" t="s">
        <v>236</v>
      </c>
      <c r="D137" s="4">
        <v>5000</v>
      </c>
      <c r="E137" s="4">
        <v>50000</v>
      </c>
      <c r="F137" s="4">
        <v>100000</v>
      </c>
    </row>
    <row r="138" spans="1:6" x14ac:dyDescent="0.35">
      <c r="A138">
        <v>4</v>
      </c>
      <c r="B138">
        <v>2</v>
      </c>
      <c r="C138" t="s">
        <v>237</v>
      </c>
      <c r="D138" s="4">
        <v>5000</v>
      </c>
      <c r="E138" s="4">
        <v>35000</v>
      </c>
      <c r="F138" s="4">
        <v>70000</v>
      </c>
    </row>
    <row r="139" spans="1:6" x14ac:dyDescent="0.35">
      <c r="A139">
        <v>4</v>
      </c>
      <c r="B139">
        <v>3</v>
      </c>
      <c r="C139" t="s">
        <v>238</v>
      </c>
      <c r="D139" s="4">
        <v>1000</v>
      </c>
      <c r="E139" s="4">
        <v>5000</v>
      </c>
      <c r="F139" s="4">
        <v>20000</v>
      </c>
    </row>
    <row r="140" spans="1:6" x14ac:dyDescent="0.35">
      <c r="A140">
        <v>4</v>
      </c>
      <c r="B140">
        <v>4</v>
      </c>
      <c r="C140" t="s">
        <v>239</v>
      </c>
      <c r="D140" s="4">
        <v>100</v>
      </c>
      <c r="E140" s="4">
        <v>20000</v>
      </c>
      <c r="F140" s="4">
        <v>100000</v>
      </c>
    </row>
    <row r="141" spans="1:6" x14ac:dyDescent="0.35">
      <c r="A141">
        <v>4</v>
      </c>
      <c r="B141">
        <v>5</v>
      </c>
      <c r="C141" t="s">
        <v>240</v>
      </c>
      <c r="D141" s="4">
        <v>0.05</v>
      </c>
      <c r="E141" s="4">
        <v>0.4</v>
      </c>
      <c r="F141" s="4">
        <v>0.7</v>
      </c>
    </row>
    <row r="142" spans="1:6" x14ac:dyDescent="0.35">
      <c r="A142">
        <v>4</v>
      </c>
      <c r="B142">
        <v>6</v>
      </c>
      <c r="C142" t="s">
        <v>241</v>
      </c>
      <c r="D142" s="4">
        <v>10</v>
      </c>
      <c r="E142" s="4">
        <v>1250</v>
      </c>
      <c r="F142" s="4">
        <v>3000</v>
      </c>
    </row>
    <row r="143" spans="1:6" x14ac:dyDescent="0.35">
      <c r="A143">
        <v>4</v>
      </c>
      <c r="B143">
        <v>7</v>
      </c>
      <c r="C143" t="s">
        <v>242</v>
      </c>
      <c r="D143" s="4">
        <v>1000</v>
      </c>
      <c r="E143" s="4">
        <v>35000</v>
      </c>
      <c r="F143" s="4">
        <v>50000</v>
      </c>
    </row>
    <row r="144" spans="1:6" x14ac:dyDescent="0.35">
      <c r="A144">
        <v>4</v>
      </c>
      <c r="B144">
        <v>8</v>
      </c>
      <c r="C144" t="s">
        <v>243</v>
      </c>
      <c r="D144" s="4">
        <v>20</v>
      </c>
      <c r="E144" s="4">
        <v>90</v>
      </c>
      <c r="F144" s="4">
        <v>300</v>
      </c>
    </row>
    <row r="145" spans="1:6" x14ac:dyDescent="0.35">
      <c r="A145">
        <v>4</v>
      </c>
      <c r="B145">
        <v>9</v>
      </c>
      <c r="C145" t="s">
        <v>244</v>
      </c>
      <c r="D145" s="4">
        <v>100</v>
      </c>
      <c r="E145" s="4">
        <v>1000</v>
      </c>
      <c r="F145" s="4">
        <v>10000</v>
      </c>
    </row>
    <row r="146" spans="1:6" x14ac:dyDescent="0.35">
      <c r="A146">
        <v>4</v>
      </c>
      <c r="B146">
        <v>10</v>
      </c>
      <c r="C146" t="s">
        <v>245</v>
      </c>
      <c r="D146" s="4">
        <v>0.2</v>
      </c>
      <c r="E146" s="4">
        <v>0.35</v>
      </c>
      <c r="F146" s="4">
        <v>0.45</v>
      </c>
    </row>
    <row r="147" spans="1:6" x14ac:dyDescent="0.35">
      <c r="A147">
        <v>4</v>
      </c>
      <c r="B147">
        <v>11</v>
      </c>
      <c r="C147" t="s">
        <v>772</v>
      </c>
      <c r="D147" s="4">
        <v>0.998</v>
      </c>
      <c r="E147" s="4">
        <v>0.99850000000000005</v>
      </c>
      <c r="F147" s="4">
        <v>0.99990000000000001</v>
      </c>
    </row>
    <row r="148" spans="1:6" x14ac:dyDescent="0.35">
      <c r="A148">
        <v>4</v>
      </c>
      <c r="B148">
        <v>12</v>
      </c>
      <c r="C148" t="s">
        <v>773</v>
      </c>
      <c r="D148" s="4">
        <v>1E-4</v>
      </c>
      <c r="E148" s="4">
        <v>1.5E-3</v>
      </c>
      <c r="F148" s="4">
        <v>2E-3</v>
      </c>
    </row>
    <row r="149" spans="1:6" x14ac:dyDescent="0.35">
      <c r="A149">
        <v>4</v>
      </c>
      <c r="B149">
        <v>13</v>
      </c>
      <c r="C149" t="s">
        <v>774</v>
      </c>
      <c r="D149" s="4">
        <v>0.4</v>
      </c>
      <c r="E149" s="4">
        <v>0.5</v>
      </c>
      <c r="F149" s="4">
        <v>0.6</v>
      </c>
    </row>
    <row r="150" spans="1:6" x14ac:dyDescent="0.35">
      <c r="A150">
        <v>4</v>
      </c>
      <c r="B150">
        <v>14</v>
      </c>
      <c r="C150" t="s">
        <v>775</v>
      </c>
      <c r="D150" s="4">
        <v>0.1</v>
      </c>
      <c r="E150" s="4">
        <v>0.18</v>
      </c>
      <c r="F150" s="4">
        <v>0.3</v>
      </c>
    </row>
    <row r="151" spans="1:6" x14ac:dyDescent="0.35">
      <c r="A151">
        <v>4</v>
      </c>
      <c r="B151">
        <v>15</v>
      </c>
      <c r="C151" t="s">
        <v>776</v>
      </c>
      <c r="D151" s="4">
        <v>4.0000000000000001E-3</v>
      </c>
      <c r="E151" s="4">
        <v>5.0000000000000001E-3</v>
      </c>
      <c r="F151" s="4">
        <v>1.4999999999999999E-2</v>
      </c>
    </row>
    <row r="152" spans="1:6" x14ac:dyDescent="0.35">
      <c r="A152">
        <v>4</v>
      </c>
      <c r="B152">
        <v>16</v>
      </c>
      <c r="C152" t="s">
        <v>777</v>
      </c>
      <c r="D152" s="4">
        <v>0.25</v>
      </c>
      <c r="E152" s="4">
        <v>0.3</v>
      </c>
      <c r="F152" s="4">
        <v>0.4</v>
      </c>
    </row>
    <row r="153" spans="1:6" x14ac:dyDescent="0.35">
      <c r="A153">
        <v>4</v>
      </c>
      <c r="B153">
        <v>17</v>
      </c>
      <c r="C153" t="s">
        <v>778</v>
      </c>
      <c r="D153" s="4">
        <v>0.01</v>
      </c>
      <c r="E153" s="4">
        <v>1.4999999999999999E-2</v>
      </c>
      <c r="F153" s="4">
        <v>0.1</v>
      </c>
    </row>
    <row r="154" spans="1:6" x14ac:dyDescent="0.35">
      <c r="A154">
        <v>4</v>
      </c>
      <c r="B154">
        <v>18</v>
      </c>
      <c r="C154" t="s">
        <v>779</v>
      </c>
      <c r="D154" s="4">
        <v>0.998</v>
      </c>
      <c r="E154" s="4">
        <v>0.99850000000000005</v>
      </c>
      <c r="F154" s="4">
        <v>0.99990000000000001</v>
      </c>
    </row>
    <row r="155" spans="1:6" x14ac:dyDescent="0.35">
      <c r="A155">
        <v>4</v>
      </c>
      <c r="B155">
        <v>19</v>
      </c>
      <c r="C155" t="s">
        <v>780</v>
      </c>
      <c r="D155" s="4">
        <v>1E-4</v>
      </c>
      <c r="E155" s="4">
        <v>1.5E-3</v>
      </c>
      <c r="F155" s="4">
        <v>2E-3</v>
      </c>
    </row>
    <row r="156" spans="1:6" x14ac:dyDescent="0.35">
      <c r="A156">
        <v>4</v>
      </c>
      <c r="B156">
        <v>20</v>
      </c>
      <c r="C156" t="s">
        <v>781</v>
      </c>
      <c r="D156" s="4">
        <v>0.4</v>
      </c>
      <c r="E156" s="4">
        <v>0.59</v>
      </c>
      <c r="F156" s="4">
        <v>0.7</v>
      </c>
    </row>
    <row r="157" spans="1:6" x14ac:dyDescent="0.35">
      <c r="A157">
        <v>4</v>
      </c>
      <c r="B157">
        <v>21</v>
      </c>
      <c r="C157" t="s">
        <v>782</v>
      </c>
      <c r="D157" s="4">
        <v>0.1</v>
      </c>
      <c r="E157" s="4">
        <v>0.2</v>
      </c>
      <c r="F157" s="4">
        <v>0.3</v>
      </c>
    </row>
    <row r="158" spans="1:6" x14ac:dyDescent="0.35">
      <c r="A158">
        <v>4</v>
      </c>
      <c r="B158">
        <v>22</v>
      </c>
      <c r="C158" t="s">
        <v>783</v>
      </c>
      <c r="D158" s="4">
        <v>4.0000000000000001E-3</v>
      </c>
      <c r="E158" s="4">
        <v>5.0000000000000001E-3</v>
      </c>
      <c r="F158" s="4">
        <v>1.4999999999999999E-2</v>
      </c>
    </row>
    <row r="159" spans="1:6" x14ac:dyDescent="0.35">
      <c r="A159">
        <v>4</v>
      </c>
      <c r="B159">
        <v>23</v>
      </c>
      <c r="C159" t="s">
        <v>784</v>
      </c>
      <c r="D159" s="4">
        <v>0.15</v>
      </c>
      <c r="E159" s="4">
        <v>0.19</v>
      </c>
      <c r="F159" s="4">
        <v>0.33</v>
      </c>
    </row>
    <row r="160" spans="1:6" x14ac:dyDescent="0.35">
      <c r="A160">
        <v>4</v>
      </c>
      <c r="B160">
        <v>24</v>
      </c>
      <c r="C160" t="s">
        <v>785</v>
      </c>
      <c r="D160" s="4">
        <v>0.01</v>
      </c>
      <c r="E160" s="4">
        <v>1.4999999999999999E-2</v>
      </c>
      <c r="F160" s="4">
        <v>0.08</v>
      </c>
    </row>
    <row r="161" spans="1:6" x14ac:dyDescent="0.35">
      <c r="A161">
        <v>4</v>
      </c>
      <c r="B161">
        <v>25</v>
      </c>
      <c r="C161" t="s">
        <v>786</v>
      </c>
      <c r="D161" s="4">
        <v>0.998</v>
      </c>
      <c r="E161" s="4">
        <v>0.99850000000000005</v>
      </c>
      <c r="F161" s="4">
        <v>0.99990000000000001</v>
      </c>
    </row>
    <row r="162" spans="1:6" x14ac:dyDescent="0.35">
      <c r="A162">
        <v>4</v>
      </c>
      <c r="B162">
        <v>26</v>
      </c>
      <c r="C162" t="s">
        <v>787</v>
      </c>
      <c r="D162" s="4">
        <v>1E-4</v>
      </c>
      <c r="E162" s="4">
        <v>1.5E-3</v>
      </c>
      <c r="F162" s="4">
        <v>2E-3</v>
      </c>
    </row>
    <row r="163" spans="1:6" x14ac:dyDescent="0.35">
      <c r="A163">
        <v>4</v>
      </c>
      <c r="B163">
        <v>27</v>
      </c>
      <c r="C163" t="s">
        <v>788</v>
      </c>
      <c r="D163" s="4">
        <v>0.75</v>
      </c>
      <c r="E163" s="4">
        <v>0.8</v>
      </c>
      <c r="F163" s="4">
        <v>0.99</v>
      </c>
    </row>
    <row r="164" spans="1:6" x14ac:dyDescent="0.35">
      <c r="A164">
        <v>4</v>
      </c>
      <c r="B164">
        <v>28</v>
      </c>
      <c r="C164" t="s">
        <v>789</v>
      </c>
      <c r="D164" s="4">
        <v>0.05</v>
      </c>
      <c r="E164" s="4">
        <v>0.15</v>
      </c>
      <c r="F164" s="4">
        <v>0.3</v>
      </c>
    </row>
    <row r="165" spans="1:6" x14ac:dyDescent="0.35">
      <c r="A165">
        <v>4</v>
      </c>
      <c r="B165">
        <v>29</v>
      </c>
      <c r="C165" t="s">
        <v>790</v>
      </c>
      <c r="D165" s="4">
        <v>1E-4</v>
      </c>
      <c r="E165" s="4">
        <v>2E-3</v>
      </c>
      <c r="F165" s="4">
        <v>5.0000000000000001E-3</v>
      </c>
    </row>
    <row r="166" spans="1:6" x14ac:dyDescent="0.35">
      <c r="A166">
        <v>4</v>
      </c>
      <c r="B166">
        <v>30</v>
      </c>
      <c r="C166" t="s">
        <v>791</v>
      </c>
      <c r="D166" s="4">
        <v>1E-3</v>
      </c>
      <c r="E166" s="4">
        <v>8.0000000000000002E-3</v>
      </c>
      <c r="F166" s="4">
        <v>0.02</v>
      </c>
    </row>
    <row r="167" spans="1:6" x14ac:dyDescent="0.35">
      <c r="A167">
        <v>4</v>
      </c>
      <c r="B167">
        <v>31</v>
      </c>
      <c r="C167" t="s">
        <v>792</v>
      </c>
      <c r="D167" s="4">
        <v>0.02</v>
      </c>
      <c r="E167" s="4">
        <v>3.5000000000000003E-2</v>
      </c>
      <c r="F167" s="4">
        <v>0.1</v>
      </c>
    </row>
    <row r="168" spans="1:6" x14ac:dyDescent="0.35">
      <c r="A168">
        <v>4</v>
      </c>
      <c r="B168">
        <v>32</v>
      </c>
      <c r="C168" t="s">
        <v>793</v>
      </c>
      <c r="D168" s="4">
        <v>0.998</v>
      </c>
      <c r="E168" s="4">
        <v>0.99850000000000005</v>
      </c>
      <c r="F168" s="4">
        <v>0.99990000000000001</v>
      </c>
    </row>
    <row r="169" spans="1:6" x14ac:dyDescent="0.35">
      <c r="A169">
        <v>4</v>
      </c>
      <c r="B169">
        <v>33</v>
      </c>
      <c r="C169" t="s">
        <v>794</v>
      </c>
      <c r="D169" s="4">
        <v>1E-4</v>
      </c>
      <c r="E169" s="4">
        <v>1.5E-3</v>
      </c>
      <c r="F169" s="4">
        <v>2E-3</v>
      </c>
    </row>
    <row r="170" spans="1:6" x14ac:dyDescent="0.35">
      <c r="A170">
        <v>4</v>
      </c>
      <c r="B170">
        <v>34</v>
      </c>
      <c r="C170" t="s">
        <v>795</v>
      </c>
      <c r="D170" s="4">
        <v>0.4</v>
      </c>
      <c r="E170" s="4">
        <v>0.56999999999999995</v>
      </c>
      <c r="F170" s="4">
        <v>0.9</v>
      </c>
    </row>
    <row r="171" spans="1:6" x14ac:dyDescent="0.35">
      <c r="A171">
        <v>4</v>
      </c>
      <c r="B171">
        <v>35</v>
      </c>
      <c r="C171" t="s">
        <v>796</v>
      </c>
      <c r="D171" s="4">
        <v>0.05</v>
      </c>
      <c r="E171" s="4">
        <v>0.2</v>
      </c>
      <c r="F171" s="4">
        <v>0.4</v>
      </c>
    </row>
    <row r="172" spans="1:6" x14ac:dyDescent="0.35">
      <c r="A172">
        <v>4</v>
      </c>
      <c r="B172">
        <v>36</v>
      </c>
      <c r="C172" t="s">
        <v>797</v>
      </c>
      <c r="D172" s="4">
        <v>1E-4</v>
      </c>
      <c r="E172" s="4">
        <v>2E-3</v>
      </c>
      <c r="F172" s="4">
        <v>5.0000000000000001E-3</v>
      </c>
    </row>
    <row r="173" spans="1:6" x14ac:dyDescent="0.35">
      <c r="A173">
        <v>4</v>
      </c>
      <c r="B173">
        <v>37</v>
      </c>
      <c r="C173" t="s">
        <v>798</v>
      </c>
      <c r="D173" s="4">
        <v>0.03</v>
      </c>
      <c r="E173" s="4">
        <v>0.08</v>
      </c>
      <c r="F173" s="4">
        <v>0.14000000000000001</v>
      </c>
    </row>
    <row r="174" spans="1:6" x14ac:dyDescent="0.35">
      <c r="A174">
        <v>4</v>
      </c>
      <c r="B174">
        <v>38</v>
      </c>
      <c r="C174" t="s">
        <v>799</v>
      </c>
      <c r="D174" s="4">
        <v>0.09</v>
      </c>
      <c r="E174" s="4">
        <v>0.15</v>
      </c>
      <c r="F174" s="4">
        <v>0.19</v>
      </c>
    </row>
    <row r="175" spans="1:6" x14ac:dyDescent="0.35">
      <c r="A175">
        <v>4</v>
      </c>
      <c r="B175">
        <v>39</v>
      </c>
      <c r="C175" t="s">
        <v>800</v>
      </c>
      <c r="D175" s="4">
        <v>0.998</v>
      </c>
      <c r="E175" s="4">
        <v>0.99850000000000005</v>
      </c>
      <c r="F175" s="4">
        <v>0.99990000000000001</v>
      </c>
    </row>
    <row r="176" spans="1:6" x14ac:dyDescent="0.35">
      <c r="A176">
        <v>4</v>
      </c>
      <c r="B176">
        <v>40</v>
      </c>
      <c r="C176" t="s">
        <v>801</v>
      </c>
      <c r="D176" s="4">
        <v>1E-4</v>
      </c>
      <c r="E176" s="4">
        <v>1.5E-3</v>
      </c>
      <c r="F176" s="4">
        <v>2E-3</v>
      </c>
    </row>
    <row r="177" spans="1:6" x14ac:dyDescent="0.35">
      <c r="A177">
        <v>4</v>
      </c>
      <c r="B177">
        <v>41</v>
      </c>
      <c r="C177" t="s">
        <v>802</v>
      </c>
      <c r="D177" s="4">
        <v>0.75</v>
      </c>
      <c r="E177" s="4">
        <v>0.9</v>
      </c>
      <c r="F177" s="4">
        <v>1</v>
      </c>
    </row>
    <row r="178" spans="1:6" x14ac:dyDescent="0.35">
      <c r="A178">
        <v>4</v>
      </c>
      <c r="B178">
        <v>42</v>
      </c>
      <c r="C178" t="s">
        <v>803</v>
      </c>
      <c r="D178" s="4">
        <v>0.05</v>
      </c>
      <c r="E178" s="4">
        <v>7.0000000000000007E-2</v>
      </c>
      <c r="F178" s="4">
        <v>0.2</v>
      </c>
    </row>
    <row r="179" spans="1:6" x14ac:dyDescent="0.35">
      <c r="A179">
        <v>4</v>
      </c>
      <c r="B179">
        <v>43</v>
      </c>
      <c r="C179" t="s">
        <v>804</v>
      </c>
      <c r="D179" s="4">
        <v>1E-4</v>
      </c>
      <c r="E179" s="4">
        <v>2E-3</v>
      </c>
      <c r="F179" s="4">
        <v>5.0000000000000001E-3</v>
      </c>
    </row>
    <row r="180" spans="1:6" x14ac:dyDescent="0.35">
      <c r="A180">
        <v>4</v>
      </c>
      <c r="B180">
        <v>44</v>
      </c>
      <c r="C180" t="s">
        <v>805</v>
      </c>
      <c r="D180" s="4">
        <v>1E-3</v>
      </c>
      <c r="E180" s="4">
        <v>8.0000000000000002E-3</v>
      </c>
      <c r="F180" s="4">
        <v>0.02</v>
      </c>
    </row>
    <row r="181" spans="1:6" x14ac:dyDescent="0.35">
      <c r="A181">
        <v>4</v>
      </c>
      <c r="B181">
        <v>45</v>
      </c>
      <c r="C181" t="s">
        <v>806</v>
      </c>
      <c r="D181" s="4">
        <v>0.01</v>
      </c>
      <c r="E181" s="4">
        <v>0.02</v>
      </c>
      <c r="F181" s="4">
        <v>0.1</v>
      </c>
    </row>
    <row r="182" spans="1:6" x14ac:dyDescent="0.35">
      <c r="A182">
        <v>5</v>
      </c>
      <c r="B182">
        <v>1</v>
      </c>
      <c r="C182" t="s">
        <v>236</v>
      </c>
      <c r="D182" s="4">
        <v>1000</v>
      </c>
      <c r="E182" s="4">
        <v>340000</v>
      </c>
      <c r="F182" s="4">
        <v>1000000</v>
      </c>
    </row>
    <row r="183" spans="1:6" x14ac:dyDescent="0.35">
      <c r="A183">
        <v>5</v>
      </c>
      <c r="B183">
        <v>2</v>
      </c>
      <c r="C183" t="s">
        <v>237</v>
      </c>
      <c r="D183" s="4">
        <v>500</v>
      </c>
      <c r="E183" s="4">
        <v>23000</v>
      </c>
      <c r="F183" s="4">
        <v>100000</v>
      </c>
    </row>
    <row r="184" spans="1:6" x14ac:dyDescent="0.35">
      <c r="A184">
        <v>5</v>
      </c>
      <c r="B184">
        <v>3</v>
      </c>
      <c r="C184" t="s">
        <v>238</v>
      </c>
      <c r="D184" s="4">
        <v>500000</v>
      </c>
      <c r="E184" s="4">
        <v>3000000</v>
      </c>
      <c r="F184" s="4">
        <v>10000000</v>
      </c>
    </row>
    <row r="185" spans="1:6" x14ac:dyDescent="0.35">
      <c r="A185">
        <v>5</v>
      </c>
      <c r="B185">
        <v>4</v>
      </c>
      <c r="C185" t="s">
        <v>239</v>
      </c>
      <c r="D185" s="4">
        <v>3000</v>
      </c>
      <c r="E185" s="4">
        <v>200000</v>
      </c>
      <c r="F185" s="4">
        <v>5000000</v>
      </c>
    </row>
    <row r="186" spans="1:6" x14ac:dyDescent="0.35">
      <c r="A186">
        <v>5</v>
      </c>
      <c r="B186">
        <v>5</v>
      </c>
      <c r="C186" t="s">
        <v>240</v>
      </c>
      <c r="D186" s="4">
        <v>0.4</v>
      </c>
      <c r="E186" s="4">
        <v>0.6</v>
      </c>
      <c r="F186" s="4">
        <v>0.8</v>
      </c>
    </row>
    <row r="187" spans="1:6" x14ac:dyDescent="0.35">
      <c r="A187">
        <v>5</v>
      </c>
      <c r="B187">
        <v>6</v>
      </c>
      <c r="C187" t="s">
        <v>241</v>
      </c>
      <c r="D187" s="4">
        <v>100</v>
      </c>
      <c r="E187" s="4">
        <v>600</v>
      </c>
      <c r="F187" s="4">
        <v>4000</v>
      </c>
    </row>
    <row r="188" spans="1:6" x14ac:dyDescent="0.35">
      <c r="A188">
        <v>5</v>
      </c>
      <c r="B188">
        <v>7</v>
      </c>
      <c r="C188" t="s">
        <v>242</v>
      </c>
      <c r="D188" s="4">
        <v>500</v>
      </c>
      <c r="E188" s="4">
        <v>2500</v>
      </c>
      <c r="F188" s="4">
        <v>6000</v>
      </c>
    </row>
    <row r="189" spans="1:6" x14ac:dyDescent="0.35">
      <c r="A189">
        <v>5</v>
      </c>
      <c r="B189">
        <v>8</v>
      </c>
      <c r="C189" t="s">
        <v>243</v>
      </c>
      <c r="D189" s="4">
        <v>20</v>
      </c>
      <c r="E189" s="4">
        <v>100</v>
      </c>
      <c r="F189" s="4">
        <v>200</v>
      </c>
    </row>
    <row r="190" spans="1:6" x14ac:dyDescent="0.35">
      <c r="A190">
        <v>5</v>
      </c>
      <c r="B190">
        <v>9</v>
      </c>
      <c r="C190" t="s">
        <v>244</v>
      </c>
      <c r="D190" s="4">
        <v>150</v>
      </c>
      <c r="E190" s="4">
        <v>540</v>
      </c>
      <c r="F190" s="4">
        <v>1000</v>
      </c>
    </row>
    <row r="191" spans="1:6" x14ac:dyDescent="0.35">
      <c r="A191">
        <v>5</v>
      </c>
      <c r="B191">
        <v>10</v>
      </c>
      <c r="C191" t="s">
        <v>245</v>
      </c>
      <c r="D191" s="4">
        <v>0.15</v>
      </c>
      <c r="E191" s="4">
        <v>0.45</v>
      </c>
      <c r="F191" s="4">
        <v>0.75</v>
      </c>
    </row>
    <row r="192" spans="1:6" x14ac:dyDescent="0.35">
      <c r="A192">
        <v>5</v>
      </c>
      <c r="B192">
        <v>11</v>
      </c>
      <c r="C192" t="s">
        <v>772</v>
      </c>
      <c r="D192" s="4">
        <v>0.1</v>
      </c>
      <c r="E192" s="4">
        <v>0.55000000000000004</v>
      </c>
      <c r="F192" s="4">
        <v>0.8</v>
      </c>
    </row>
    <row r="193" spans="1:6" x14ac:dyDescent="0.35">
      <c r="A193">
        <v>5</v>
      </c>
      <c r="B193">
        <v>12</v>
      </c>
      <c r="C193" t="s">
        <v>773</v>
      </c>
      <c r="D193" s="4">
        <v>0.05</v>
      </c>
      <c r="E193" s="4">
        <v>0.45</v>
      </c>
      <c r="F193" s="4">
        <v>0.6</v>
      </c>
    </row>
    <row r="194" spans="1:6" x14ac:dyDescent="0.35">
      <c r="A194">
        <v>5</v>
      </c>
      <c r="B194">
        <v>13</v>
      </c>
      <c r="C194" t="s">
        <v>774</v>
      </c>
      <c r="D194" s="4">
        <v>0.1</v>
      </c>
      <c r="E194" s="4">
        <v>0.55000000000000004</v>
      </c>
      <c r="F194" s="4">
        <v>0.75</v>
      </c>
    </row>
    <row r="195" spans="1:6" x14ac:dyDescent="0.35">
      <c r="A195">
        <v>5</v>
      </c>
      <c r="B195">
        <v>14</v>
      </c>
      <c r="C195" t="s">
        <v>775</v>
      </c>
      <c r="D195" s="4">
        <v>0.01</v>
      </c>
      <c r="E195" s="4">
        <v>0.15</v>
      </c>
      <c r="F195" s="4">
        <v>0.2</v>
      </c>
    </row>
    <row r="196" spans="1:6" x14ac:dyDescent="0.35">
      <c r="A196">
        <v>5</v>
      </c>
      <c r="B196">
        <v>15</v>
      </c>
      <c r="C196" t="s">
        <v>776</v>
      </c>
      <c r="D196" s="4">
        <v>1E-8</v>
      </c>
      <c r="E196" s="4">
        <v>0.03</v>
      </c>
      <c r="F196" s="4">
        <v>0.05</v>
      </c>
    </row>
    <row r="197" spans="1:6" x14ac:dyDescent="0.35">
      <c r="A197">
        <v>5</v>
      </c>
      <c r="B197">
        <v>16</v>
      </c>
      <c r="C197" t="s">
        <v>777</v>
      </c>
      <c r="D197" s="4">
        <v>1E-8</v>
      </c>
      <c r="E197" s="4">
        <v>0.21</v>
      </c>
      <c r="F197" s="4">
        <v>0.35</v>
      </c>
    </row>
    <row r="198" spans="1:6" x14ac:dyDescent="0.35">
      <c r="A198">
        <v>5</v>
      </c>
      <c r="B198">
        <v>17</v>
      </c>
      <c r="C198" t="s">
        <v>778</v>
      </c>
      <c r="D198" s="4">
        <v>1E-8</v>
      </c>
      <c r="E198" s="4">
        <v>0.03</v>
      </c>
      <c r="F198" s="4">
        <v>0.05</v>
      </c>
    </row>
    <row r="199" spans="1:6" x14ac:dyDescent="0.35">
      <c r="A199">
        <v>5</v>
      </c>
      <c r="B199">
        <v>18</v>
      </c>
      <c r="C199" t="s">
        <v>779</v>
      </c>
      <c r="D199" s="4">
        <v>0.05</v>
      </c>
      <c r="E199" s="4">
        <v>0.5</v>
      </c>
      <c r="F199" s="4">
        <v>0.7</v>
      </c>
    </row>
    <row r="200" spans="1:6" x14ac:dyDescent="0.35">
      <c r="A200">
        <v>5</v>
      </c>
      <c r="B200">
        <v>19</v>
      </c>
      <c r="C200" t="s">
        <v>780</v>
      </c>
      <c r="D200" s="4">
        <v>0.05</v>
      </c>
      <c r="E200" s="4">
        <v>0.5</v>
      </c>
      <c r="F200" s="4">
        <v>0.65</v>
      </c>
    </row>
    <row r="201" spans="1:6" x14ac:dyDescent="0.35">
      <c r="A201">
        <v>5</v>
      </c>
      <c r="B201">
        <v>20</v>
      </c>
      <c r="C201" t="s">
        <v>781</v>
      </c>
      <c r="D201" s="4">
        <v>0.1</v>
      </c>
      <c r="E201" s="4">
        <v>0.6</v>
      </c>
      <c r="F201" s="4">
        <v>0.7</v>
      </c>
    </row>
    <row r="202" spans="1:6" x14ac:dyDescent="0.35">
      <c r="A202">
        <v>5</v>
      </c>
      <c r="B202">
        <v>21</v>
      </c>
      <c r="C202" t="s">
        <v>782</v>
      </c>
      <c r="D202" s="4">
        <v>0.02</v>
      </c>
      <c r="E202" s="4">
        <v>0.25</v>
      </c>
      <c r="F202" s="4">
        <v>0.4</v>
      </c>
    </row>
    <row r="203" spans="1:6" x14ac:dyDescent="0.35">
      <c r="A203">
        <v>5</v>
      </c>
      <c r="B203">
        <v>22</v>
      </c>
      <c r="C203" t="s">
        <v>783</v>
      </c>
      <c r="D203" s="4">
        <v>1E-8</v>
      </c>
      <c r="E203" s="4">
        <v>0.03</v>
      </c>
      <c r="F203" s="4">
        <v>0.05</v>
      </c>
    </row>
    <row r="204" spans="1:6" x14ac:dyDescent="0.35">
      <c r="A204">
        <v>5</v>
      </c>
      <c r="B204">
        <v>23</v>
      </c>
      <c r="C204" t="s">
        <v>784</v>
      </c>
      <c r="D204" s="4">
        <v>0.02</v>
      </c>
      <c r="E204" s="4">
        <v>0.08</v>
      </c>
      <c r="F204" s="4">
        <v>0.17</v>
      </c>
    </row>
    <row r="205" spans="1:6" x14ac:dyDescent="0.35">
      <c r="A205">
        <v>5</v>
      </c>
      <c r="B205">
        <v>24</v>
      </c>
      <c r="C205" t="s">
        <v>785</v>
      </c>
      <c r="D205" s="4">
        <v>1E-8</v>
      </c>
      <c r="E205" s="4">
        <v>0.03</v>
      </c>
      <c r="F205" s="4">
        <v>0.05</v>
      </c>
    </row>
    <row r="206" spans="1:6" x14ac:dyDescent="0.35">
      <c r="A206">
        <v>5</v>
      </c>
      <c r="B206">
        <v>25</v>
      </c>
      <c r="C206" t="s">
        <v>786</v>
      </c>
      <c r="D206" s="4">
        <v>0.05</v>
      </c>
      <c r="E206" s="4">
        <v>0.6</v>
      </c>
      <c r="F206" s="4">
        <v>0.7</v>
      </c>
    </row>
    <row r="207" spans="1:6" x14ac:dyDescent="0.35">
      <c r="A207">
        <v>5</v>
      </c>
      <c r="B207">
        <v>26</v>
      </c>
      <c r="C207" t="s">
        <v>787</v>
      </c>
      <c r="D207" s="4">
        <v>0.03</v>
      </c>
      <c r="E207" s="4">
        <v>0.4</v>
      </c>
      <c r="F207" s="4">
        <v>0.6</v>
      </c>
    </row>
    <row r="208" spans="1:6" x14ac:dyDescent="0.35">
      <c r="A208">
        <v>5</v>
      </c>
      <c r="B208">
        <v>27</v>
      </c>
      <c r="C208" t="s">
        <v>788</v>
      </c>
      <c r="D208" s="4">
        <v>0.1</v>
      </c>
      <c r="E208" s="4">
        <v>0.55000000000000004</v>
      </c>
      <c r="F208" s="4">
        <v>0.7</v>
      </c>
    </row>
    <row r="209" spans="1:6" x14ac:dyDescent="0.35">
      <c r="A209">
        <v>5</v>
      </c>
      <c r="B209">
        <v>28</v>
      </c>
      <c r="C209" t="s">
        <v>789</v>
      </c>
      <c r="D209" s="4">
        <v>0.02</v>
      </c>
      <c r="E209" s="4">
        <v>0.25</v>
      </c>
      <c r="F209" s="4">
        <v>0.4</v>
      </c>
    </row>
    <row r="210" spans="1:6" x14ac:dyDescent="0.35">
      <c r="A210">
        <v>5</v>
      </c>
      <c r="B210">
        <v>29</v>
      </c>
      <c r="C210" t="s">
        <v>790</v>
      </c>
      <c r="D210" s="4">
        <v>1E-8</v>
      </c>
      <c r="E210" s="4">
        <v>0.03</v>
      </c>
      <c r="F210" s="4">
        <v>0.05</v>
      </c>
    </row>
    <row r="211" spans="1:6" x14ac:dyDescent="0.35">
      <c r="A211">
        <v>5</v>
      </c>
      <c r="B211">
        <v>30</v>
      </c>
      <c r="C211" t="s">
        <v>791</v>
      </c>
      <c r="D211" s="4">
        <v>0.04</v>
      </c>
      <c r="E211" s="4">
        <v>0.1</v>
      </c>
      <c r="F211" s="4">
        <v>0.2</v>
      </c>
    </row>
    <row r="212" spans="1:6" x14ac:dyDescent="0.35">
      <c r="A212">
        <v>5</v>
      </c>
      <c r="B212">
        <v>31</v>
      </c>
      <c r="C212" t="s">
        <v>792</v>
      </c>
      <c r="D212" s="4">
        <v>0.02</v>
      </c>
      <c r="E212" s="4">
        <v>0.05</v>
      </c>
      <c r="F212" s="4">
        <v>0.1</v>
      </c>
    </row>
    <row r="213" spans="1:6" x14ac:dyDescent="0.35">
      <c r="A213">
        <v>5</v>
      </c>
      <c r="B213">
        <v>32</v>
      </c>
      <c r="C213" t="s">
        <v>793</v>
      </c>
      <c r="D213" s="4">
        <v>0.05</v>
      </c>
      <c r="E213" s="4">
        <v>0.65</v>
      </c>
      <c r="F213" s="4">
        <v>0.7</v>
      </c>
    </row>
    <row r="214" spans="1:6" x14ac:dyDescent="0.35">
      <c r="A214">
        <v>5</v>
      </c>
      <c r="B214">
        <v>33</v>
      </c>
      <c r="C214" t="s">
        <v>794</v>
      </c>
      <c r="D214" s="4">
        <v>0.02</v>
      </c>
      <c r="E214" s="4">
        <v>0.35</v>
      </c>
      <c r="F214" s="4">
        <v>0.4</v>
      </c>
    </row>
    <row r="215" spans="1:6" x14ac:dyDescent="0.35">
      <c r="A215">
        <v>5</v>
      </c>
      <c r="B215">
        <v>34</v>
      </c>
      <c r="C215" t="s">
        <v>795</v>
      </c>
      <c r="D215" s="4">
        <v>0.01</v>
      </c>
      <c r="E215" s="4">
        <v>0.6</v>
      </c>
      <c r="F215" s="4">
        <v>0.8</v>
      </c>
    </row>
    <row r="216" spans="1:6" x14ac:dyDescent="0.35">
      <c r="A216">
        <v>5</v>
      </c>
      <c r="B216">
        <v>35</v>
      </c>
      <c r="C216" t="s">
        <v>796</v>
      </c>
      <c r="D216" s="4">
        <v>0.01</v>
      </c>
      <c r="E216" s="4">
        <v>0.1</v>
      </c>
      <c r="F216" s="4">
        <v>0.4</v>
      </c>
    </row>
    <row r="217" spans="1:6" x14ac:dyDescent="0.35">
      <c r="A217">
        <v>5</v>
      </c>
      <c r="B217">
        <v>36</v>
      </c>
      <c r="C217" t="s">
        <v>797</v>
      </c>
      <c r="D217" s="4">
        <v>1E-8</v>
      </c>
      <c r="E217" s="4">
        <v>0.05</v>
      </c>
      <c r="F217" s="4">
        <v>0.2</v>
      </c>
    </row>
    <row r="218" spans="1:6" x14ac:dyDescent="0.35">
      <c r="A218">
        <v>5</v>
      </c>
      <c r="B218">
        <v>37</v>
      </c>
      <c r="C218" t="s">
        <v>798</v>
      </c>
      <c r="D218" s="4">
        <v>0.02</v>
      </c>
      <c r="E218" s="4">
        <v>0.2</v>
      </c>
      <c r="F218" s="4">
        <v>0.7</v>
      </c>
    </row>
    <row r="219" spans="1:6" x14ac:dyDescent="0.35">
      <c r="A219">
        <v>5</v>
      </c>
      <c r="B219">
        <v>38</v>
      </c>
      <c r="C219" t="s">
        <v>799</v>
      </c>
      <c r="D219" s="4">
        <v>1E-8</v>
      </c>
      <c r="E219" s="4">
        <v>0.05</v>
      </c>
      <c r="F219" s="4">
        <v>0.06</v>
      </c>
    </row>
    <row r="220" spans="1:6" x14ac:dyDescent="0.35">
      <c r="A220">
        <v>5</v>
      </c>
      <c r="B220">
        <v>39</v>
      </c>
      <c r="C220" t="s">
        <v>800</v>
      </c>
      <c r="D220" s="4">
        <v>0.2</v>
      </c>
      <c r="E220" s="4">
        <v>0.97</v>
      </c>
      <c r="F220" s="4">
        <v>1</v>
      </c>
    </row>
    <row r="221" spans="1:6" x14ac:dyDescent="0.35">
      <c r="A221">
        <v>5</v>
      </c>
      <c r="B221">
        <v>40</v>
      </c>
      <c r="C221" t="s">
        <v>801</v>
      </c>
      <c r="D221" s="4">
        <v>1E-8</v>
      </c>
      <c r="E221" s="4">
        <v>9.9999999999999995E-8</v>
      </c>
      <c r="F221" s="4">
        <v>9.9999999999999995E-7</v>
      </c>
    </row>
    <row r="222" spans="1:6" x14ac:dyDescent="0.35">
      <c r="A222">
        <v>5</v>
      </c>
      <c r="B222">
        <v>41</v>
      </c>
      <c r="C222" t="s">
        <v>802</v>
      </c>
      <c r="D222" s="4">
        <v>0.1</v>
      </c>
      <c r="E222" s="4">
        <v>0.62</v>
      </c>
      <c r="F222" s="4">
        <v>0.9</v>
      </c>
    </row>
    <row r="223" spans="1:6" x14ac:dyDescent="0.35">
      <c r="A223">
        <v>5</v>
      </c>
      <c r="B223">
        <v>42</v>
      </c>
      <c r="C223" t="s">
        <v>803</v>
      </c>
      <c r="D223" s="4">
        <v>0.05</v>
      </c>
      <c r="E223" s="4">
        <v>0.2</v>
      </c>
      <c r="F223" s="4">
        <v>0.6</v>
      </c>
    </row>
    <row r="224" spans="1:6" x14ac:dyDescent="0.35">
      <c r="A224">
        <v>5</v>
      </c>
      <c r="B224">
        <v>43</v>
      </c>
      <c r="C224" t="s">
        <v>804</v>
      </c>
      <c r="D224" s="4">
        <v>9.9999999999999995E-7</v>
      </c>
      <c r="E224" s="4">
        <v>0.01</v>
      </c>
      <c r="F224" s="4">
        <v>0.05</v>
      </c>
    </row>
    <row r="225" spans="1:6" x14ac:dyDescent="0.35">
      <c r="A225">
        <v>5</v>
      </c>
      <c r="B225">
        <v>44</v>
      </c>
      <c r="C225" t="s">
        <v>805</v>
      </c>
      <c r="D225" s="4">
        <v>0.02</v>
      </c>
      <c r="E225" s="4">
        <v>0.15</v>
      </c>
      <c r="F225" s="4">
        <v>0.5</v>
      </c>
    </row>
    <row r="226" spans="1:6" x14ac:dyDescent="0.35">
      <c r="A226">
        <v>5</v>
      </c>
      <c r="B226">
        <v>45</v>
      </c>
      <c r="C226" t="s">
        <v>806</v>
      </c>
      <c r="D226" s="4">
        <v>9.9999999999999995E-7</v>
      </c>
      <c r="E226" s="4">
        <v>0.01</v>
      </c>
      <c r="F226" s="4">
        <v>0.03</v>
      </c>
    </row>
    <row r="227" spans="1:6" x14ac:dyDescent="0.35">
      <c r="A227">
        <v>6</v>
      </c>
      <c r="B227">
        <v>1</v>
      </c>
      <c r="C227" t="s">
        <v>236</v>
      </c>
      <c r="D227" s="4">
        <v>100000</v>
      </c>
      <c r="E227" s="4">
        <v>900000</v>
      </c>
      <c r="F227" s="4">
        <v>1500000</v>
      </c>
    </row>
    <row r="228" spans="1:6" x14ac:dyDescent="0.35">
      <c r="A228">
        <v>6</v>
      </c>
      <c r="B228">
        <v>2</v>
      </c>
      <c r="C228" t="s">
        <v>237</v>
      </c>
      <c r="D228" s="4">
        <v>3000</v>
      </c>
      <c r="E228" s="4">
        <v>250000</v>
      </c>
      <c r="F228" s="4">
        <v>500000</v>
      </c>
    </row>
    <row r="229" spans="1:6" x14ac:dyDescent="0.35">
      <c r="A229">
        <v>6</v>
      </c>
      <c r="B229">
        <v>3</v>
      </c>
      <c r="C229" t="s">
        <v>238</v>
      </c>
      <c r="D229" s="4">
        <v>50000</v>
      </c>
      <c r="E229" s="4">
        <v>150000</v>
      </c>
      <c r="F229" s="4">
        <v>1000000</v>
      </c>
    </row>
    <row r="230" spans="1:6" x14ac:dyDescent="0.35">
      <c r="A230">
        <v>6</v>
      </c>
      <c r="B230">
        <v>4</v>
      </c>
      <c r="C230" t="s">
        <v>239</v>
      </c>
      <c r="D230" s="4">
        <v>20000</v>
      </c>
      <c r="E230" s="4">
        <v>80000</v>
      </c>
      <c r="F230" s="4">
        <v>100000</v>
      </c>
    </row>
    <row r="231" spans="1:6" x14ac:dyDescent="0.35">
      <c r="A231">
        <v>6</v>
      </c>
      <c r="B231">
        <v>5</v>
      </c>
      <c r="C231" t="s">
        <v>240</v>
      </c>
      <c r="D231" s="4">
        <v>0.03</v>
      </c>
      <c r="E231" s="4">
        <v>0.12</v>
      </c>
      <c r="F231" s="4">
        <v>0.15</v>
      </c>
    </row>
    <row r="232" spans="1:6" x14ac:dyDescent="0.35">
      <c r="A232">
        <v>6</v>
      </c>
      <c r="B232">
        <v>6</v>
      </c>
      <c r="C232" t="s">
        <v>241</v>
      </c>
      <c r="D232" s="4">
        <v>1000</v>
      </c>
      <c r="E232" s="4">
        <v>2000</v>
      </c>
      <c r="F232" s="4">
        <v>3000</v>
      </c>
    </row>
    <row r="233" spans="1:6" x14ac:dyDescent="0.35">
      <c r="A233">
        <v>6</v>
      </c>
      <c r="B233">
        <v>7</v>
      </c>
      <c r="C233" t="s">
        <v>242</v>
      </c>
      <c r="D233" s="4">
        <v>4000</v>
      </c>
      <c r="E233" s="4">
        <v>16000</v>
      </c>
      <c r="F233" s="4">
        <v>20000</v>
      </c>
    </row>
    <row r="234" spans="1:6" x14ac:dyDescent="0.35">
      <c r="A234">
        <v>6</v>
      </c>
      <c r="B234">
        <v>8</v>
      </c>
      <c r="C234" t="s">
        <v>243</v>
      </c>
      <c r="D234" s="4">
        <v>35</v>
      </c>
      <c r="E234" s="4">
        <v>85</v>
      </c>
      <c r="F234" s="4">
        <v>120</v>
      </c>
    </row>
    <row r="235" spans="1:6" x14ac:dyDescent="0.35">
      <c r="A235">
        <v>6</v>
      </c>
      <c r="B235">
        <v>9</v>
      </c>
      <c r="C235" t="s">
        <v>244</v>
      </c>
      <c r="D235" s="4">
        <v>150</v>
      </c>
      <c r="E235" s="4">
        <v>300</v>
      </c>
      <c r="F235" s="4">
        <v>500</v>
      </c>
    </row>
    <row r="236" spans="1:6" x14ac:dyDescent="0.35">
      <c r="A236">
        <v>6</v>
      </c>
      <c r="B236">
        <v>10</v>
      </c>
      <c r="C236" t="s">
        <v>245</v>
      </c>
      <c r="D236" s="4">
        <v>0.15</v>
      </c>
      <c r="E236" s="4">
        <v>0.24</v>
      </c>
      <c r="F236" s="4">
        <v>0.3</v>
      </c>
    </row>
    <row r="237" spans="1:6" x14ac:dyDescent="0.35">
      <c r="A237">
        <v>6</v>
      </c>
      <c r="B237">
        <v>11</v>
      </c>
      <c r="C237" t="s">
        <v>772</v>
      </c>
      <c r="D237" s="4">
        <v>7.0000000000000007E-2</v>
      </c>
      <c r="E237" s="4">
        <v>0.48</v>
      </c>
      <c r="F237" s="4">
        <v>0.7</v>
      </c>
    </row>
    <row r="238" spans="1:6" x14ac:dyDescent="0.35">
      <c r="A238">
        <v>6</v>
      </c>
      <c r="B238">
        <v>12</v>
      </c>
      <c r="C238" t="s">
        <v>773</v>
      </c>
      <c r="D238" s="4">
        <v>0.01</v>
      </c>
      <c r="E238" s="4">
        <v>0.51</v>
      </c>
      <c r="F238" s="4">
        <v>0.98</v>
      </c>
    </row>
    <row r="239" spans="1:6" x14ac:dyDescent="0.35">
      <c r="A239">
        <v>6</v>
      </c>
      <c r="B239">
        <v>13</v>
      </c>
      <c r="C239" t="s">
        <v>774</v>
      </c>
      <c r="D239" s="4">
        <v>0.04</v>
      </c>
      <c r="E239" s="4">
        <v>0.06</v>
      </c>
      <c r="F239" s="4">
        <v>0.9</v>
      </c>
    </row>
    <row r="240" spans="1:6" x14ac:dyDescent="0.35">
      <c r="A240">
        <v>6</v>
      </c>
      <c r="B240">
        <v>14</v>
      </c>
      <c r="C240" t="s">
        <v>775</v>
      </c>
      <c r="D240" s="4">
        <v>0.1</v>
      </c>
      <c r="E240" s="4">
        <v>0.25</v>
      </c>
      <c r="F240" s="4">
        <v>0.65</v>
      </c>
    </row>
    <row r="241" spans="1:6" x14ac:dyDescent="0.35">
      <c r="A241">
        <v>6</v>
      </c>
      <c r="B241">
        <v>15</v>
      </c>
      <c r="C241" t="s">
        <v>776</v>
      </c>
      <c r="D241" s="4">
        <v>0.05</v>
      </c>
      <c r="E241" s="4">
        <v>0.35</v>
      </c>
      <c r="F241" s="4">
        <v>0.5</v>
      </c>
    </row>
    <row r="242" spans="1:6" x14ac:dyDescent="0.35">
      <c r="A242">
        <v>6</v>
      </c>
      <c r="B242">
        <v>16</v>
      </c>
      <c r="C242" t="s">
        <v>777</v>
      </c>
      <c r="D242" s="4">
        <v>0.2</v>
      </c>
      <c r="E242" s="4">
        <v>0.33</v>
      </c>
      <c r="F242" s="4">
        <v>0.5</v>
      </c>
    </row>
    <row r="243" spans="1:6" x14ac:dyDescent="0.35">
      <c r="A243">
        <v>6</v>
      </c>
      <c r="B243">
        <v>17</v>
      </c>
      <c r="C243" t="s">
        <v>778</v>
      </c>
      <c r="D243" s="4">
        <v>1E-8</v>
      </c>
      <c r="E243" s="4">
        <v>9.9999999999999995E-8</v>
      </c>
      <c r="F243" s="4">
        <v>9.9999999999999995E-7</v>
      </c>
    </row>
    <row r="244" spans="1:6" x14ac:dyDescent="0.35">
      <c r="A244">
        <v>6</v>
      </c>
      <c r="B244">
        <v>18</v>
      </c>
      <c r="C244" t="s">
        <v>779</v>
      </c>
      <c r="D244" s="4">
        <v>0.01</v>
      </c>
      <c r="E244" s="4">
        <v>0.49</v>
      </c>
      <c r="F244" s="4">
        <v>0.98</v>
      </c>
    </row>
    <row r="245" spans="1:6" x14ac:dyDescent="0.35">
      <c r="A245">
        <v>6</v>
      </c>
      <c r="B245">
        <v>19</v>
      </c>
      <c r="C245" t="s">
        <v>780</v>
      </c>
      <c r="D245" s="4">
        <v>0.03</v>
      </c>
      <c r="E245" s="4">
        <v>0.5</v>
      </c>
      <c r="F245" s="4">
        <v>0.78</v>
      </c>
    </row>
    <row r="246" spans="1:6" x14ac:dyDescent="0.35">
      <c r="A246">
        <v>6</v>
      </c>
      <c r="B246">
        <v>20</v>
      </c>
      <c r="C246" t="s">
        <v>781</v>
      </c>
      <c r="D246" s="4">
        <v>0.16</v>
      </c>
      <c r="E246" s="4">
        <v>0.47</v>
      </c>
      <c r="F246" s="4">
        <v>0.52</v>
      </c>
    </row>
    <row r="247" spans="1:6" x14ac:dyDescent="0.35">
      <c r="A247">
        <v>6</v>
      </c>
      <c r="B247">
        <v>21</v>
      </c>
      <c r="C247" t="s">
        <v>782</v>
      </c>
      <c r="D247" s="4">
        <v>0.04</v>
      </c>
      <c r="E247" s="4">
        <v>0.37</v>
      </c>
      <c r="F247" s="4">
        <v>0.75</v>
      </c>
    </row>
    <row r="248" spans="1:6" x14ac:dyDescent="0.35">
      <c r="A248">
        <v>6</v>
      </c>
      <c r="B248">
        <v>22</v>
      </c>
      <c r="C248" t="s">
        <v>783</v>
      </c>
      <c r="D248" s="4">
        <v>0.03</v>
      </c>
      <c r="E248" s="4">
        <v>7.0000000000000007E-2</v>
      </c>
      <c r="F248" s="4">
        <v>0.9</v>
      </c>
    </row>
    <row r="249" spans="1:6" x14ac:dyDescent="0.35">
      <c r="A249">
        <v>6</v>
      </c>
      <c r="B249">
        <v>23</v>
      </c>
      <c r="C249" t="s">
        <v>784</v>
      </c>
      <c r="D249" s="4">
        <v>0.04</v>
      </c>
      <c r="E249" s="4">
        <v>0.08</v>
      </c>
      <c r="F249" s="4">
        <v>0.88</v>
      </c>
    </row>
    <row r="250" spans="1:6" x14ac:dyDescent="0.35">
      <c r="A250">
        <v>6</v>
      </c>
      <c r="B250">
        <v>24</v>
      </c>
      <c r="C250" t="s">
        <v>785</v>
      </c>
      <c r="D250" s="4">
        <v>1E-8</v>
      </c>
      <c r="E250" s="4">
        <v>9.9999999999999995E-8</v>
      </c>
      <c r="F250" s="4">
        <v>9.9999999999999995E-7</v>
      </c>
    </row>
    <row r="251" spans="1:6" x14ac:dyDescent="0.35">
      <c r="A251">
        <v>6</v>
      </c>
      <c r="B251">
        <v>25</v>
      </c>
      <c r="C251" t="s">
        <v>786</v>
      </c>
      <c r="D251" s="4">
        <v>0.18</v>
      </c>
      <c r="E251" s="4">
        <v>0.52</v>
      </c>
      <c r="F251" s="4">
        <v>0.6</v>
      </c>
    </row>
    <row r="252" spans="1:6" x14ac:dyDescent="0.35">
      <c r="A252">
        <v>6</v>
      </c>
      <c r="B252">
        <v>26</v>
      </c>
      <c r="C252" t="s">
        <v>787</v>
      </c>
      <c r="D252" s="4">
        <v>0.01</v>
      </c>
      <c r="E252" s="4">
        <v>0.48</v>
      </c>
      <c r="F252" s="4">
        <v>0.97</v>
      </c>
    </row>
    <row r="253" spans="1:6" x14ac:dyDescent="0.35">
      <c r="A253">
        <v>6</v>
      </c>
      <c r="B253">
        <v>27</v>
      </c>
      <c r="C253" t="s">
        <v>788</v>
      </c>
      <c r="D253" s="4">
        <v>0.14000000000000001</v>
      </c>
      <c r="E253" s="4">
        <v>0.37</v>
      </c>
      <c r="F253" s="4">
        <v>0.49</v>
      </c>
    </row>
    <row r="254" spans="1:6" x14ac:dyDescent="0.35">
      <c r="A254">
        <v>6</v>
      </c>
      <c r="B254">
        <v>28</v>
      </c>
      <c r="C254" t="s">
        <v>789</v>
      </c>
      <c r="D254" s="4">
        <v>0.22</v>
      </c>
      <c r="E254" s="4">
        <v>0.25</v>
      </c>
      <c r="F254" s="4">
        <v>0.53</v>
      </c>
    </row>
    <row r="255" spans="1:6" x14ac:dyDescent="0.35">
      <c r="A255">
        <v>6</v>
      </c>
      <c r="B255">
        <v>29</v>
      </c>
      <c r="C255" t="s">
        <v>790</v>
      </c>
      <c r="D255" s="4">
        <v>0.08</v>
      </c>
      <c r="E255" s="4">
        <v>0.13</v>
      </c>
      <c r="F255" s="4">
        <v>0.81</v>
      </c>
    </row>
    <row r="256" spans="1:6" x14ac:dyDescent="0.35">
      <c r="A256">
        <v>6</v>
      </c>
      <c r="B256">
        <v>30</v>
      </c>
      <c r="C256" t="s">
        <v>791</v>
      </c>
      <c r="D256" s="4">
        <v>0.02</v>
      </c>
      <c r="E256" s="4">
        <v>0.25</v>
      </c>
      <c r="F256" s="4">
        <v>0.74</v>
      </c>
    </row>
    <row r="257" spans="1:6" x14ac:dyDescent="0.35">
      <c r="A257">
        <v>6</v>
      </c>
      <c r="B257">
        <v>31</v>
      </c>
      <c r="C257" t="s">
        <v>792</v>
      </c>
      <c r="D257" s="4">
        <v>1E-8</v>
      </c>
      <c r="E257" s="4">
        <v>9.9999999999999995E-8</v>
      </c>
      <c r="F257" s="4">
        <v>9.9999999999999995E-7</v>
      </c>
    </row>
    <row r="258" spans="1:6" x14ac:dyDescent="0.35">
      <c r="A258">
        <v>6</v>
      </c>
      <c r="B258">
        <v>32</v>
      </c>
      <c r="C258" t="s">
        <v>793</v>
      </c>
      <c r="D258" s="4">
        <v>0.02</v>
      </c>
      <c r="E258" s="4">
        <v>0.49</v>
      </c>
      <c r="F258" s="4">
        <v>0.92</v>
      </c>
    </row>
    <row r="259" spans="1:6" x14ac:dyDescent="0.35">
      <c r="A259">
        <v>6</v>
      </c>
      <c r="B259">
        <v>33</v>
      </c>
      <c r="C259" t="s">
        <v>794</v>
      </c>
      <c r="D259" s="4">
        <v>0.01</v>
      </c>
      <c r="E259" s="4">
        <v>0.5</v>
      </c>
      <c r="F259" s="4">
        <v>0.97</v>
      </c>
    </row>
    <row r="260" spans="1:6" x14ac:dyDescent="0.35">
      <c r="A260">
        <v>6</v>
      </c>
      <c r="B260">
        <v>34</v>
      </c>
      <c r="C260" t="s">
        <v>795</v>
      </c>
      <c r="D260" s="4">
        <v>0.14000000000000001</v>
      </c>
      <c r="E260" s="4">
        <v>0.4</v>
      </c>
      <c r="F260" s="4">
        <v>0.75</v>
      </c>
    </row>
    <row r="261" spans="1:6" x14ac:dyDescent="0.35">
      <c r="A261">
        <v>6</v>
      </c>
      <c r="B261">
        <v>35</v>
      </c>
      <c r="C261" t="s">
        <v>796</v>
      </c>
      <c r="D261" s="4">
        <v>0.04</v>
      </c>
      <c r="E261" s="4">
        <v>0.48</v>
      </c>
      <c r="F261" s="4">
        <v>0.83</v>
      </c>
    </row>
    <row r="262" spans="1:6" x14ac:dyDescent="0.35">
      <c r="A262">
        <v>6</v>
      </c>
      <c r="B262">
        <v>36</v>
      </c>
      <c r="C262" t="s">
        <v>797</v>
      </c>
      <c r="D262" s="4">
        <v>0.02</v>
      </c>
      <c r="E262" s="4">
        <v>7.0000000000000007E-2</v>
      </c>
      <c r="F262" s="4">
        <v>0.94</v>
      </c>
    </row>
    <row r="263" spans="1:6" x14ac:dyDescent="0.35">
      <c r="A263">
        <v>6</v>
      </c>
      <c r="B263">
        <v>37</v>
      </c>
      <c r="C263" t="s">
        <v>798</v>
      </c>
      <c r="D263" s="4">
        <v>0.03</v>
      </c>
      <c r="E263" s="4">
        <v>0.04</v>
      </c>
      <c r="F263" s="4">
        <v>0.93</v>
      </c>
    </row>
    <row r="264" spans="1:6" x14ac:dyDescent="0.35">
      <c r="A264">
        <v>6</v>
      </c>
      <c r="B264">
        <v>38</v>
      </c>
      <c r="C264" t="s">
        <v>799</v>
      </c>
      <c r="D264" s="4">
        <v>1E-8</v>
      </c>
      <c r="E264" s="4">
        <v>9.9999999999999995E-8</v>
      </c>
      <c r="F264" s="4">
        <v>9.9999999999999995E-7</v>
      </c>
    </row>
    <row r="265" spans="1:6" x14ac:dyDescent="0.35">
      <c r="A265">
        <v>6</v>
      </c>
      <c r="B265">
        <v>39</v>
      </c>
      <c r="C265" t="s">
        <v>800</v>
      </c>
      <c r="D265" s="4">
        <v>0.25</v>
      </c>
      <c r="E265" s="4">
        <v>0.5</v>
      </c>
      <c r="F265" s="4">
        <v>0.55000000000000004</v>
      </c>
    </row>
    <row r="266" spans="1:6" x14ac:dyDescent="0.35">
      <c r="A266">
        <v>6</v>
      </c>
      <c r="B266">
        <v>40</v>
      </c>
      <c r="C266" t="s">
        <v>801</v>
      </c>
      <c r="D266" s="4">
        <v>0.02</v>
      </c>
      <c r="E266" s="4">
        <v>0.5</v>
      </c>
      <c r="F266" s="4">
        <v>0.95</v>
      </c>
    </row>
    <row r="267" spans="1:6" x14ac:dyDescent="0.35">
      <c r="A267">
        <v>6</v>
      </c>
      <c r="B267">
        <v>41</v>
      </c>
      <c r="C267" t="s">
        <v>802</v>
      </c>
      <c r="D267" s="4">
        <v>0.23</v>
      </c>
      <c r="E267" s="4">
        <v>0.26</v>
      </c>
      <c r="F267" s="4">
        <v>0.51</v>
      </c>
    </row>
    <row r="268" spans="1:6" x14ac:dyDescent="0.35">
      <c r="A268">
        <v>6</v>
      </c>
      <c r="B268">
        <v>42</v>
      </c>
      <c r="C268" t="s">
        <v>803</v>
      </c>
      <c r="D268" s="4">
        <v>7.0000000000000007E-2</v>
      </c>
      <c r="E268" s="4">
        <v>0.27</v>
      </c>
      <c r="F268" s="4">
        <v>0.72</v>
      </c>
    </row>
    <row r="269" spans="1:6" x14ac:dyDescent="0.35">
      <c r="A269">
        <v>6</v>
      </c>
      <c r="B269">
        <v>43</v>
      </c>
      <c r="C269" t="s">
        <v>804</v>
      </c>
      <c r="D269" s="4">
        <v>0.04</v>
      </c>
      <c r="E269" s="4">
        <v>0.28000000000000003</v>
      </c>
      <c r="F269" s="4">
        <v>0.85</v>
      </c>
    </row>
    <row r="270" spans="1:6" x14ac:dyDescent="0.35">
      <c r="A270">
        <v>6</v>
      </c>
      <c r="B270">
        <v>44</v>
      </c>
      <c r="C270" t="s">
        <v>805</v>
      </c>
      <c r="D270" s="4">
        <v>0.02</v>
      </c>
      <c r="E270" s="4">
        <v>0.18</v>
      </c>
      <c r="F270" s="4">
        <v>0.8</v>
      </c>
    </row>
    <row r="271" spans="1:6" x14ac:dyDescent="0.35">
      <c r="A271">
        <v>6</v>
      </c>
      <c r="B271">
        <v>45</v>
      </c>
      <c r="C271" t="s">
        <v>806</v>
      </c>
      <c r="D271" s="4">
        <v>1E-8</v>
      </c>
      <c r="E271" s="4">
        <v>9.9999999999999995E-8</v>
      </c>
      <c r="F271" s="4">
        <v>9.9999999999999995E-7</v>
      </c>
    </row>
    <row r="272" spans="1:6" x14ac:dyDescent="0.35">
      <c r="A272">
        <v>7</v>
      </c>
      <c r="B272">
        <v>1</v>
      </c>
      <c r="C272" t="s">
        <v>236</v>
      </c>
      <c r="D272" s="4">
        <v>3000</v>
      </c>
      <c r="E272" s="4">
        <v>8000</v>
      </c>
      <c r="F272" s="4">
        <v>13000</v>
      </c>
    </row>
    <row r="273" spans="1:6" x14ac:dyDescent="0.35">
      <c r="A273">
        <v>7</v>
      </c>
      <c r="B273">
        <v>2</v>
      </c>
      <c r="C273" t="s">
        <v>237</v>
      </c>
      <c r="D273" s="4">
        <v>4000</v>
      </c>
      <c r="E273" s="4">
        <v>6000</v>
      </c>
      <c r="F273" s="4">
        <v>8000</v>
      </c>
    </row>
    <row r="274" spans="1:6" x14ac:dyDescent="0.35">
      <c r="A274">
        <v>7</v>
      </c>
      <c r="B274">
        <v>3</v>
      </c>
      <c r="C274" t="s">
        <v>238</v>
      </c>
      <c r="D274" s="4">
        <v>1000</v>
      </c>
      <c r="E274" s="4">
        <v>3000</v>
      </c>
      <c r="F274" s="4">
        <v>5000</v>
      </c>
    </row>
    <row r="275" spans="1:6" x14ac:dyDescent="0.35">
      <c r="A275">
        <v>7</v>
      </c>
      <c r="B275">
        <v>4</v>
      </c>
      <c r="C275" t="s">
        <v>239</v>
      </c>
      <c r="D275" s="4">
        <v>100</v>
      </c>
      <c r="E275" s="4">
        <v>200</v>
      </c>
      <c r="F275" s="4">
        <v>300</v>
      </c>
    </row>
    <row r="276" spans="1:6" x14ac:dyDescent="0.35">
      <c r="A276">
        <v>7</v>
      </c>
      <c r="B276">
        <v>5</v>
      </c>
      <c r="C276" t="s">
        <v>240</v>
      </c>
      <c r="D276" s="4">
        <v>0.1</v>
      </c>
      <c r="E276" s="4">
        <v>0.15</v>
      </c>
      <c r="F276" s="4">
        <v>0.2</v>
      </c>
    </row>
    <row r="277" spans="1:6" x14ac:dyDescent="0.35">
      <c r="A277">
        <v>7</v>
      </c>
      <c r="B277">
        <v>6</v>
      </c>
      <c r="C277" t="s">
        <v>241</v>
      </c>
      <c r="D277" s="4">
        <v>1000</v>
      </c>
      <c r="E277" s="4">
        <v>2000</v>
      </c>
      <c r="F277" s="4">
        <v>3000</v>
      </c>
    </row>
    <row r="278" spans="1:6" x14ac:dyDescent="0.35">
      <c r="A278">
        <v>7</v>
      </c>
      <c r="B278">
        <v>7</v>
      </c>
      <c r="C278" t="s">
        <v>242</v>
      </c>
      <c r="D278" s="4">
        <v>100</v>
      </c>
      <c r="E278" s="4">
        <v>300</v>
      </c>
      <c r="F278" s="4">
        <v>500</v>
      </c>
    </row>
    <row r="279" spans="1:6" x14ac:dyDescent="0.35">
      <c r="A279">
        <v>7</v>
      </c>
      <c r="B279">
        <v>8</v>
      </c>
      <c r="C279" t="s">
        <v>243</v>
      </c>
      <c r="D279" s="4">
        <v>10</v>
      </c>
      <c r="E279" s="4">
        <v>20</v>
      </c>
      <c r="F279" s="4">
        <v>30</v>
      </c>
    </row>
    <row r="280" spans="1:6" x14ac:dyDescent="0.35">
      <c r="A280">
        <v>7</v>
      </c>
      <c r="B280">
        <v>9</v>
      </c>
      <c r="C280" t="s">
        <v>244</v>
      </c>
      <c r="D280" s="4">
        <v>300</v>
      </c>
      <c r="E280" s="4">
        <v>350</v>
      </c>
      <c r="F280" s="4">
        <v>400</v>
      </c>
    </row>
    <row r="281" spans="1:6" x14ac:dyDescent="0.35">
      <c r="A281">
        <v>7</v>
      </c>
      <c r="B281">
        <v>10</v>
      </c>
      <c r="C281" t="s">
        <v>245</v>
      </c>
      <c r="D281" s="4">
        <v>0.04</v>
      </c>
      <c r="E281" s="4">
        <v>7.0000000000000007E-2</v>
      </c>
      <c r="F281" s="4">
        <v>0.1</v>
      </c>
    </row>
    <row r="282" spans="1:6" x14ac:dyDescent="0.35">
      <c r="A282">
        <v>7</v>
      </c>
      <c r="B282">
        <v>11</v>
      </c>
      <c r="C282" t="s">
        <v>772</v>
      </c>
      <c r="D282" s="4">
        <v>0.75</v>
      </c>
      <c r="E282" s="4">
        <v>0.8</v>
      </c>
      <c r="F282" s="4">
        <v>0.85</v>
      </c>
    </row>
    <row r="283" spans="1:6" x14ac:dyDescent="0.35">
      <c r="A283">
        <v>7</v>
      </c>
      <c r="B283">
        <v>12</v>
      </c>
      <c r="C283" t="s">
        <v>773</v>
      </c>
      <c r="D283" s="4">
        <v>0.18</v>
      </c>
      <c r="E283" s="4">
        <v>0.2</v>
      </c>
      <c r="F283" s="4">
        <v>0.22</v>
      </c>
    </row>
    <row r="284" spans="1:6" x14ac:dyDescent="0.35">
      <c r="A284">
        <v>7</v>
      </c>
      <c r="B284">
        <v>13</v>
      </c>
      <c r="C284" t="s">
        <v>774</v>
      </c>
      <c r="D284" s="4">
        <v>0.55000000000000004</v>
      </c>
      <c r="E284" s="4">
        <v>0.6</v>
      </c>
      <c r="F284" s="4">
        <v>0.65</v>
      </c>
    </row>
    <row r="285" spans="1:6" x14ac:dyDescent="0.35">
      <c r="A285">
        <v>7</v>
      </c>
      <c r="B285">
        <v>14</v>
      </c>
      <c r="C285" t="s">
        <v>775</v>
      </c>
      <c r="D285" s="4">
        <v>0.25</v>
      </c>
      <c r="E285" s="4">
        <v>0.3</v>
      </c>
      <c r="F285" s="4">
        <v>0.35</v>
      </c>
    </row>
    <row r="286" spans="1:6" x14ac:dyDescent="0.35">
      <c r="A286">
        <v>7</v>
      </c>
      <c r="B286">
        <v>15</v>
      </c>
      <c r="C286" t="s">
        <v>776</v>
      </c>
      <c r="D286" s="4">
        <v>0.03</v>
      </c>
      <c r="E286" s="4">
        <v>0.05</v>
      </c>
      <c r="F286" s="4">
        <v>7.0000000000000007E-2</v>
      </c>
    </row>
    <row r="287" spans="1:6" x14ac:dyDescent="0.35">
      <c r="A287">
        <v>7</v>
      </c>
      <c r="B287">
        <v>16</v>
      </c>
      <c r="C287" t="s">
        <v>777</v>
      </c>
      <c r="D287" s="4">
        <v>0.03</v>
      </c>
      <c r="E287" s="4">
        <v>0.05</v>
      </c>
      <c r="F287" s="4">
        <v>7.0000000000000007E-2</v>
      </c>
    </row>
    <row r="288" spans="1:6" x14ac:dyDescent="0.35">
      <c r="A288">
        <v>7</v>
      </c>
      <c r="B288">
        <v>17</v>
      </c>
      <c r="C288" t="s">
        <v>778</v>
      </c>
      <c r="D288" s="4">
        <v>1E-8</v>
      </c>
      <c r="E288" s="4">
        <v>9.9999999999999995E-8</v>
      </c>
      <c r="F288" s="4">
        <v>1E-4</v>
      </c>
    </row>
    <row r="289" spans="1:6" x14ac:dyDescent="0.35">
      <c r="A289">
        <v>7</v>
      </c>
      <c r="B289">
        <v>18</v>
      </c>
      <c r="C289" t="s">
        <v>779</v>
      </c>
      <c r="D289" s="4">
        <v>0.85</v>
      </c>
      <c r="E289" s="4">
        <v>0.9</v>
      </c>
      <c r="F289" s="4">
        <v>0.95</v>
      </c>
    </row>
    <row r="290" spans="1:6" x14ac:dyDescent="0.35">
      <c r="A290">
        <v>7</v>
      </c>
      <c r="B290">
        <v>19</v>
      </c>
      <c r="C290" t="s">
        <v>780</v>
      </c>
      <c r="D290" s="4">
        <v>0.05</v>
      </c>
      <c r="E290" s="4">
        <v>0.1</v>
      </c>
      <c r="F290" s="4">
        <v>0.15</v>
      </c>
    </row>
    <row r="291" spans="1:6" x14ac:dyDescent="0.35">
      <c r="A291">
        <v>7</v>
      </c>
      <c r="B291">
        <v>20</v>
      </c>
      <c r="C291" t="s">
        <v>781</v>
      </c>
      <c r="D291" s="4">
        <v>0.55000000000000004</v>
      </c>
      <c r="E291" s="4">
        <v>0.6</v>
      </c>
      <c r="F291" s="4">
        <v>0.65</v>
      </c>
    </row>
    <row r="292" spans="1:6" x14ac:dyDescent="0.35">
      <c r="A292">
        <v>7</v>
      </c>
      <c r="B292">
        <v>21</v>
      </c>
      <c r="C292" t="s">
        <v>782</v>
      </c>
      <c r="D292" s="4">
        <v>0.15</v>
      </c>
      <c r="E292" s="4">
        <v>0.2</v>
      </c>
      <c r="F292" s="4">
        <v>0.25</v>
      </c>
    </row>
    <row r="293" spans="1:6" x14ac:dyDescent="0.35">
      <c r="A293">
        <v>7</v>
      </c>
      <c r="B293">
        <v>22</v>
      </c>
      <c r="C293" t="s">
        <v>783</v>
      </c>
      <c r="D293" s="4">
        <v>0.08</v>
      </c>
      <c r="E293" s="4">
        <v>0.1</v>
      </c>
      <c r="F293" s="4">
        <v>0.12</v>
      </c>
    </row>
    <row r="294" spans="1:6" x14ac:dyDescent="0.35">
      <c r="A294">
        <v>7</v>
      </c>
      <c r="B294">
        <v>23</v>
      </c>
      <c r="C294" t="s">
        <v>784</v>
      </c>
      <c r="D294" s="4">
        <v>0.08</v>
      </c>
      <c r="E294" s="4">
        <v>0.1</v>
      </c>
      <c r="F294" s="4">
        <v>0.12</v>
      </c>
    </row>
    <row r="295" spans="1:6" x14ac:dyDescent="0.35">
      <c r="A295">
        <v>7</v>
      </c>
      <c r="B295">
        <v>24</v>
      </c>
      <c r="C295" t="s">
        <v>785</v>
      </c>
      <c r="D295" s="4">
        <v>1E-8</v>
      </c>
      <c r="E295" s="4">
        <v>9.9999999999999995E-8</v>
      </c>
      <c r="F295" s="4">
        <v>9.9999999999999995E-7</v>
      </c>
    </row>
    <row r="296" spans="1:6" x14ac:dyDescent="0.35">
      <c r="A296">
        <v>7</v>
      </c>
      <c r="B296">
        <v>25</v>
      </c>
      <c r="C296" t="s">
        <v>786</v>
      </c>
      <c r="D296" s="4">
        <v>0.85</v>
      </c>
      <c r="E296" s="4">
        <v>0.9</v>
      </c>
      <c r="F296" s="4">
        <v>0.95</v>
      </c>
    </row>
    <row r="297" spans="1:6" x14ac:dyDescent="0.35">
      <c r="A297">
        <v>7</v>
      </c>
      <c r="B297">
        <v>26</v>
      </c>
      <c r="C297" t="s">
        <v>787</v>
      </c>
      <c r="D297" s="4">
        <v>0.05</v>
      </c>
      <c r="E297" s="4">
        <v>0.1</v>
      </c>
      <c r="F297" s="4">
        <v>0.15</v>
      </c>
    </row>
    <row r="298" spans="1:6" x14ac:dyDescent="0.35">
      <c r="A298">
        <v>7</v>
      </c>
      <c r="B298">
        <v>27</v>
      </c>
      <c r="C298" t="s">
        <v>788</v>
      </c>
      <c r="D298" s="4">
        <v>0.65</v>
      </c>
      <c r="E298" s="4">
        <v>0.7</v>
      </c>
      <c r="F298" s="4">
        <v>0.75</v>
      </c>
    </row>
    <row r="299" spans="1:6" x14ac:dyDescent="0.35">
      <c r="A299">
        <v>7</v>
      </c>
      <c r="B299">
        <v>28</v>
      </c>
      <c r="C299" t="s">
        <v>789</v>
      </c>
      <c r="D299" s="4">
        <v>0.1</v>
      </c>
      <c r="E299" s="4">
        <v>0.15</v>
      </c>
      <c r="F299" s="4">
        <v>0.2</v>
      </c>
    </row>
    <row r="300" spans="1:6" x14ac:dyDescent="0.35">
      <c r="A300">
        <v>7</v>
      </c>
      <c r="B300">
        <v>29</v>
      </c>
      <c r="C300" t="s">
        <v>790</v>
      </c>
      <c r="D300" s="4">
        <v>0.03</v>
      </c>
      <c r="E300" s="4">
        <v>0.05</v>
      </c>
      <c r="F300" s="4">
        <v>7.0000000000000007E-2</v>
      </c>
    </row>
    <row r="301" spans="1:6" x14ac:dyDescent="0.35">
      <c r="A301">
        <v>7</v>
      </c>
      <c r="B301">
        <v>30</v>
      </c>
      <c r="C301" t="s">
        <v>791</v>
      </c>
      <c r="D301" s="4">
        <v>0.05</v>
      </c>
      <c r="E301" s="4">
        <v>0.1</v>
      </c>
      <c r="F301" s="4">
        <v>0.15</v>
      </c>
    </row>
    <row r="302" spans="1:6" x14ac:dyDescent="0.35">
      <c r="A302">
        <v>7</v>
      </c>
      <c r="B302">
        <v>31</v>
      </c>
      <c r="C302" t="s">
        <v>792</v>
      </c>
      <c r="D302" s="4">
        <v>9.9999999999999995E-7</v>
      </c>
      <c r="E302" s="4">
        <v>1.0000000000000001E-5</v>
      </c>
      <c r="F302" s="4">
        <v>1E-4</v>
      </c>
    </row>
    <row r="303" spans="1:6" x14ac:dyDescent="0.35">
      <c r="A303">
        <v>7</v>
      </c>
      <c r="B303">
        <v>32</v>
      </c>
      <c r="C303" t="s">
        <v>793</v>
      </c>
      <c r="D303" s="4">
        <v>0.85</v>
      </c>
      <c r="E303" s="4">
        <v>0.9</v>
      </c>
      <c r="F303" s="4">
        <v>0.95</v>
      </c>
    </row>
    <row r="304" spans="1:6" x14ac:dyDescent="0.35">
      <c r="A304">
        <v>7</v>
      </c>
      <c r="B304">
        <v>33</v>
      </c>
      <c r="C304" t="s">
        <v>794</v>
      </c>
      <c r="D304" s="4">
        <v>0.05</v>
      </c>
      <c r="E304" s="4">
        <v>0.1</v>
      </c>
      <c r="F304" s="4">
        <v>0.15</v>
      </c>
    </row>
    <row r="305" spans="1:6" x14ac:dyDescent="0.35">
      <c r="A305">
        <v>7</v>
      </c>
      <c r="B305">
        <v>34</v>
      </c>
      <c r="C305" t="s">
        <v>795</v>
      </c>
      <c r="D305" s="4">
        <v>0.65</v>
      </c>
      <c r="E305" s="4">
        <v>0.7</v>
      </c>
      <c r="F305" s="4">
        <v>0.75</v>
      </c>
    </row>
    <row r="306" spans="1:6" x14ac:dyDescent="0.35">
      <c r="A306">
        <v>7</v>
      </c>
      <c r="B306">
        <v>35</v>
      </c>
      <c r="C306" t="s">
        <v>796</v>
      </c>
      <c r="D306" s="4">
        <v>0.1</v>
      </c>
      <c r="E306" s="4">
        <v>0.15</v>
      </c>
      <c r="F306" s="4">
        <v>0.2</v>
      </c>
    </row>
    <row r="307" spans="1:6" x14ac:dyDescent="0.35">
      <c r="A307">
        <v>7</v>
      </c>
      <c r="B307">
        <v>36</v>
      </c>
      <c r="C307" t="s">
        <v>797</v>
      </c>
      <c r="D307" s="4">
        <v>0.03</v>
      </c>
      <c r="E307" s="4">
        <v>0.05</v>
      </c>
      <c r="F307" s="4">
        <v>7.0000000000000007E-2</v>
      </c>
    </row>
    <row r="308" spans="1:6" x14ac:dyDescent="0.35">
      <c r="A308">
        <v>7</v>
      </c>
      <c r="B308">
        <v>37</v>
      </c>
      <c r="C308" t="s">
        <v>798</v>
      </c>
      <c r="D308" s="4">
        <v>0.05</v>
      </c>
      <c r="E308" s="4">
        <v>0.1</v>
      </c>
      <c r="F308" s="4">
        <v>0.15</v>
      </c>
    </row>
    <row r="309" spans="1:6" x14ac:dyDescent="0.35">
      <c r="A309">
        <v>7</v>
      </c>
      <c r="B309">
        <v>38</v>
      </c>
      <c r="C309" t="s">
        <v>799</v>
      </c>
      <c r="D309" s="4">
        <v>9.9999999999999995E-8</v>
      </c>
      <c r="E309" s="4">
        <v>9.9999999999999995E-7</v>
      </c>
      <c r="F309" s="4">
        <v>1.0000000000000001E-5</v>
      </c>
    </row>
    <row r="310" spans="1:6" x14ac:dyDescent="0.35">
      <c r="A310">
        <v>7</v>
      </c>
      <c r="B310">
        <v>39</v>
      </c>
      <c r="C310" t="s">
        <v>800</v>
      </c>
      <c r="D310" s="4">
        <v>0.9</v>
      </c>
      <c r="E310" s="4">
        <v>0.95</v>
      </c>
      <c r="F310" s="4">
        <v>1</v>
      </c>
    </row>
    <row r="311" spans="1:6" x14ac:dyDescent="0.35">
      <c r="A311">
        <v>7</v>
      </c>
      <c r="B311">
        <v>40</v>
      </c>
      <c r="C311" t="s">
        <v>801</v>
      </c>
      <c r="D311" s="4">
        <v>0.03</v>
      </c>
      <c r="E311" s="4">
        <v>0.05</v>
      </c>
      <c r="F311" s="4">
        <v>7.0000000000000007E-2</v>
      </c>
    </row>
    <row r="312" spans="1:6" x14ac:dyDescent="0.35">
      <c r="A312">
        <v>7</v>
      </c>
      <c r="B312">
        <v>41</v>
      </c>
      <c r="C312" t="s">
        <v>802</v>
      </c>
      <c r="D312" s="4">
        <v>0.75</v>
      </c>
      <c r="E312" s="4">
        <v>0.8</v>
      </c>
      <c r="F312" s="4">
        <v>0.85</v>
      </c>
    </row>
    <row r="313" spans="1:6" x14ac:dyDescent="0.35">
      <c r="A313">
        <v>7</v>
      </c>
      <c r="B313">
        <v>42</v>
      </c>
      <c r="C313" t="s">
        <v>803</v>
      </c>
      <c r="D313" s="4">
        <v>0.05</v>
      </c>
      <c r="E313" s="4">
        <v>0.1</v>
      </c>
      <c r="F313" s="4">
        <v>0.15</v>
      </c>
    </row>
    <row r="314" spans="1:6" x14ac:dyDescent="0.35">
      <c r="A314">
        <v>7</v>
      </c>
      <c r="B314">
        <v>43</v>
      </c>
      <c r="C314" t="s">
        <v>804</v>
      </c>
      <c r="D314" s="4">
        <v>0.03</v>
      </c>
      <c r="E314" s="4">
        <v>0.05</v>
      </c>
      <c r="F314" s="4">
        <v>7.0000000000000007E-2</v>
      </c>
    </row>
    <row r="315" spans="1:6" x14ac:dyDescent="0.35">
      <c r="A315">
        <v>7</v>
      </c>
      <c r="B315">
        <v>44</v>
      </c>
      <c r="C315" t="s">
        <v>805</v>
      </c>
      <c r="D315" s="4">
        <v>0.03</v>
      </c>
      <c r="E315" s="4">
        <v>0.05</v>
      </c>
      <c r="F315" s="4">
        <v>7.0000000000000007E-2</v>
      </c>
    </row>
    <row r="316" spans="1:6" x14ac:dyDescent="0.35">
      <c r="A316">
        <v>7</v>
      </c>
      <c r="B316">
        <v>45</v>
      </c>
      <c r="C316" t="s">
        <v>806</v>
      </c>
      <c r="D316" s="4">
        <v>1.0000000000000001E-5</v>
      </c>
      <c r="E316" s="4">
        <v>1E-4</v>
      </c>
      <c r="F316" s="4">
        <v>1E-3</v>
      </c>
    </row>
    <row r="317" spans="1:6" x14ac:dyDescent="0.35">
      <c r="A317">
        <v>8</v>
      </c>
      <c r="B317">
        <v>1</v>
      </c>
      <c r="C317" t="s">
        <v>236</v>
      </c>
      <c r="D317" s="4">
        <v>7000</v>
      </c>
      <c r="E317" s="4">
        <v>11000</v>
      </c>
      <c r="F317" s="4">
        <v>15000</v>
      </c>
    </row>
    <row r="318" spans="1:6" x14ac:dyDescent="0.35">
      <c r="A318">
        <v>8</v>
      </c>
      <c r="B318">
        <v>2</v>
      </c>
      <c r="C318" t="s">
        <v>237</v>
      </c>
      <c r="D318" s="4">
        <v>5000</v>
      </c>
      <c r="E318" s="4">
        <v>7000</v>
      </c>
      <c r="F318" s="4">
        <v>11000</v>
      </c>
    </row>
    <row r="319" spans="1:6" x14ac:dyDescent="0.35">
      <c r="A319">
        <v>8</v>
      </c>
      <c r="B319">
        <v>3</v>
      </c>
      <c r="C319" t="s">
        <v>238</v>
      </c>
      <c r="D319" s="4">
        <v>1000</v>
      </c>
      <c r="E319" s="4">
        <v>2500</v>
      </c>
      <c r="F319" s="4">
        <v>5000</v>
      </c>
    </row>
    <row r="320" spans="1:6" x14ac:dyDescent="0.35">
      <c r="A320">
        <v>8</v>
      </c>
      <c r="B320">
        <v>4</v>
      </c>
      <c r="C320" t="s">
        <v>239</v>
      </c>
      <c r="D320" s="4">
        <v>100</v>
      </c>
      <c r="E320" s="4">
        <v>500</v>
      </c>
      <c r="F320" s="4">
        <v>1000</v>
      </c>
    </row>
    <row r="321" spans="1:6" x14ac:dyDescent="0.35">
      <c r="A321">
        <v>8</v>
      </c>
      <c r="B321">
        <v>5</v>
      </c>
      <c r="C321" t="s">
        <v>240</v>
      </c>
      <c r="D321" s="4">
        <v>0.01</v>
      </c>
      <c r="E321" s="4">
        <v>0.02</v>
      </c>
      <c r="F321" s="4">
        <v>0.05</v>
      </c>
    </row>
    <row r="322" spans="1:6" x14ac:dyDescent="0.35">
      <c r="A322">
        <v>8</v>
      </c>
      <c r="B322">
        <v>6</v>
      </c>
      <c r="C322" t="s">
        <v>241</v>
      </c>
      <c r="D322" s="4">
        <v>100</v>
      </c>
      <c r="E322" s="4">
        <v>150</v>
      </c>
      <c r="F322" s="4">
        <v>200</v>
      </c>
    </row>
    <row r="323" spans="1:6" x14ac:dyDescent="0.35">
      <c r="A323">
        <v>8</v>
      </c>
      <c r="B323">
        <v>7</v>
      </c>
      <c r="C323" t="s">
        <v>242</v>
      </c>
      <c r="D323" s="4">
        <v>1000</v>
      </c>
      <c r="E323" s="4">
        <v>1500</v>
      </c>
      <c r="F323" s="4">
        <v>2000</v>
      </c>
    </row>
    <row r="324" spans="1:6" x14ac:dyDescent="0.35">
      <c r="A324">
        <v>8</v>
      </c>
      <c r="B324">
        <v>8</v>
      </c>
      <c r="C324" t="s">
        <v>243</v>
      </c>
      <c r="D324" s="4">
        <v>20</v>
      </c>
      <c r="E324" s="4">
        <v>50</v>
      </c>
      <c r="F324" s="4">
        <v>100</v>
      </c>
    </row>
    <row r="325" spans="1:6" x14ac:dyDescent="0.35">
      <c r="A325">
        <v>8</v>
      </c>
      <c r="B325">
        <v>9</v>
      </c>
      <c r="C325" t="s">
        <v>244</v>
      </c>
      <c r="D325" s="4">
        <v>1000</v>
      </c>
      <c r="E325" s="4">
        <v>1500</v>
      </c>
      <c r="F325" s="4">
        <v>2000</v>
      </c>
    </row>
    <row r="326" spans="1:6" x14ac:dyDescent="0.35">
      <c r="A326">
        <v>8</v>
      </c>
      <c r="B326">
        <v>10</v>
      </c>
      <c r="C326" t="s">
        <v>245</v>
      </c>
      <c r="D326" s="4">
        <v>0.05</v>
      </c>
      <c r="E326" s="4">
        <v>0.1</v>
      </c>
      <c r="F326" s="4">
        <v>0.2</v>
      </c>
    </row>
    <row r="327" spans="1:6" x14ac:dyDescent="0.35">
      <c r="A327">
        <v>8</v>
      </c>
      <c r="B327">
        <v>11</v>
      </c>
      <c r="C327" t="s">
        <v>772</v>
      </c>
      <c r="D327" s="4">
        <v>0.3</v>
      </c>
      <c r="E327" s="4">
        <v>0.6</v>
      </c>
      <c r="F327" s="4">
        <v>0.8</v>
      </c>
    </row>
    <row r="328" spans="1:6" x14ac:dyDescent="0.35">
      <c r="A328">
        <v>8</v>
      </c>
      <c r="B328">
        <v>12</v>
      </c>
      <c r="C328" t="s">
        <v>773</v>
      </c>
      <c r="D328" s="4">
        <v>0.2</v>
      </c>
      <c r="E328" s="4">
        <v>0.4</v>
      </c>
      <c r="F328" s="4">
        <v>0.6</v>
      </c>
    </row>
    <row r="329" spans="1:6" x14ac:dyDescent="0.35">
      <c r="A329">
        <v>8</v>
      </c>
      <c r="B329">
        <v>13</v>
      </c>
      <c r="C329" t="s">
        <v>774</v>
      </c>
      <c r="D329" s="4">
        <v>0.3</v>
      </c>
      <c r="E329" s="4">
        <v>0.5</v>
      </c>
      <c r="F329" s="4">
        <v>0.8</v>
      </c>
    </row>
    <row r="330" spans="1:6" x14ac:dyDescent="0.35">
      <c r="A330">
        <v>8</v>
      </c>
      <c r="B330">
        <v>14</v>
      </c>
      <c r="C330" t="s">
        <v>775</v>
      </c>
      <c r="D330" s="4">
        <v>0.1</v>
      </c>
      <c r="E330" s="4">
        <v>0.35</v>
      </c>
      <c r="F330" s="4">
        <v>0.5</v>
      </c>
    </row>
    <row r="331" spans="1:6" x14ac:dyDescent="0.35">
      <c r="A331">
        <v>8</v>
      </c>
      <c r="B331">
        <v>15</v>
      </c>
      <c r="C331" t="s">
        <v>776</v>
      </c>
      <c r="D331" s="4">
        <v>0.01</v>
      </c>
      <c r="E331" s="4">
        <v>0.03</v>
      </c>
      <c r="F331" s="4">
        <v>0.05</v>
      </c>
    </row>
    <row r="332" spans="1:6" x14ac:dyDescent="0.35">
      <c r="A332">
        <v>8</v>
      </c>
      <c r="B332">
        <v>16</v>
      </c>
      <c r="C332" t="s">
        <v>777</v>
      </c>
      <c r="D332" s="4">
        <v>0.03</v>
      </c>
      <c r="E332" s="4">
        <v>0.11</v>
      </c>
      <c r="F332" s="4">
        <v>0.2</v>
      </c>
    </row>
    <row r="333" spans="1:6" x14ac:dyDescent="0.35">
      <c r="A333">
        <v>8</v>
      </c>
      <c r="B333">
        <v>17</v>
      </c>
      <c r="C333" t="s">
        <v>778</v>
      </c>
      <c r="D333" s="4">
        <v>1E-8</v>
      </c>
      <c r="E333" s="4">
        <v>9.9999999999999995E-8</v>
      </c>
      <c r="F333" s="4">
        <v>9.9999999999999995E-7</v>
      </c>
    </row>
    <row r="334" spans="1:6" x14ac:dyDescent="0.35">
      <c r="A334">
        <v>8</v>
      </c>
      <c r="B334">
        <v>18</v>
      </c>
      <c r="C334" t="s">
        <v>779</v>
      </c>
      <c r="D334" s="4">
        <v>0.4</v>
      </c>
      <c r="E334" s="4">
        <v>0.6</v>
      </c>
      <c r="F334" s="4">
        <v>0.8</v>
      </c>
    </row>
    <row r="335" spans="1:6" x14ac:dyDescent="0.35">
      <c r="A335">
        <v>8</v>
      </c>
      <c r="B335">
        <v>19</v>
      </c>
      <c r="C335" t="s">
        <v>780</v>
      </c>
      <c r="D335" s="4">
        <v>0.2</v>
      </c>
      <c r="E335" s="4">
        <v>0.4</v>
      </c>
      <c r="F335" s="4">
        <v>0.6</v>
      </c>
    </row>
    <row r="336" spans="1:6" x14ac:dyDescent="0.35">
      <c r="A336">
        <v>8</v>
      </c>
      <c r="B336">
        <v>20</v>
      </c>
      <c r="C336" t="s">
        <v>781</v>
      </c>
      <c r="D336" s="4">
        <v>0.3</v>
      </c>
      <c r="E336" s="4">
        <v>0.6</v>
      </c>
      <c r="F336" s="4">
        <v>0.8</v>
      </c>
    </row>
    <row r="337" spans="1:6" x14ac:dyDescent="0.35">
      <c r="A337">
        <v>8</v>
      </c>
      <c r="B337">
        <v>21</v>
      </c>
      <c r="C337" t="s">
        <v>782</v>
      </c>
      <c r="D337" s="4">
        <v>0.05</v>
      </c>
      <c r="E337" s="4">
        <v>0.1</v>
      </c>
      <c r="F337" s="4">
        <v>0.2</v>
      </c>
    </row>
    <row r="338" spans="1:6" x14ac:dyDescent="0.35">
      <c r="A338">
        <v>8</v>
      </c>
      <c r="B338">
        <v>22</v>
      </c>
      <c r="C338" t="s">
        <v>783</v>
      </c>
      <c r="D338" s="4">
        <v>0.01</v>
      </c>
      <c r="E338" s="4">
        <v>0.05</v>
      </c>
      <c r="F338" s="4">
        <v>0.1</v>
      </c>
    </row>
    <row r="339" spans="1:6" x14ac:dyDescent="0.35">
      <c r="A339">
        <v>8</v>
      </c>
      <c r="B339">
        <v>23</v>
      </c>
      <c r="C339" t="s">
        <v>784</v>
      </c>
      <c r="D339" s="4">
        <v>0.1</v>
      </c>
      <c r="E339" s="4">
        <v>0.25</v>
      </c>
      <c r="F339" s="4">
        <v>0.6</v>
      </c>
    </row>
    <row r="340" spans="1:6" x14ac:dyDescent="0.35">
      <c r="A340">
        <v>8</v>
      </c>
      <c r="B340">
        <v>24</v>
      </c>
      <c r="C340" t="s">
        <v>785</v>
      </c>
      <c r="D340" s="4">
        <v>1E-8</v>
      </c>
      <c r="E340" s="4">
        <v>9.9999999999999995E-8</v>
      </c>
      <c r="F340" s="4">
        <v>9.9999999999999995E-7</v>
      </c>
    </row>
    <row r="341" spans="1:6" x14ac:dyDescent="0.35">
      <c r="A341">
        <v>8</v>
      </c>
      <c r="B341">
        <v>25</v>
      </c>
      <c r="C341" t="s">
        <v>786</v>
      </c>
      <c r="D341" s="4">
        <v>0.2</v>
      </c>
      <c r="E341" s="4">
        <v>0.45</v>
      </c>
      <c r="F341" s="4">
        <v>0.7</v>
      </c>
    </row>
    <row r="342" spans="1:6" x14ac:dyDescent="0.35">
      <c r="A342">
        <v>8</v>
      </c>
      <c r="B342">
        <v>26</v>
      </c>
      <c r="C342" t="s">
        <v>787</v>
      </c>
      <c r="D342" s="4">
        <v>0.25</v>
      </c>
      <c r="E342" s="4">
        <v>0.55000000000000004</v>
      </c>
      <c r="F342" s="4">
        <v>0.75</v>
      </c>
    </row>
    <row r="343" spans="1:6" x14ac:dyDescent="0.35">
      <c r="A343">
        <v>8</v>
      </c>
      <c r="B343">
        <v>27</v>
      </c>
      <c r="C343" t="s">
        <v>788</v>
      </c>
      <c r="D343" s="4">
        <v>0.2</v>
      </c>
      <c r="E343" s="4">
        <v>0.45</v>
      </c>
      <c r="F343" s="4">
        <v>0.6</v>
      </c>
    </row>
    <row r="344" spans="1:6" x14ac:dyDescent="0.35">
      <c r="A344">
        <v>8</v>
      </c>
      <c r="B344">
        <v>28</v>
      </c>
      <c r="C344" t="s">
        <v>789</v>
      </c>
      <c r="D344" s="4">
        <v>0.05</v>
      </c>
      <c r="E344" s="4">
        <v>0.15</v>
      </c>
      <c r="F344" s="4">
        <v>0.2</v>
      </c>
    </row>
    <row r="345" spans="1:6" x14ac:dyDescent="0.35">
      <c r="A345">
        <v>8</v>
      </c>
      <c r="B345">
        <v>29</v>
      </c>
      <c r="C345" t="s">
        <v>790</v>
      </c>
      <c r="D345" s="4">
        <v>0.02</v>
      </c>
      <c r="E345" s="4">
        <v>0.1</v>
      </c>
      <c r="F345" s="4">
        <v>0.15</v>
      </c>
    </row>
    <row r="346" spans="1:6" x14ac:dyDescent="0.35">
      <c r="A346">
        <v>8</v>
      </c>
      <c r="B346">
        <v>30</v>
      </c>
      <c r="C346" t="s">
        <v>791</v>
      </c>
      <c r="D346" s="4">
        <v>0.1</v>
      </c>
      <c r="E346" s="4">
        <v>0.3</v>
      </c>
      <c r="F346" s="4">
        <v>0.4</v>
      </c>
    </row>
    <row r="347" spans="1:6" x14ac:dyDescent="0.35">
      <c r="A347">
        <v>8</v>
      </c>
      <c r="B347">
        <v>31</v>
      </c>
      <c r="C347" t="s">
        <v>792</v>
      </c>
      <c r="D347" s="4">
        <v>1E-8</v>
      </c>
      <c r="E347" s="4">
        <v>9.9999999999999995E-8</v>
      </c>
      <c r="F347" s="4">
        <v>9.9999999999999995E-7</v>
      </c>
    </row>
    <row r="348" spans="1:6" x14ac:dyDescent="0.35">
      <c r="A348">
        <v>8</v>
      </c>
      <c r="B348">
        <v>32</v>
      </c>
      <c r="C348" t="s">
        <v>793</v>
      </c>
      <c r="D348" s="4">
        <v>0.15</v>
      </c>
      <c r="E348" s="4">
        <v>0.45</v>
      </c>
      <c r="F348" s="4">
        <v>0.6</v>
      </c>
    </row>
    <row r="349" spans="1:6" x14ac:dyDescent="0.35">
      <c r="A349">
        <v>8</v>
      </c>
      <c r="B349">
        <v>33</v>
      </c>
      <c r="C349" t="s">
        <v>794</v>
      </c>
      <c r="D349" s="4">
        <v>0.2</v>
      </c>
      <c r="E349" s="4">
        <v>0.55000000000000004</v>
      </c>
      <c r="F349" s="4">
        <v>0.8</v>
      </c>
    </row>
    <row r="350" spans="1:6" x14ac:dyDescent="0.35">
      <c r="A350">
        <v>8</v>
      </c>
      <c r="B350">
        <v>34</v>
      </c>
      <c r="C350" t="s">
        <v>795</v>
      </c>
      <c r="D350" s="4">
        <v>0.2</v>
      </c>
      <c r="E350" s="4">
        <v>0.55000000000000004</v>
      </c>
      <c r="F350" s="4">
        <v>0.8</v>
      </c>
    </row>
    <row r="351" spans="1:6" x14ac:dyDescent="0.35">
      <c r="A351">
        <v>8</v>
      </c>
      <c r="B351">
        <v>35</v>
      </c>
      <c r="C351" t="s">
        <v>796</v>
      </c>
      <c r="D351" s="4">
        <v>0.05</v>
      </c>
      <c r="E351" s="4">
        <v>0.1</v>
      </c>
      <c r="F351" s="4">
        <v>0.3</v>
      </c>
    </row>
    <row r="352" spans="1:6" x14ac:dyDescent="0.35">
      <c r="A352">
        <v>8</v>
      </c>
      <c r="B352">
        <v>36</v>
      </c>
      <c r="C352" t="s">
        <v>797</v>
      </c>
      <c r="D352" s="4">
        <v>0.01</v>
      </c>
      <c r="E352" s="4">
        <v>0.05</v>
      </c>
      <c r="F352" s="4">
        <v>0.1</v>
      </c>
    </row>
    <row r="353" spans="1:6" x14ac:dyDescent="0.35">
      <c r="A353">
        <v>8</v>
      </c>
      <c r="B353">
        <v>37</v>
      </c>
      <c r="C353" t="s">
        <v>798</v>
      </c>
      <c r="D353" s="4">
        <v>0.15</v>
      </c>
      <c r="E353" s="4">
        <v>0.3</v>
      </c>
      <c r="F353" s="4">
        <v>0.6</v>
      </c>
    </row>
    <row r="354" spans="1:6" x14ac:dyDescent="0.35">
      <c r="A354">
        <v>8</v>
      </c>
      <c r="B354">
        <v>38</v>
      </c>
      <c r="C354" t="s">
        <v>799</v>
      </c>
      <c r="D354" s="4">
        <v>1E-8</v>
      </c>
      <c r="E354" s="4">
        <v>9.9999999999999995E-8</v>
      </c>
      <c r="F354" s="4">
        <v>9.9999999999999995E-7</v>
      </c>
    </row>
    <row r="355" spans="1:6" x14ac:dyDescent="0.35">
      <c r="A355">
        <v>8</v>
      </c>
      <c r="B355">
        <v>39</v>
      </c>
      <c r="C355" t="s">
        <v>800</v>
      </c>
      <c r="D355" s="4">
        <v>0.3</v>
      </c>
      <c r="E355" s="4">
        <v>0.6</v>
      </c>
      <c r="F355" s="4">
        <v>0.8</v>
      </c>
    </row>
    <row r="356" spans="1:6" x14ac:dyDescent="0.35">
      <c r="A356">
        <v>8</v>
      </c>
      <c r="B356">
        <v>40</v>
      </c>
      <c r="C356" t="s">
        <v>801</v>
      </c>
      <c r="D356" s="4">
        <v>0.1</v>
      </c>
      <c r="E356" s="4">
        <v>0.4</v>
      </c>
      <c r="F356" s="4">
        <v>0.6</v>
      </c>
    </row>
    <row r="357" spans="1:6" x14ac:dyDescent="0.35">
      <c r="A357">
        <v>8</v>
      </c>
      <c r="B357">
        <v>41</v>
      </c>
      <c r="C357" t="s">
        <v>802</v>
      </c>
      <c r="D357" s="4">
        <v>0.3</v>
      </c>
      <c r="E357" s="4">
        <v>0.6</v>
      </c>
      <c r="F357" s="4">
        <v>0.9</v>
      </c>
    </row>
    <row r="358" spans="1:6" x14ac:dyDescent="0.35">
      <c r="A358">
        <v>8</v>
      </c>
      <c r="B358">
        <v>42</v>
      </c>
      <c r="C358" t="s">
        <v>803</v>
      </c>
      <c r="D358" s="4">
        <v>0.05</v>
      </c>
      <c r="E358" s="4">
        <v>0.1</v>
      </c>
      <c r="F358" s="4">
        <v>0.2</v>
      </c>
    </row>
    <row r="359" spans="1:6" x14ac:dyDescent="0.35">
      <c r="A359">
        <v>8</v>
      </c>
      <c r="B359">
        <v>43</v>
      </c>
      <c r="C359" t="s">
        <v>804</v>
      </c>
      <c r="D359" s="4">
        <v>0.01</v>
      </c>
      <c r="E359" s="4">
        <v>0.02</v>
      </c>
      <c r="F359" s="4">
        <v>0.05</v>
      </c>
    </row>
    <row r="360" spans="1:6" x14ac:dyDescent="0.35">
      <c r="A360">
        <v>8</v>
      </c>
      <c r="B360">
        <v>44</v>
      </c>
      <c r="C360" t="s">
        <v>805</v>
      </c>
      <c r="D360" s="4">
        <v>0.15</v>
      </c>
      <c r="E360" s="4">
        <v>0.28000000000000003</v>
      </c>
      <c r="F360" s="4">
        <v>0.4</v>
      </c>
    </row>
    <row r="361" spans="1:6" x14ac:dyDescent="0.35">
      <c r="A361">
        <v>8</v>
      </c>
      <c r="B361">
        <v>45</v>
      </c>
      <c r="C361" t="s">
        <v>806</v>
      </c>
      <c r="D361" s="4">
        <v>1E-8</v>
      </c>
      <c r="E361" s="4">
        <v>9.9999999999999995E-8</v>
      </c>
      <c r="F361" s="4">
        <v>9.9999999999999995E-7</v>
      </c>
    </row>
    <row r="362" spans="1:6" x14ac:dyDescent="0.35">
      <c r="A362">
        <v>9</v>
      </c>
      <c r="B362">
        <v>1</v>
      </c>
      <c r="C362" t="s">
        <v>236</v>
      </c>
      <c r="D362" s="4">
        <v>100</v>
      </c>
      <c r="E362" s="4">
        <v>120</v>
      </c>
      <c r="F362" s="4">
        <v>300</v>
      </c>
    </row>
    <row r="363" spans="1:6" x14ac:dyDescent="0.35">
      <c r="A363">
        <v>9</v>
      </c>
      <c r="B363">
        <v>2</v>
      </c>
      <c r="C363" t="s">
        <v>237</v>
      </c>
      <c r="D363" s="4">
        <v>7</v>
      </c>
      <c r="E363" s="4">
        <v>14</v>
      </c>
      <c r="F363" s="4">
        <v>25</v>
      </c>
    </row>
    <row r="364" spans="1:6" x14ac:dyDescent="0.35">
      <c r="A364">
        <v>9</v>
      </c>
      <c r="B364">
        <v>3</v>
      </c>
      <c r="C364" t="s">
        <v>238</v>
      </c>
      <c r="D364" s="4">
        <v>75</v>
      </c>
      <c r="E364" s="4">
        <v>90</v>
      </c>
      <c r="F364" s="4">
        <v>120</v>
      </c>
    </row>
    <row r="365" spans="1:6" x14ac:dyDescent="0.35">
      <c r="A365">
        <v>9</v>
      </c>
      <c r="B365">
        <v>4</v>
      </c>
      <c r="C365" t="s">
        <v>239</v>
      </c>
      <c r="D365" s="4">
        <v>500</v>
      </c>
      <c r="E365" s="4">
        <v>800</v>
      </c>
      <c r="F365" s="4">
        <v>1500</v>
      </c>
    </row>
    <row r="366" spans="1:6" x14ac:dyDescent="0.35">
      <c r="A366">
        <v>9</v>
      </c>
      <c r="B366">
        <v>5</v>
      </c>
      <c r="C366" t="s">
        <v>240</v>
      </c>
      <c r="D366" s="4">
        <v>0.04</v>
      </c>
      <c r="E366" s="4">
        <v>0.1</v>
      </c>
      <c r="F366" s="4">
        <v>0.16</v>
      </c>
    </row>
    <row r="367" spans="1:6" x14ac:dyDescent="0.35">
      <c r="A367">
        <v>9</v>
      </c>
      <c r="B367">
        <v>6</v>
      </c>
      <c r="C367" t="s">
        <v>241</v>
      </c>
      <c r="D367" s="4">
        <v>8</v>
      </c>
      <c r="E367" s="4">
        <v>17</v>
      </c>
      <c r="F367" s="4">
        <v>25</v>
      </c>
    </row>
    <row r="368" spans="1:6" x14ac:dyDescent="0.35">
      <c r="A368">
        <v>9</v>
      </c>
      <c r="B368">
        <v>7</v>
      </c>
      <c r="C368" t="s">
        <v>242</v>
      </c>
      <c r="D368" s="4">
        <v>80</v>
      </c>
      <c r="E368" s="4">
        <v>170</v>
      </c>
      <c r="F368" s="4">
        <v>250</v>
      </c>
    </row>
    <row r="369" spans="1:6" x14ac:dyDescent="0.35">
      <c r="A369">
        <v>9</v>
      </c>
      <c r="B369">
        <v>8</v>
      </c>
      <c r="C369" t="s">
        <v>243</v>
      </c>
      <c r="D369" s="4">
        <v>25</v>
      </c>
      <c r="E369" s="4">
        <v>40</v>
      </c>
      <c r="F369" s="4">
        <v>60</v>
      </c>
    </row>
    <row r="370" spans="1:6" x14ac:dyDescent="0.35">
      <c r="A370">
        <v>9</v>
      </c>
      <c r="B370">
        <v>9</v>
      </c>
      <c r="C370" t="s">
        <v>244</v>
      </c>
      <c r="D370" s="4">
        <v>2</v>
      </c>
      <c r="E370" s="4">
        <v>3.5</v>
      </c>
      <c r="F370" s="4">
        <v>4.5</v>
      </c>
    </row>
    <row r="371" spans="1:6" x14ac:dyDescent="0.35">
      <c r="A371">
        <v>9</v>
      </c>
      <c r="B371">
        <v>10</v>
      </c>
      <c r="C371" t="s">
        <v>245</v>
      </c>
      <c r="D371" s="4">
        <v>0.2</v>
      </c>
      <c r="E371" s="4">
        <v>0.3</v>
      </c>
      <c r="F371" s="4">
        <v>0.35</v>
      </c>
    </row>
    <row r="372" spans="1:6" x14ac:dyDescent="0.35">
      <c r="A372">
        <v>9</v>
      </c>
      <c r="B372">
        <v>11</v>
      </c>
      <c r="C372" t="s">
        <v>772</v>
      </c>
      <c r="D372" s="4">
        <v>0.03</v>
      </c>
      <c r="E372" s="4">
        <v>0.65</v>
      </c>
      <c r="F372" s="4">
        <v>0.75</v>
      </c>
    </row>
    <row r="373" spans="1:6" x14ac:dyDescent="0.35">
      <c r="A373">
        <v>9</v>
      </c>
      <c r="B373">
        <v>12</v>
      </c>
      <c r="C373" t="s">
        <v>773</v>
      </c>
      <c r="D373" s="4">
        <v>0.04</v>
      </c>
      <c r="E373" s="4">
        <v>0.35</v>
      </c>
      <c r="F373" s="4">
        <v>0.7</v>
      </c>
    </row>
    <row r="374" spans="1:6" x14ac:dyDescent="0.35">
      <c r="A374">
        <v>9</v>
      </c>
      <c r="B374">
        <v>13</v>
      </c>
      <c r="C374" t="s">
        <v>774</v>
      </c>
      <c r="D374" s="4">
        <v>0.03</v>
      </c>
      <c r="E374" s="4">
        <v>0.65</v>
      </c>
      <c r="F374" s="4">
        <v>0.7</v>
      </c>
    </row>
    <row r="375" spans="1:6" x14ac:dyDescent="0.35">
      <c r="A375">
        <v>9</v>
      </c>
      <c r="B375">
        <v>14</v>
      </c>
      <c r="C375" t="s">
        <v>775</v>
      </c>
      <c r="D375" s="4">
        <v>0.05</v>
      </c>
      <c r="E375" s="4">
        <v>0.25</v>
      </c>
      <c r="F375" s="4">
        <v>0.3</v>
      </c>
    </row>
    <row r="376" spans="1:6" x14ac:dyDescent="0.35">
      <c r="A376">
        <v>9</v>
      </c>
      <c r="B376">
        <v>15</v>
      </c>
      <c r="C376" t="s">
        <v>776</v>
      </c>
      <c r="D376" s="4">
        <v>0.01</v>
      </c>
      <c r="E376" s="4">
        <v>0.02</v>
      </c>
      <c r="F376" s="4">
        <v>0.08</v>
      </c>
    </row>
    <row r="377" spans="1:6" x14ac:dyDescent="0.35">
      <c r="A377">
        <v>9</v>
      </c>
      <c r="B377">
        <v>16</v>
      </c>
      <c r="C377" t="s">
        <v>777</v>
      </c>
      <c r="D377" s="4">
        <v>0.04</v>
      </c>
      <c r="E377" s="4">
        <v>0.08</v>
      </c>
      <c r="F377" s="4">
        <v>0.12</v>
      </c>
    </row>
    <row r="378" spans="1:6" x14ac:dyDescent="0.35">
      <c r="A378">
        <v>9</v>
      </c>
      <c r="B378">
        <v>17</v>
      </c>
      <c r="C378" t="s">
        <v>778</v>
      </c>
      <c r="D378" s="4">
        <v>1E-8</v>
      </c>
      <c r="E378" s="4">
        <v>9.9999999999999995E-8</v>
      </c>
      <c r="F378" s="4">
        <v>9.9999999999999995E-7</v>
      </c>
    </row>
    <row r="379" spans="1:6" x14ac:dyDescent="0.35">
      <c r="A379">
        <v>9</v>
      </c>
      <c r="B379">
        <v>18</v>
      </c>
      <c r="C379" t="s">
        <v>779</v>
      </c>
      <c r="D379" s="4">
        <v>0.05</v>
      </c>
      <c r="E379" s="4">
        <v>0.65</v>
      </c>
      <c r="F379" s="4">
        <v>0.75</v>
      </c>
    </row>
    <row r="380" spans="1:6" x14ac:dyDescent="0.35">
      <c r="A380">
        <v>9</v>
      </c>
      <c r="B380">
        <v>19</v>
      </c>
      <c r="C380" t="s">
        <v>780</v>
      </c>
      <c r="D380" s="4">
        <v>0.02</v>
      </c>
      <c r="E380" s="4">
        <v>0.35</v>
      </c>
      <c r="F380" s="4">
        <v>0.6</v>
      </c>
    </row>
    <row r="381" spans="1:6" x14ac:dyDescent="0.35">
      <c r="A381">
        <v>9</v>
      </c>
      <c r="B381">
        <v>20</v>
      </c>
      <c r="C381" t="s">
        <v>781</v>
      </c>
      <c r="D381" s="4">
        <v>0.35</v>
      </c>
      <c r="E381" s="4">
        <v>0.68</v>
      </c>
      <c r="F381" s="4">
        <v>0.75</v>
      </c>
    </row>
    <row r="382" spans="1:6" x14ac:dyDescent="0.35">
      <c r="A382">
        <v>9</v>
      </c>
      <c r="B382">
        <v>21</v>
      </c>
      <c r="C382" t="s">
        <v>782</v>
      </c>
      <c r="D382" s="4">
        <v>0.14000000000000001</v>
      </c>
      <c r="E382" s="4">
        <v>0.25</v>
      </c>
      <c r="F382" s="4">
        <v>0.42</v>
      </c>
    </row>
    <row r="383" spans="1:6" x14ac:dyDescent="0.35">
      <c r="A383">
        <v>9</v>
      </c>
      <c r="B383">
        <v>22</v>
      </c>
      <c r="C383" t="s">
        <v>783</v>
      </c>
      <c r="D383" s="4">
        <v>0.01</v>
      </c>
      <c r="E383" s="4">
        <v>0.02</v>
      </c>
      <c r="F383" s="4">
        <v>0.05</v>
      </c>
    </row>
    <row r="384" spans="1:6" x14ac:dyDescent="0.35">
      <c r="A384">
        <v>9</v>
      </c>
      <c r="B384">
        <v>23</v>
      </c>
      <c r="C384" t="s">
        <v>784</v>
      </c>
      <c r="D384" s="4">
        <v>0.01</v>
      </c>
      <c r="E384" s="4">
        <v>0.05</v>
      </c>
      <c r="F384" s="4">
        <v>0.09</v>
      </c>
    </row>
    <row r="385" spans="1:6" x14ac:dyDescent="0.35">
      <c r="A385">
        <v>9</v>
      </c>
      <c r="B385">
        <v>24</v>
      </c>
      <c r="C385" t="s">
        <v>785</v>
      </c>
      <c r="D385" s="4">
        <v>1E-8</v>
      </c>
      <c r="E385" s="4">
        <v>9.9999999999999995E-8</v>
      </c>
      <c r="F385" s="4">
        <v>9.9999999999999995E-7</v>
      </c>
    </row>
    <row r="386" spans="1:6" x14ac:dyDescent="0.35">
      <c r="A386">
        <v>9</v>
      </c>
      <c r="B386">
        <v>25</v>
      </c>
      <c r="C386" t="s">
        <v>786</v>
      </c>
      <c r="D386" s="4">
        <v>0.3</v>
      </c>
      <c r="E386" s="4">
        <v>0.7</v>
      </c>
      <c r="F386" s="4">
        <v>0.75</v>
      </c>
    </row>
    <row r="387" spans="1:6" x14ac:dyDescent="0.35">
      <c r="A387">
        <v>9</v>
      </c>
      <c r="B387">
        <v>26</v>
      </c>
      <c r="C387" t="s">
        <v>787</v>
      </c>
      <c r="D387" s="4">
        <v>0.2</v>
      </c>
      <c r="E387" s="4">
        <v>0.3</v>
      </c>
      <c r="F387" s="4">
        <v>0.52</v>
      </c>
    </row>
    <row r="388" spans="1:6" x14ac:dyDescent="0.35">
      <c r="A388">
        <v>9</v>
      </c>
      <c r="B388">
        <v>27</v>
      </c>
      <c r="C388" t="s">
        <v>788</v>
      </c>
      <c r="D388" s="4">
        <v>0.3</v>
      </c>
      <c r="E388" s="4">
        <v>0.8</v>
      </c>
      <c r="F388" s="4">
        <v>0.9</v>
      </c>
    </row>
    <row r="389" spans="1:6" x14ac:dyDescent="0.35">
      <c r="A389">
        <v>9</v>
      </c>
      <c r="B389">
        <v>28</v>
      </c>
      <c r="C389" t="s">
        <v>789</v>
      </c>
      <c r="D389" s="4">
        <v>0.05</v>
      </c>
      <c r="E389" s="4">
        <v>0.12</v>
      </c>
      <c r="F389" s="4">
        <v>0.25</v>
      </c>
    </row>
    <row r="390" spans="1:6" x14ac:dyDescent="0.35">
      <c r="A390">
        <v>9</v>
      </c>
      <c r="B390">
        <v>29</v>
      </c>
      <c r="C390" t="s">
        <v>790</v>
      </c>
      <c r="D390" s="4">
        <v>0.01</v>
      </c>
      <c r="E390" s="4">
        <v>0.02</v>
      </c>
      <c r="F390" s="4">
        <v>0.05</v>
      </c>
    </row>
    <row r="391" spans="1:6" x14ac:dyDescent="0.35">
      <c r="A391">
        <v>9</v>
      </c>
      <c r="B391">
        <v>30</v>
      </c>
      <c r="C391" t="s">
        <v>791</v>
      </c>
      <c r="D391" s="4">
        <v>0.02</v>
      </c>
      <c r="E391" s="4">
        <v>0.05</v>
      </c>
      <c r="F391" s="4">
        <v>0.08</v>
      </c>
    </row>
    <row r="392" spans="1:6" x14ac:dyDescent="0.35">
      <c r="A392">
        <v>9</v>
      </c>
      <c r="B392">
        <v>31</v>
      </c>
      <c r="C392" t="s">
        <v>792</v>
      </c>
      <c r="D392" s="4">
        <v>1E-8</v>
      </c>
      <c r="E392" s="4">
        <v>9.9999999999999995E-8</v>
      </c>
      <c r="F392" s="4">
        <v>9.9999999999999995E-7</v>
      </c>
    </row>
    <row r="393" spans="1:6" x14ac:dyDescent="0.35">
      <c r="A393">
        <v>9</v>
      </c>
      <c r="B393">
        <v>32</v>
      </c>
      <c r="C393" t="s">
        <v>793</v>
      </c>
      <c r="D393" s="4">
        <v>0.15</v>
      </c>
      <c r="E393" s="4">
        <v>0.65</v>
      </c>
      <c r="F393" s="4">
        <v>0.9</v>
      </c>
    </row>
    <row r="394" spans="1:6" x14ac:dyDescent="0.35">
      <c r="A394">
        <v>9</v>
      </c>
      <c r="B394">
        <v>33</v>
      </c>
      <c r="C394" t="s">
        <v>794</v>
      </c>
      <c r="D394" s="4">
        <v>0.05</v>
      </c>
      <c r="E394" s="4">
        <v>0.35</v>
      </c>
      <c r="F394" s="4">
        <v>0.6</v>
      </c>
    </row>
    <row r="395" spans="1:6" x14ac:dyDescent="0.35">
      <c r="A395">
        <v>9</v>
      </c>
      <c r="B395">
        <v>34</v>
      </c>
      <c r="C395" t="s">
        <v>795</v>
      </c>
      <c r="D395" s="4">
        <v>0.3</v>
      </c>
      <c r="E395" s="4">
        <v>0.62</v>
      </c>
      <c r="F395" s="4">
        <v>0.7</v>
      </c>
    </row>
    <row r="396" spans="1:6" x14ac:dyDescent="0.35">
      <c r="A396">
        <v>9</v>
      </c>
      <c r="B396">
        <v>35</v>
      </c>
      <c r="C396" t="s">
        <v>796</v>
      </c>
      <c r="D396" s="4">
        <v>0.25</v>
      </c>
      <c r="E396" s="4">
        <v>0.32</v>
      </c>
      <c r="F396" s="4">
        <v>0.35</v>
      </c>
    </row>
    <row r="397" spans="1:6" x14ac:dyDescent="0.35">
      <c r="A397">
        <v>9</v>
      </c>
      <c r="B397">
        <v>36</v>
      </c>
      <c r="C397" t="s">
        <v>797</v>
      </c>
      <c r="D397" s="4">
        <v>0.01</v>
      </c>
      <c r="E397" s="4">
        <v>0.02</v>
      </c>
      <c r="F397" s="4">
        <v>0.08</v>
      </c>
    </row>
    <row r="398" spans="1:6" x14ac:dyDescent="0.35">
      <c r="A398">
        <v>9</v>
      </c>
      <c r="B398">
        <v>37</v>
      </c>
      <c r="C398" t="s">
        <v>798</v>
      </c>
      <c r="D398" s="4">
        <v>0.01</v>
      </c>
      <c r="E398" s="4">
        <v>0.03</v>
      </c>
      <c r="F398" s="4">
        <v>0.05</v>
      </c>
    </row>
    <row r="399" spans="1:6" x14ac:dyDescent="0.35">
      <c r="A399">
        <v>9</v>
      </c>
      <c r="B399">
        <v>38</v>
      </c>
      <c r="C399" t="s">
        <v>799</v>
      </c>
      <c r="D399" s="4">
        <v>1E-8</v>
      </c>
      <c r="E399" s="4">
        <v>9.9999999999999995E-8</v>
      </c>
      <c r="F399" s="4">
        <v>9.9999999999999995E-7</v>
      </c>
    </row>
    <row r="400" spans="1:6" x14ac:dyDescent="0.35">
      <c r="A400">
        <v>9</v>
      </c>
      <c r="B400">
        <v>39</v>
      </c>
      <c r="C400" t="s">
        <v>800</v>
      </c>
      <c r="D400" s="4">
        <v>0.2</v>
      </c>
      <c r="E400" s="4">
        <v>0.65</v>
      </c>
      <c r="F400" s="4">
        <v>0.9</v>
      </c>
    </row>
    <row r="401" spans="1:6" x14ac:dyDescent="0.35">
      <c r="A401">
        <v>9</v>
      </c>
      <c r="B401">
        <v>40</v>
      </c>
      <c r="C401" t="s">
        <v>801</v>
      </c>
      <c r="D401" s="4">
        <v>0.15</v>
      </c>
      <c r="E401" s="4">
        <v>0.35</v>
      </c>
      <c r="F401" s="4">
        <v>0.4</v>
      </c>
    </row>
    <row r="402" spans="1:6" x14ac:dyDescent="0.35">
      <c r="A402">
        <v>9</v>
      </c>
      <c r="B402">
        <v>41</v>
      </c>
      <c r="C402" t="s">
        <v>802</v>
      </c>
      <c r="D402" s="4">
        <v>0.65</v>
      </c>
      <c r="E402" s="4">
        <v>0.78</v>
      </c>
      <c r="F402" s="4">
        <v>0.9</v>
      </c>
    </row>
    <row r="403" spans="1:6" x14ac:dyDescent="0.35">
      <c r="A403">
        <v>9</v>
      </c>
      <c r="B403">
        <v>42</v>
      </c>
      <c r="C403" t="s">
        <v>803</v>
      </c>
      <c r="D403" s="4">
        <v>0.08</v>
      </c>
      <c r="E403" s="4">
        <v>0.15</v>
      </c>
      <c r="F403" s="4">
        <v>0.2</v>
      </c>
    </row>
    <row r="404" spans="1:6" x14ac:dyDescent="0.35">
      <c r="A404">
        <v>9</v>
      </c>
      <c r="B404">
        <v>43</v>
      </c>
      <c r="C404" t="s">
        <v>804</v>
      </c>
      <c r="D404" s="4">
        <v>0.01</v>
      </c>
      <c r="E404" s="4">
        <v>0.02</v>
      </c>
      <c r="F404" s="4">
        <v>0.05</v>
      </c>
    </row>
    <row r="405" spans="1:6" x14ac:dyDescent="0.35">
      <c r="A405">
        <v>9</v>
      </c>
      <c r="B405">
        <v>44</v>
      </c>
      <c r="C405" t="s">
        <v>805</v>
      </c>
      <c r="D405" s="4">
        <v>0.01</v>
      </c>
      <c r="E405" s="4">
        <v>0.03</v>
      </c>
      <c r="F405" s="4">
        <v>0.05</v>
      </c>
    </row>
    <row r="406" spans="1:6" x14ac:dyDescent="0.35">
      <c r="A406">
        <v>9</v>
      </c>
      <c r="B406">
        <v>45</v>
      </c>
      <c r="C406" t="s">
        <v>806</v>
      </c>
      <c r="D406" s="4">
        <v>1E-8</v>
      </c>
      <c r="E406" s="4">
        <v>9.9999999999999995E-8</v>
      </c>
      <c r="F406" s="4">
        <v>9.9999999999999995E-7</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59"/>
  <dimension ref="A1:H71"/>
  <sheetViews>
    <sheetView workbookViewId="0"/>
  </sheetViews>
  <sheetFormatPr defaultRowHeight="14.5" x14ac:dyDescent="0.35"/>
  <sheetData>
    <row r="1" spans="1:8" x14ac:dyDescent="0.35">
      <c r="A1" t="s">
        <v>251</v>
      </c>
      <c r="H1" t="s">
        <v>58</v>
      </c>
    </row>
    <row r="2" spans="1:8" x14ac:dyDescent="0.35">
      <c r="A2">
        <v>1</v>
      </c>
      <c r="B2">
        <v>1</v>
      </c>
      <c r="D2" s="4">
        <v>70</v>
      </c>
      <c r="E2" s="4">
        <v>100</v>
      </c>
      <c r="F2" s="4">
        <v>200</v>
      </c>
      <c r="H2" s="4">
        <v>53.2</v>
      </c>
    </row>
    <row r="3" spans="1:8" x14ac:dyDescent="0.35">
      <c r="A3">
        <v>1</v>
      </c>
      <c r="B3">
        <v>2</v>
      </c>
      <c r="D3" s="4">
        <v>100</v>
      </c>
      <c r="E3" s="4">
        <v>150</v>
      </c>
      <c r="F3" s="4">
        <v>200</v>
      </c>
      <c r="H3" s="4">
        <v>350</v>
      </c>
    </row>
    <row r="4" spans="1:8" x14ac:dyDescent="0.35">
      <c r="A4">
        <v>1</v>
      </c>
      <c r="B4">
        <v>3</v>
      </c>
      <c r="D4" s="4">
        <v>10</v>
      </c>
      <c r="E4" s="4">
        <v>40</v>
      </c>
      <c r="F4" s="4">
        <v>50</v>
      </c>
      <c r="H4" s="4">
        <v>18.7</v>
      </c>
    </row>
    <row r="5" spans="1:8" x14ac:dyDescent="0.35">
      <c r="A5">
        <v>1</v>
      </c>
      <c r="B5">
        <v>4</v>
      </c>
      <c r="D5" s="4">
        <v>75</v>
      </c>
      <c r="E5" s="4">
        <v>100</v>
      </c>
      <c r="F5" s="4">
        <v>250</v>
      </c>
      <c r="H5" s="4">
        <v>87</v>
      </c>
    </row>
    <row r="6" spans="1:8" x14ac:dyDescent="0.35">
      <c r="A6">
        <v>1</v>
      </c>
      <c r="B6">
        <v>5</v>
      </c>
      <c r="D6" s="4">
        <v>0.01</v>
      </c>
      <c r="E6" s="4">
        <v>0.05</v>
      </c>
      <c r="F6" s="4">
        <v>1</v>
      </c>
      <c r="H6" s="4">
        <v>0.11</v>
      </c>
    </row>
    <row r="7" spans="1:8" x14ac:dyDescent="0.35">
      <c r="A7">
        <v>1</v>
      </c>
      <c r="B7">
        <v>6</v>
      </c>
      <c r="D7" s="4">
        <v>100</v>
      </c>
      <c r="E7" s="4">
        <v>200</v>
      </c>
      <c r="F7" s="4">
        <v>300</v>
      </c>
      <c r="H7" s="4">
        <v>1000</v>
      </c>
    </row>
    <row r="8" spans="1:8" x14ac:dyDescent="0.35">
      <c r="A8">
        <v>1</v>
      </c>
      <c r="B8">
        <v>7</v>
      </c>
      <c r="D8" s="4">
        <v>10</v>
      </c>
      <c r="E8" s="4">
        <v>50</v>
      </c>
      <c r="F8" s="4">
        <v>100</v>
      </c>
      <c r="H8" s="4">
        <v>68.3</v>
      </c>
    </row>
    <row r="9" spans="1:8" x14ac:dyDescent="0.35">
      <c r="A9">
        <v>1</v>
      </c>
      <c r="B9">
        <v>8</v>
      </c>
      <c r="D9" s="4">
        <v>30</v>
      </c>
      <c r="E9" s="4">
        <v>50</v>
      </c>
      <c r="F9" s="4">
        <v>100</v>
      </c>
      <c r="H9" s="4">
        <v>130</v>
      </c>
    </row>
    <row r="10" spans="1:8" x14ac:dyDescent="0.35">
      <c r="A10">
        <v>1</v>
      </c>
      <c r="B10">
        <v>9</v>
      </c>
      <c r="D10" s="4">
        <v>100</v>
      </c>
      <c r="E10" s="4">
        <v>125</v>
      </c>
      <c r="F10" s="4">
        <v>150</v>
      </c>
      <c r="H10" s="4">
        <v>190</v>
      </c>
    </row>
    <row r="11" spans="1:8" x14ac:dyDescent="0.35">
      <c r="A11">
        <v>1</v>
      </c>
      <c r="B11">
        <v>10</v>
      </c>
      <c r="D11" s="4">
        <v>300</v>
      </c>
      <c r="E11" s="4">
        <v>600</v>
      </c>
      <c r="F11" s="4">
        <v>700</v>
      </c>
      <c r="H11" s="4">
        <v>190</v>
      </c>
    </row>
    <row r="12" spans="1:8" x14ac:dyDescent="0.35">
      <c r="A12">
        <v>2</v>
      </c>
      <c r="B12">
        <v>1</v>
      </c>
      <c r="D12" s="4">
        <v>1</v>
      </c>
      <c r="E12" s="4">
        <v>4</v>
      </c>
      <c r="F12" s="4">
        <v>8</v>
      </c>
    </row>
    <row r="13" spans="1:8" x14ac:dyDescent="0.35">
      <c r="A13">
        <v>2</v>
      </c>
      <c r="B13">
        <v>2</v>
      </c>
      <c r="D13" s="4">
        <v>2</v>
      </c>
      <c r="E13" s="4">
        <v>5</v>
      </c>
      <c r="F13" s="4">
        <v>8</v>
      </c>
    </row>
    <row r="14" spans="1:8" x14ac:dyDescent="0.35">
      <c r="A14">
        <v>2</v>
      </c>
      <c r="B14">
        <v>3</v>
      </c>
      <c r="D14" s="4">
        <v>2</v>
      </c>
      <c r="E14" s="4">
        <v>4</v>
      </c>
      <c r="F14" s="4">
        <v>6</v>
      </c>
    </row>
    <row r="15" spans="1:8" x14ac:dyDescent="0.35">
      <c r="A15">
        <v>2</v>
      </c>
      <c r="B15">
        <v>4</v>
      </c>
      <c r="D15" s="4">
        <v>10</v>
      </c>
      <c r="E15" s="4">
        <v>30</v>
      </c>
      <c r="F15" s="4">
        <v>50</v>
      </c>
    </row>
    <row r="16" spans="1:8" x14ac:dyDescent="0.35">
      <c r="A16">
        <v>2</v>
      </c>
      <c r="B16">
        <v>5</v>
      </c>
      <c r="D16" s="4">
        <v>0</v>
      </c>
      <c r="E16" s="4">
        <v>2</v>
      </c>
      <c r="F16" s="4">
        <v>4</v>
      </c>
    </row>
    <row r="17" spans="1:6" x14ac:dyDescent="0.35">
      <c r="A17">
        <v>2</v>
      </c>
      <c r="B17">
        <v>6</v>
      </c>
      <c r="D17" s="4">
        <v>5</v>
      </c>
      <c r="E17" s="4">
        <v>20</v>
      </c>
      <c r="F17" s="4">
        <v>40</v>
      </c>
    </row>
    <row r="18" spans="1:6" x14ac:dyDescent="0.35">
      <c r="A18">
        <v>2</v>
      </c>
      <c r="B18">
        <v>7</v>
      </c>
      <c r="D18" s="4">
        <v>2</v>
      </c>
      <c r="E18" s="4">
        <v>8</v>
      </c>
      <c r="F18" s="4">
        <v>16</v>
      </c>
    </row>
    <row r="19" spans="1:6" x14ac:dyDescent="0.35">
      <c r="A19">
        <v>2</v>
      </c>
      <c r="B19">
        <v>8</v>
      </c>
      <c r="D19" s="4">
        <v>2</v>
      </c>
      <c r="E19" s="4">
        <v>4</v>
      </c>
      <c r="F19" s="4">
        <v>6</v>
      </c>
    </row>
    <row r="20" spans="1:6" x14ac:dyDescent="0.35">
      <c r="A20">
        <v>2</v>
      </c>
      <c r="B20">
        <v>9</v>
      </c>
      <c r="D20" s="4">
        <v>2</v>
      </c>
      <c r="E20" s="4">
        <v>4</v>
      </c>
      <c r="F20" s="4">
        <v>6</v>
      </c>
    </row>
    <row r="21" spans="1:6" x14ac:dyDescent="0.35">
      <c r="A21">
        <v>2</v>
      </c>
      <c r="B21">
        <v>10</v>
      </c>
      <c r="D21" s="4">
        <v>4</v>
      </c>
      <c r="E21" s="4">
        <v>7</v>
      </c>
      <c r="F21" s="4">
        <v>10</v>
      </c>
    </row>
    <row r="22" spans="1:6" x14ac:dyDescent="0.35">
      <c r="A22">
        <v>3</v>
      </c>
      <c r="B22">
        <v>1</v>
      </c>
      <c r="D22" s="4">
        <v>15</v>
      </c>
      <c r="E22" s="4">
        <v>25</v>
      </c>
      <c r="F22" s="4">
        <v>75</v>
      </c>
    </row>
    <row r="23" spans="1:6" x14ac:dyDescent="0.35">
      <c r="A23">
        <v>3</v>
      </c>
      <c r="B23">
        <v>2</v>
      </c>
      <c r="D23" s="4">
        <v>15</v>
      </c>
      <c r="E23" s="4">
        <v>60</v>
      </c>
      <c r="F23" s="4">
        <v>85</v>
      </c>
    </row>
    <row r="24" spans="1:6" x14ac:dyDescent="0.35">
      <c r="A24">
        <v>3</v>
      </c>
      <c r="B24">
        <v>3</v>
      </c>
      <c r="D24" s="4">
        <v>2</v>
      </c>
      <c r="E24" s="4">
        <v>10</v>
      </c>
      <c r="F24" s="4">
        <v>30</v>
      </c>
    </row>
    <row r="25" spans="1:6" x14ac:dyDescent="0.35">
      <c r="A25">
        <v>3</v>
      </c>
      <c r="B25">
        <v>4</v>
      </c>
      <c r="D25" s="4">
        <v>20</v>
      </c>
      <c r="E25" s="4">
        <v>50</v>
      </c>
      <c r="F25" s="4">
        <v>80</v>
      </c>
    </row>
    <row r="26" spans="1:6" x14ac:dyDescent="0.35">
      <c r="A26">
        <v>3</v>
      </c>
      <c r="B26">
        <v>5</v>
      </c>
      <c r="D26" s="4">
        <v>0</v>
      </c>
      <c r="E26" s="4">
        <v>0.2</v>
      </c>
      <c r="F26" s="4">
        <v>0.4</v>
      </c>
    </row>
    <row r="27" spans="1:6" x14ac:dyDescent="0.35">
      <c r="A27">
        <v>3</v>
      </c>
      <c r="B27">
        <v>6</v>
      </c>
      <c r="D27" s="4">
        <v>15</v>
      </c>
      <c r="E27" s="4">
        <v>25</v>
      </c>
      <c r="F27" s="4">
        <v>55</v>
      </c>
    </row>
    <row r="28" spans="1:6" x14ac:dyDescent="0.35">
      <c r="A28">
        <v>3</v>
      </c>
      <c r="B28">
        <v>7</v>
      </c>
      <c r="D28" s="4">
        <v>0.01</v>
      </c>
      <c r="E28" s="4">
        <v>0.5</v>
      </c>
      <c r="F28" s="4">
        <v>0.7</v>
      </c>
    </row>
    <row r="29" spans="1:6" x14ac:dyDescent="0.35">
      <c r="A29">
        <v>3</v>
      </c>
      <c r="B29">
        <v>8</v>
      </c>
      <c r="D29" s="4">
        <v>35</v>
      </c>
      <c r="E29" s="4">
        <v>50</v>
      </c>
      <c r="F29" s="4">
        <v>75</v>
      </c>
    </row>
    <row r="30" spans="1:6" x14ac:dyDescent="0.35">
      <c r="A30">
        <v>3</v>
      </c>
      <c r="B30">
        <v>9</v>
      </c>
      <c r="D30" s="4">
        <v>50</v>
      </c>
      <c r="E30" s="4">
        <v>80</v>
      </c>
      <c r="F30" s="4">
        <v>100</v>
      </c>
    </row>
    <row r="31" spans="1:6" x14ac:dyDescent="0.35">
      <c r="A31">
        <v>3</v>
      </c>
      <c r="B31">
        <v>10</v>
      </c>
      <c r="D31" s="4">
        <v>65</v>
      </c>
      <c r="E31" s="4">
        <v>100</v>
      </c>
      <c r="F31" s="4">
        <v>120</v>
      </c>
    </row>
    <row r="32" spans="1:6" x14ac:dyDescent="0.35">
      <c r="A32">
        <v>4</v>
      </c>
      <c r="B32">
        <v>1</v>
      </c>
      <c r="D32" s="4">
        <v>100</v>
      </c>
      <c r="E32" s="4">
        <v>200</v>
      </c>
      <c r="F32" s="4">
        <v>300</v>
      </c>
    </row>
    <row r="33" spans="1:6" x14ac:dyDescent="0.35">
      <c r="A33">
        <v>4</v>
      </c>
      <c r="B33">
        <v>2</v>
      </c>
      <c r="D33" s="4">
        <v>100</v>
      </c>
      <c r="E33" s="4">
        <v>200</v>
      </c>
      <c r="F33" s="4">
        <v>400</v>
      </c>
    </row>
    <row r="34" spans="1:6" x14ac:dyDescent="0.35">
      <c r="A34">
        <v>4</v>
      </c>
      <c r="B34">
        <v>3</v>
      </c>
      <c r="D34" s="4">
        <v>1</v>
      </c>
      <c r="E34" s="4">
        <v>10</v>
      </c>
      <c r="F34" s="4">
        <v>20</v>
      </c>
    </row>
    <row r="35" spans="1:6" x14ac:dyDescent="0.35">
      <c r="A35">
        <v>4</v>
      </c>
      <c r="B35">
        <v>4</v>
      </c>
      <c r="D35" s="4">
        <v>100</v>
      </c>
      <c r="E35" s="4">
        <v>330</v>
      </c>
      <c r="F35" s="4">
        <v>660</v>
      </c>
    </row>
    <row r="36" spans="1:6" x14ac:dyDescent="0.35">
      <c r="A36">
        <v>4</v>
      </c>
      <c r="B36">
        <v>5</v>
      </c>
      <c r="D36" s="4">
        <v>1</v>
      </c>
      <c r="E36" s="4">
        <v>10</v>
      </c>
      <c r="F36" s="4">
        <v>25</v>
      </c>
    </row>
    <row r="37" spans="1:6" x14ac:dyDescent="0.35">
      <c r="A37">
        <v>4</v>
      </c>
      <c r="B37">
        <v>6</v>
      </c>
      <c r="D37" s="4">
        <v>10</v>
      </c>
      <c r="E37" s="4">
        <v>50</v>
      </c>
      <c r="F37" s="4">
        <v>150</v>
      </c>
    </row>
    <row r="38" spans="1:6" x14ac:dyDescent="0.35">
      <c r="A38">
        <v>4</v>
      </c>
      <c r="B38">
        <v>7</v>
      </c>
      <c r="D38" s="4">
        <v>10</v>
      </c>
      <c r="E38" s="4">
        <v>100</v>
      </c>
      <c r="F38" s="4">
        <v>500</v>
      </c>
    </row>
    <row r="39" spans="1:6" x14ac:dyDescent="0.35">
      <c r="A39">
        <v>4</v>
      </c>
      <c r="B39">
        <v>8</v>
      </c>
      <c r="D39" s="4">
        <v>1</v>
      </c>
      <c r="E39" s="4">
        <v>10</v>
      </c>
      <c r="F39" s="4">
        <v>25</v>
      </c>
    </row>
    <row r="40" spans="1:6" x14ac:dyDescent="0.35">
      <c r="A40">
        <v>4</v>
      </c>
      <c r="B40">
        <v>9</v>
      </c>
      <c r="D40" s="4">
        <v>5</v>
      </c>
      <c r="E40" s="4">
        <v>25</v>
      </c>
      <c r="F40" s="4">
        <v>100</v>
      </c>
    </row>
    <row r="41" spans="1:6" x14ac:dyDescent="0.35">
      <c r="A41">
        <v>4</v>
      </c>
      <c r="B41">
        <v>10</v>
      </c>
      <c r="D41" s="4">
        <v>20</v>
      </c>
      <c r="E41" s="4">
        <v>100</v>
      </c>
      <c r="F41" s="4">
        <v>300</v>
      </c>
    </row>
    <row r="42" spans="1:6" x14ac:dyDescent="0.35">
      <c r="A42">
        <v>5</v>
      </c>
      <c r="B42">
        <v>1</v>
      </c>
      <c r="D42" s="4">
        <v>2</v>
      </c>
      <c r="E42" s="4">
        <v>10</v>
      </c>
      <c r="F42" s="4">
        <v>20</v>
      </c>
    </row>
    <row r="43" spans="1:6" x14ac:dyDescent="0.35">
      <c r="A43">
        <v>5</v>
      </c>
      <c r="B43">
        <v>2</v>
      </c>
      <c r="D43" s="4">
        <v>20</v>
      </c>
      <c r="E43" s="4">
        <v>30</v>
      </c>
      <c r="F43" s="4">
        <v>50</v>
      </c>
    </row>
    <row r="44" spans="1:6" x14ac:dyDescent="0.35">
      <c r="A44">
        <v>5</v>
      </c>
      <c r="B44">
        <v>3</v>
      </c>
      <c r="D44" s="4">
        <v>10</v>
      </c>
      <c r="E44" s="4">
        <v>15</v>
      </c>
      <c r="F44" s="4">
        <v>20</v>
      </c>
    </row>
    <row r="45" spans="1:6" x14ac:dyDescent="0.35">
      <c r="A45">
        <v>5</v>
      </c>
      <c r="B45">
        <v>4</v>
      </c>
      <c r="D45" s="4">
        <v>10</v>
      </c>
      <c r="E45" s="4">
        <v>15</v>
      </c>
      <c r="F45" s="4">
        <v>20</v>
      </c>
    </row>
    <row r="46" spans="1:6" x14ac:dyDescent="0.35">
      <c r="A46">
        <v>5</v>
      </c>
      <c r="B46">
        <v>5</v>
      </c>
      <c r="D46" s="4">
        <v>0</v>
      </c>
      <c r="E46" s="4">
        <v>2E-3</v>
      </c>
      <c r="F46" s="4">
        <v>4.0000000000000001E-3</v>
      </c>
    </row>
    <row r="47" spans="1:6" x14ac:dyDescent="0.35">
      <c r="A47">
        <v>5</v>
      </c>
      <c r="B47">
        <v>6</v>
      </c>
      <c r="D47" s="4">
        <v>10</v>
      </c>
      <c r="E47" s="4">
        <v>30</v>
      </c>
      <c r="F47" s="4">
        <v>50</v>
      </c>
    </row>
    <row r="48" spans="1:6" x14ac:dyDescent="0.35">
      <c r="A48">
        <v>5</v>
      </c>
      <c r="B48">
        <v>7</v>
      </c>
      <c r="D48" s="4">
        <v>0</v>
      </c>
      <c r="E48" s="4">
        <v>10</v>
      </c>
      <c r="F48" s="4">
        <v>30</v>
      </c>
    </row>
    <row r="49" spans="1:6" x14ac:dyDescent="0.35">
      <c r="A49">
        <v>5</v>
      </c>
      <c r="B49">
        <v>8</v>
      </c>
      <c r="D49" s="4">
        <v>50</v>
      </c>
      <c r="E49" s="4">
        <v>500</v>
      </c>
      <c r="F49" s="4">
        <v>950</v>
      </c>
    </row>
    <row r="50" spans="1:6" x14ac:dyDescent="0.35">
      <c r="A50">
        <v>5</v>
      </c>
      <c r="B50">
        <v>9</v>
      </c>
      <c r="D50" s="4">
        <v>300</v>
      </c>
      <c r="E50" s="4">
        <v>600</v>
      </c>
      <c r="F50" s="4">
        <v>900</v>
      </c>
    </row>
    <row r="51" spans="1:6" x14ac:dyDescent="0.35">
      <c r="A51">
        <v>5</v>
      </c>
      <c r="B51">
        <v>10</v>
      </c>
      <c r="D51" s="4">
        <v>700</v>
      </c>
      <c r="E51" s="4">
        <v>800</v>
      </c>
      <c r="F51" s="4">
        <v>1000</v>
      </c>
    </row>
    <row r="52" spans="1:6" x14ac:dyDescent="0.35">
      <c r="A52">
        <v>6</v>
      </c>
      <c r="B52">
        <v>1</v>
      </c>
      <c r="D52" s="4">
        <v>0.5</v>
      </c>
      <c r="E52" s="4">
        <v>2</v>
      </c>
      <c r="F52" s="4">
        <v>4</v>
      </c>
    </row>
    <row r="53" spans="1:6" x14ac:dyDescent="0.35">
      <c r="A53">
        <v>6</v>
      </c>
      <c r="B53">
        <v>2</v>
      </c>
      <c r="D53" s="4">
        <v>50</v>
      </c>
      <c r="E53" s="4">
        <v>100</v>
      </c>
      <c r="F53" s="4">
        <v>200</v>
      </c>
    </row>
    <row r="54" spans="1:6" x14ac:dyDescent="0.35">
      <c r="A54">
        <v>6</v>
      </c>
      <c r="B54">
        <v>3</v>
      </c>
      <c r="D54" s="4">
        <v>0</v>
      </c>
      <c r="E54" s="4">
        <v>1</v>
      </c>
      <c r="F54" s="4">
        <v>2</v>
      </c>
    </row>
    <row r="55" spans="1:6" x14ac:dyDescent="0.35">
      <c r="A55">
        <v>6</v>
      </c>
      <c r="B55">
        <v>4</v>
      </c>
      <c r="D55" s="4">
        <v>10</v>
      </c>
      <c r="E55" s="4">
        <v>50</v>
      </c>
      <c r="F55" s="4">
        <v>70</v>
      </c>
    </row>
    <row r="56" spans="1:6" x14ac:dyDescent="0.35">
      <c r="A56">
        <v>6</v>
      </c>
      <c r="B56">
        <v>5</v>
      </c>
      <c r="D56" s="4">
        <v>1</v>
      </c>
      <c r="E56" s="4">
        <v>2.5</v>
      </c>
      <c r="F56" s="4">
        <v>5</v>
      </c>
    </row>
    <row r="57" spans="1:6" x14ac:dyDescent="0.35">
      <c r="A57">
        <v>6</v>
      </c>
      <c r="B57">
        <v>6</v>
      </c>
      <c r="D57" s="4">
        <v>50</v>
      </c>
      <c r="E57" s="4">
        <v>200</v>
      </c>
      <c r="F57" s="4">
        <v>400</v>
      </c>
    </row>
    <row r="58" spans="1:6" x14ac:dyDescent="0.35">
      <c r="A58">
        <v>6</v>
      </c>
      <c r="B58">
        <v>7</v>
      </c>
      <c r="D58" s="4">
        <v>5</v>
      </c>
      <c r="E58" s="4">
        <v>20</v>
      </c>
      <c r="F58" s="4">
        <v>60</v>
      </c>
    </row>
    <row r="59" spans="1:6" x14ac:dyDescent="0.35">
      <c r="A59">
        <v>6</v>
      </c>
      <c r="B59">
        <v>8</v>
      </c>
      <c r="D59" s="4">
        <v>0.5</v>
      </c>
      <c r="E59" s="4">
        <v>2</v>
      </c>
      <c r="F59" s="4">
        <v>5</v>
      </c>
    </row>
    <row r="60" spans="1:6" x14ac:dyDescent="0.35">
      <c r="A60">
        <v>6</v>
      </c>
      <c r="B60">
        <v>9</v>
      </c>
      <c r="D60" s="4">
        <v>10</v>
      </c>
      <c r="E60" s="4">
        <v>50</v>
      </c>
      <c r="F60" s="4">
        <v>100</v>
      </c>
    </row>
    <row r="61" spans="1:6" x14ac:dyDescent="0.35">
      <c r="A61">
        <v>6</v>
      </c>
      <c r="B61">
        <v>10</v>
      </c>
      <c r="D61" s="4">
        <v>400</v>
      </c>
      <c r="E61" s="4">
        <v>500</v>
      </c>
      <c r="F61" s="4">
        <v>900</v>
      </c>
    </row>
    <row r="62" spans="1:6" x14ac:dyDescent="0.35">
      <c r="A62">
        <v>7</v>
      </c>
      <c r="B62">
        <v>1</v>
      </c>
      <c r="D62" s="4">
        <v>10</v>
      </c>
      <c r="E62" s="4">
        <v>30</v>
      </c>
      <c r="F62" s="4">
        <v>50</v>
      </c>
    </row>
    <row r="63" spans="1:6" x14ac:dyDescent="0.35">
      <c r="A63">
        <v>7</v>
      </c>
      <c r="B63">
        <v>2</v>
      </c>
      <c r="D63" s="4">
        <v>100</v>
      </c>
      <c r="E63" s="4">
        <v>150</v>
      </c>
      <c r="F63" s="4">
        <v>200</v>
      </c>
    </row>
    <row r="64" spans="1:6" x14ac:dyDescent="0.35">
      <c r="A64">
        <v>7</v>
      </c>
      <c r="B64">
        <v>3</v>
      </c>
      <c r="D64" s="4">
        <v>10</v>
      </c>
      <c r="E64" s="4">
        <v>25</v>
      </c>
      <c r="F64" s="4">
        <v>30</v>
      </c>
    </row>
    <row r="65" spans="1:6" x14ac:dyDescent="0.35">
      <c r="A65">
        <v>7</v>
      </c>
      <c r="B65">
        <v>4</v>
      </c>
      <c r="D65" s="4">
        <v>20</v>
      </c>
      <c r="E65" s="4">
        <v>30</v>
      </c>
      <c r="F65" s="4">
        <v>40</v>
      </c>
    </row>
    <row r="66" spans="1:6" x14ac:dyDescent="0.35">
      <c r="A66">
        <v>7</v>
      </c>
      <c r="B66">
        <v>5</v>
      </c>
      <c r="D66" s="4">
        <v>0.01</v>
      </c>
      <c r="E66" s="4">
        <v>0.05</v>
      </c>
      <c r="F66" s="4">
        <v>0.1</v>
      </c>
    </row>
    <row r="67" spans="1:6" x14ac:dyDescent="0.35">
      <c r="A67">
        <v>7</v>
      </c>
      <c r="B67">
        <v>6</v>
      </c>
      <c r="D67" s="4">
        <v>50</v>
      </c>
      <c r="E67" s="4">
        <v>100</v>
      </c>
      <c r="F67" s="4">
        <v>200</v>
      </c>
    </row>
    <row r="68" spans="1:6" x14ac:dyDescent="0.35">
      <c r="A68">
        <v>7</v>
      </c>
      <c r="B68">
        <v>7</v>
      </c>
      <c r="D68" s="4">
        <v>1</v>
      </c>
      <c r="E68" s="4">
        <v>10</v>
      </c>
      <c r="F68" s="4">
        <v>50</v>
      </c>
    </row>
    <row r="69" spans="1:6" x14ac:dyDescent="0.35">
      <c r="A69">
        <v>7</v>
      </c>
      <c r="B69">
        <v>8</v>
      </c>
      <c r="D69" s="4">
        <v>0.1</v>
      </c>
      <c r="E69" s="4">
        <v>1</v>
      </c>
      <c r="F69" s="4">
        <v>10</v>
      </c>
    </row>
    <row r="70" spans="1:6" x14ac:dyDescent="0.35">
      <c r="A70">
        <v>7</v>
      </c>
      <c r="B70">
        <v>9</v>
      </c>
      <c r="D70" s="4">
        <v>50</v>
      </c>
      <c r="E70" s="4">
        <v>100</v>
      </c>
      <c r="F70" s="4">
        <v>150</v>
      </c>
    </row>
    <row r="71" spans="1:6" x14ac:dyDescent="0.35">
      <c r="A71">
        <v>7</v>
      </c>
      <c r="B71">
        <v>10</v>
      </c>
      <c r="D71" s="4">
        <v>300</v>
      </c>
      <c r="E71" s="4">
        <v>500</v>
      </c>
      <c r="F71" s="4">
        <v>700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63"/>
  <dimension ref="A1:H51"/>
  <sheetViews>
    <sheetView workbookViewId="0"/>
  </sheetViews>
  <sheetFormatPr defaultRowHeight="14.5" x14ac:dyDescent="0.35"/>
  <sheetData>
    <row r="1" spans="1:8" x14ac:dyDescent="0.35">
      <c r="A1" t="s">
        <v>338</v>
      </c>
      <c r="H1" t="s">
        <v>304</v>
      </c>
    </row>
    <row r="2" spans="1:8" x14ac:dyDescent="0.35">
      <c r="A2">
        <v>1</v>
      </c>
      <c r="B2">
        <v>1</v>
      </c>
      <c r="D2" s="4">
        <v>10</v>
      </c>
      <c r="E2" s="4">
        <v>20</v>
      </c>
      <c r="F2" s="4">
        <v>30</v>
      </c>
      <c r="H2" s="4">
        <v>-2.93</v>
      </c>
    </row>
    <row r="3" spans="1:8" x14ac:dyDescent="0.35">
      <c r="A3">
        <v>1</v>
      </c>
      <c r="B3">
        <v>2</v>
      </c>
      <c r="D3" s="4">
        <v>3</v>
      </c>
      <c r="E3" s="4">
        <v>10</v>
      </c>
      <c r="F3" s="4">
        <v>25</v>
      </c>
      <c r="H3" s="4">
        <v>-0.36</v>
      </c>
    </row>
    <row r="4" spans="1:8" x14ac:dyDescent="0.35">
      <c r="A4">
        <v>1</v>
      </c>
      <c r="B4">
        <v>3</v>
      </c>
      <c r="D4" s="4">
        <v>3</v>
      </c>
      <c r="E4" s="4">
        <v>12</v>
      </c>
      <c r="F4" s="4">
        <v>20</v>
      </c>
      <c r="H4" s="4">
        <v>6.96</v>
      </c>
    </row>
    <row r="5" spans="1:8" x14ac:dyDescent="0.35">
      <c r="A5">
        <v>1</v>
      </c>
      <c r="B5">
        <v>4</v>
      </c>
      <c r="D5" s="4">
        <v>-5</v>
      </c>
      <c r="E5" s="4">
        <v>8</v>
      </c>
      <c r="F5" s="4">
        <v>15</v>
      </c>
      <c r="H5" s="4">
        <v>2.87</v>
      </c>
    </row>
    <row r="6" spans="1:8" x14ac:dyDescent="0.35">
      <c r="A6">
        <v>1</v>
      </c>
      <c r="B6">
        <v>5</v>
      </c>
      <c r="D6" s="4">
        <v>-5</v>
      </c>
      <c r="E6" s="4">
        <v>5</v>
      </c>
      <c r="F6" s="4">
        <v>10</v>
      </c>
      <c r="H6" s="4">
        <v>-6.7</v>
      </c>
    </row>
    <row r="7" spans="1:8" x14ac:dyDescent="0.35">
      <c r="A7">
        <v>1</v>
      </c>
      <c r="B7">
        <v>6</v>
      </c>
      <c r="D7" s="4">
        <v>5</v>
      </c>
      <c r="E7" s="4">
        <v>12</v>
      </c>
      <c r="F7" s="4">
        <v>30</v>
      </c>
      <c r="H7" s="4">
        <v>-1.34</v>
      </c>
    </row>
    <row r="8" spans="1:8" x14ac:dyDescent="0.35">
      <c r="A8">
        <v>1</v>
      </c>
      <c r="B8">
        <v>7</v>
      </c>
      <c r="D8" s="4">
        <v>10</v>
      </c>
      <c r="E8" s="4">
        <v>20</v>
      </c>
      <c r="F8" s="4">
        <v>40</v>
      </c>
      <c r="H8" s="4">
        <v>-1.18</v>
      </c>
    </row>
    <row r="9" spans="1:8" x14ac:dyDescent="0.35">
      <c r="A9">
        <v>1</v>
      </c>
      <c r="B9">
        <v>8</v>
      </c>
      <c r="D9" s="4">
        <v>5</v>
      </c>
      <c r="E9" s="4">
        <v>12</v>
      </c>
      <c r="F9" s="4">
        <v>25</v>
      </c>
      <c r="H9" s="4">
        <v>6.38</v>
      </c>
    </row>
    <row r="10" spans="1:8" x14ac:dyDescent="0.35">
      <c r="A10">
        <v>1</v>
      </c>
      <c r="B10">
        <v>9</v>
      </c>
      <c r="D10" s="4">
        <v>5</v>
      </c>
      <c r="E10" s="4">
        <v>25</v>
      </c>
      <c r="F10" s="4">
        <v>50</v>
      </c>
      <c r="H10" s="4">
        <v>-7.4</v>
      </c>
    </row>
    <row r="11" spans="1:8" x14ac:dyDescent="0.35">
      <c r="A11">
        <v>1</v>
      </c>
      <c r="B11">
        <v>10</v>
      </c>
      <c r="D11" s="4">
        <v>3</v>
      </c>
      <c r="E11" s="4">
        <v>20</v>
      </c>
      <c r="F11" s="4">
        <v>40</v>
      </c>
      <c r="H11" s="4">
        <v>8.5</v>
      </c>
    </row>
    <row r="12" spans="1:8" x14ac:dyDescent="0.35">
      <c r="A12">
        <v>2</v>
      </c>
      <c r="B12">
        <v>1</v>
      </c>
      <c r="D12" s="4">
        <v>30</v>
      </c>
      <c r="E12" s="4">
        <v>35</v>
      </c>
      <c r="F12" s="4">
        <v>38</v>
      </c>
    </row>
    <row r="13" spans="1:8" x14ac:dyDescent="0.35">
      <c r="A13">
        <v>2</v>
      </c>
      <c r="B13">
        <v>2</v>
      </c>
      <c r="D13" s="4">
        <v>12</v>
      </c>
      <c r="E13" s="4">
        <v>14</v>
      </c>
      <c r="F13" s="4">
        <v>16</v>
      </c>
    </row>
    <row r="14" spans="1:8" x14ac:dyDescent="0.35">
      <c r="A14">
        <v>2</v>
      </c>
      <c r="B14">
        <v>3</v>
      </c>
      <c r="D14" s="4">
        <v>18</v>
      </c>
      <c r="E14" s="4">
        <v>25</v>
      </c>
      <c r="F14" s="4">
        <v>28</v>
      </c>
    </row>
    <row r="15" spans="1:8" x14ac:dyDescent="0.35">
      <c r="A15">
        <v>2</v>
      </c>
      <c r="B15">
        <v>4</v>
      </c>
      <c r="D15" s="4">
        <v>25</v>
      </c>
      <c r="E15" s="4">
        <v>30</v>
      </c>
      <c r="F15" s="4">
        <v>38</v>
      </c>
    </row>
    <row r="16" spans="1:8" x14ac:dyDescent="0.35">
      <c r="A16">
        <v>2</v>
      </c>
      <c r="B16">
        <v>5</v>
      </c>
      <c r="D16" s="4">
        <v>30</v>
      </c>
      <c r="E16" s="4">
        <v>33</v>
      </c>
      <c r="F16" s="4">
        <v>36</v>
      </c>
    </row>
    <row r="17" spans="1:6" x14ac:dyDescent="0.35">
      <c r="A17">
        <v>2</v>
      </c>
      <c r="B17">
        <v>6</v>
      </c>
      <c r="D17" s="4">
        <v>35</v>
      </c>
      <c r="E17" s="4">
        <v>40</v>
      </c>
      <c r="F17" s="4">
        <v>45</v>
      </c>
    </row>
    <row r="18" spans="1:6" x14ac:dyDescent="0.35">
      <c r="A18">
        <v>2</v>
      </c>
      <c r="B18">
        <v>7</v>
      </c>
      <c r="D18" s="4">
        <v>25</v>
      </c>
      <c r="E18" s="4">
        <v>35</v>
      </c>
      <c r="F18" s="4">
        <v>40</v>
      </c>
    </row>
    <row r="19" spans="1:6" x14ac:dyDescent="0.35">
      <c r="A19">
        <v>2</v>
      </c>
      <c r="B19">
        <v>8</v>
      </c>
      <c r="D19" s="4">
        <v>15</v>
      </c>
      <c r="E19" s="4">
        <v>18</v>
      </c>
      <c r="F19" s="4">
        <v>25</v>
      </c>
    </row>
    <row r="20" spans="1:6" x14ac:dyDescent="0.35">
      <c r="A20">
        <v>2</v>
      </c>
      <c r="B20">
        <v>9</v>
      </c>
      <c r="D20" s="4">
        <v>1</v>
      </c>
      <c r="E20" s="4">
        <v>3</v>
      </c>
      <c r="F20" s="4">
        <v>6</v>
      </c>
    </row>
    <row r="21" spans="1:6" x14ac:dyDescent="0.35">
      <c r="A21">
        <v>2</v>
      </c>
      <c r="B21">
        <v>10</v>
      </c>
      <c r="D21" s="4">
        <v>8</v>
      </c>
      <c r="E21" s="4">
        <v>12</v>
      </c>
      <c r="F21" s="4">
        <v>20</v>
      </c>
    </row>
    <row r="22" spans="1:6" x14ac:dyDescent="0.35">
      <c r="A22">
        <v>3</v>
      </c>
      <c r="B22">
        <v>1</v>
      </c>
      <c r="D22" s="4">
        <v>15</v>
      </c>
      <c r="E22" s="4">
        <v>40</v>
      </c>
      <c r="F22" s="4">
        <v>55</v>
      </c>
    </row>
    <row r="23" spans="1:6" x14ac:dyDescent="0.35">
      <c r="A23">
        <v>3</v>
      </c>
      <c r="B23">
        <v>2</v>
      </c>
      <c r="D23" s="4">
        <v>10</v>
      </c>
      <c r="E23" s="4">
        <v>30</v>
      </c>
      <c r="F23" s="4">
        <v>45</v>
      </c>
    </row>
    <row r="24" spans="1:6" x14ac:dyDescent="0.35">
      <c r="A24">
        <v>3</v>
      </c>
      <c r="B24">
        <v>3</v>
      </c>
      <c r="D24" s="4">
        <v>10</v>
      </c>
      <c r="E24" s="4">
        <v>20</v>
      </c>
      <c r="F24" s="4">
        <v>40</v>
      </c>
    </row>
    <row r="25" spans="1:6" x14ac:dyDescent="0.35">
      <c r="A25">
        <v>3</v>
      </c>
      <c r="B25">
        <v>4</v>
      </c>
      <c r="D25" s="4">
        <v>2</v>
      </c>
      <c r="E25" s="4">
        <v>10</v>
      </c>
      <c r="F25" s="4">
        <v>20</v>
      </c>
    </row>
    <row r="26" spans="1:6" x14ac:dyDescent="0.35">
      <c r="A26">
        <v>3</v>
      </c>
      <c r="B26">
        <v>5</v>
      </c>
      <c r="D26" s="4">
        <v>5</v>
      </c>
      <c r="E26" s="4">
        <v>15</v>
      </c>
      <c r="F26" s="4">
        <v>25</v>
      </c>
    </row>
    <row r="27" spans="1:6" x14ac:dyDescent="0.35">
      <c r="A27">
        <v>3</v>
      </c>
      <c r="B27">
        <v>6</v>
      </c>
      <c r="D27" s="4">
        <v>10</v>
      </c>
      <c r="E27" s="4">
        <v>25</v>
      </c>
      <c r="F27" s="4">
        <v>35</v>
      </c>
    </row>
    <row r="28" spans="1:6" x14ac:dyDescent="0.35">
      <c r="A28">
        <v>3</v>
      </c>
      <c r="B28">
        <v>7</v>
      </c>
      <c r="D28" s="4">
        <v>25</v>
      </c>
      <c r="E28" s="4">
        <v>50</v>
      </c>
      <c r="F28" s="4">
        <v>75</v>
      </c>
    </row>
    <row r="29" spans="1:6" x14ac:dyDescent="0.35">
      <c r="A29">
        <v>3</v>
      </c>
      <c r="B29">
        <v>8</v>
      </c>
      <c r="D29" s="4">
        <v>5</v>
      </c>
      <c r="E29" s="4">
        <v>15</v>
      </c>
      <c r="F29" s="4">
        <v>25</v>
      </c>
    </row>
    <row r="30" spans="1:6" x14ac:dyDescent="0.35">
      <c r="A30">
        <v>3</v>
      </c>
      <c r="B30">
        <v>9</v>
      </c>
      <c r="D30" s="4">
        <v>5</v>
      </c>
      <c r="E30" s="4">
        <v>15</v>
      </c>
      <c r="F30" s="4">
        <v>25</v>
      </c>
    </row>
    <row r="31" spans="1:6" x14ac:dyDescent="0.35">
      <c r="A31">
        <v>3</v>
      </c>
      <c r="B31">
        <v>10</v>
      </c>
      <c r="D31" s="4">
        <v>5</v>
      </c>
      <c r="E31" s="4">
        <v>20</v>
      </c>
      <c r="F31" s="4">
        <v>35</v>
      </c>
    </row>
    <row r="32" spans="1:6" x14ac:dyDescent="0.35">
      <c r="A32">
        <v>4</v>
      </c>
      <c r="B32">
        <v>1</v>
      </c>
      <c r="D32" s="4">
        <v>5</v>
      </c>
      <c r="E32" s="4">
        <v>7</v>
      </c>
      <c r="F32" s="4">
        <v>10</v>
      </c>
    </row>
    <row r="33" spans="1:6" x14ac:dyDescent="0.35">
      <c r="A33">
        <v>4</v>
      </c>
      <c r="B33">
        <v>2</v>
      </c>
      <c r="D33" s="4">
        <v>5</v>
      </c>
      <c r="E33" s="4">
        <v>8</v>
      </c>
      <c r="F33" s="4">
        <v>15</v>
      </c>
    </row>
    <row r="34" spans="1:6" x14ac:dyDescent="0.35">
      <c r="A34">
        <v>4</v>
      </c>
      <c r="B34">
        <v>3</v>
      </c>
      <c r="D34" s="4">
        <v>10</v>
      </c>
      <c r="E34" s="4">
        <v>14</v>
      </c>
      <c r="F34" s="4">
        <v>20</v>
      </c>
    </row>
    <row r="35" spans="1:6" x14ac:dyDescent="0.35">
      <c r="A35">
        <v>4</v>
      </c>
      <c r="B35">
        <v>4</v>
      </c>
      <c r="D35" s="4">
        <v>-10</v>
      </c>
      <c r="E35" s="4">
        <v>-7</v>
      </c>
      <c r="F35" s="4">
        <v>-5</v>
      </c>
    </row>
    <row r="36" spans="1:6" x14ac:dyDescent="0.35">
      <c r="A36">
        <v>4</v>
      </c>
      <c r="B36">
        <v>5</v>
      </c>
      <c r="D36" s="4">
        <v>3</v>
      </c>
      <c r="E36" s="4">
        <v>4</v>
      </c>
      <c r="F36" s="4">
        <v>5</v>
      </c>
    </row>
    <row r="37" spans="1:6" x14ac:dyDescent="0.35">
      <c r="A37">
        <v>4</v>
      </c>
      <c r="B37">
        <v>6</v>
      </c>
      <c r="D37" s="4">
        <v>2</v>
      </c>
      <c r="E37" s="4">
        <v>3</v>
      </c>
      <c r="F37" s="4">
        <v>5</v>
      </c>
    </row>
    <row r="38" spans="1:6" x14ac:dyDescent="0.35">
      <c r="A38">
        <v>4</v>
      </c>
      <c r="B38">
        <v>7</v>
      </c>
      <c r="D38" s="4">
        <v>5</v>
      </c>
      <c r="E38" s="4">
        <v>7</v>
      </c>
      <c r="F38" s="4">
        <v>10</v>
      </c>
    </row>
    <row r="39" spans="1:6" x14ac:dyDescent="0.35">
      <c r="A39">
        <v>4</v>
      </c>
      <c r="B39">
        <v>8</v>
      </c>
      <c r="D39" s="4">
        <v>6</v>
      </c>
      <c r="E39" s="4">
        <v>8</v>
      </c>
      <c r="F39" s="4">
        <v>12</v>
      </c>
    </row>
    <row r="40" spans="1:6" x14ac:dyDescent="0.35">
      <c r="A40">
        <v>4</v>
      </c>
      <c r="B40">
        <v>9</v>
      </c>
      <c r="D40" s="4">
        <v>5</v>
      </c>
      <c r="E40" s="4">
        <v>20</v>
      </c>
      <c r="F40" s="4">
        <v>30</v>
      </c>
    </row>
    <row r="41" spans="1:6" x14ac:dyDescent="0.35">
      <c r="A41">
        <v>4</v>
      </c>
      <c r="B41">
        <v>10</v>
      </c>
      <c r="D41" s="4">
        <v>5</v>
      </c>
      <c r="E41" s="4">
        <v>20</v>
      </c>
      <c r="F41" s="4">
        <v>30</v>
      </c>
    </row>
    <row r="42" spans="1:6" x14ac:dyDescent="0.35">
      <c r="A42">
        <v>5</v>
      </c>
      <c r="B42">
        <v>1</v>
      </c>
      <c r="D42" s="4">
        <v>2</v>
      </c>
      <c r="E42" s="4">
        <v>8</v>
      </c>
      <c r="F42" s="4">
        <v>15</v>
      </c>
    </row>
    <row r="43" spans="1:6" x14ac:dyDescent="0.35">
      <c r="A43">
        <v>5</v>
      </c>
      <c r="B43">
        <v>2</v>
      </c>
      <c r="D43" s="4">
        <v>0</v>
      </c>
      <c r="E43" s="4">
        <v>4</v>
      </c>
      <c r="F43" s="4">
        <v>8</v>
      </c>
    </row>
    <row r="44" spans="1:6" x14ac:dyDescent="0.35">
      <c r="A44">
        <v>5</v>
      </c>
      <c r="B44">
        <v>3</v>
      </c>
      <c r="D44" s="4">
        <v>1</v>
      </c>
      <c r="E44" s="4">
        <v>5</v>
      </c>
      <c r="F44" s="4">
        <v>15</v>
      </c>
    </row>
    <row r="45" spans="1:6" x14ac:dyDescent="0.35">
      <c r="A45">
        <v>5</v>
      </c>
      <c r="B45">
        <v>4</v>
      </c>
      <c r="D45" s="4">
        <v>-6</v>
      </c>
      <c r="E45" s="4">
        <v>-2</v>
      </c>
      <c r="F45" s="4">
        <v>6</v>
      </c>
    </row>
    <row r="46" spans="1:6" x14ac:dyDescent="0.35">
      <c r="A46">
        <v>5</v>
      </c>
      <c r="B46">
        <v>5</v>
      </c>
      <c r="D46" s="4">
        <v>0</v>
      </c>
      <c r="E46" s="4">
        <v>5</v>
      </c>
      <c r="F46" s="4">
        <v>12</v>
      </c>
    </row>
    <row r="47" spans="1:6" x14ac:dyDescent="0.35">
      <c r="A47">
        <v>5</v>
      </c>
      <c r="B47">
        <v>6</v>
      </c>
      <c r="D47" s="4">
        <v>-1</v>
      </c>
      <c r="E47" s="4">
        <v>5</v>
      </c>
      <c r="F47" s="4">
        <v>15</v>
      </c>
    </row>
    <row r="48" spans="1:6" x14ac:dyDescent="0.35">
      <c r="A48">
        <v>5</v>
      </c>
      <c r="B48">
        <v>7</v>
      </c>
      <c r="D48" s="4">
        <v>1</v>
      </c>
      <c r="E48" s="4">
        <v>8</v>
      </c>
      <c r="F48" s="4">
        <v>20</v>
      </c>
    </row>
    <row r="49" spans="1:6" x14ac:dyDescent="0.35">
      <c r="A49">
        <v>5</v>
      </c>
      <c r="B49">
        <v>8</v>
      </c>
      <c r="D49" s="4">
        <v>1</v>
      </c>
      <c r="E49" s="4">
        <v>6</v>
      </c>
      <c r="F49" s="4">
        <v>15</v>
      </c>
    </row>
    <row r="50" spans="1:6" x14ac:dyDescent="0.35">
      <c r="A50">
        <v>5</v>
      </c>
      <c r="B50">
        <v>9</v>
      </c>
      <c r="D50" s="4">
        <v>1</v>
      </c>
      <c r="E50" s="4">
        <v>8</v>
      </c>
      <c r="F50" s="4">
        <v>15</v>
      </c>
    </row>
    <row r="51" spans="1:6" x14ac:dyDescent="0.35">
      <c r="A51">
        <v>5</v>
      </c>
      <c r="B51">
        <v>10</v>
      </c>
      <c r="D51" s="4">
        <v>2</v>
      </c>
      <c r="E51" s="4">
        <v>10</v>
      </c>
      <c r="F51" s="4">
        <v>18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42"/>
  <dimension ref="A1:H211"/>
  <sheetViews>
    <sheetView workbookViewId="0"/>
  </sheetViews>
  <sheetFormatPr defaultRowHeight="14.5" x14ac:dyDescent="0.35"/>
  <sheetData>
    <row r="1" spans="1:8" x14ac:dyDescent="0.35">
      <c r="A1" t="s">
        <v>129</v>
      </c>
      <c r="H1" t="s">
        <v>58</v>
      </c>
    </row>
    <row r="2" spans="1:8" x14ac:dyDescent="0.35">
      <c r="A2">
        <v>1</v>
      </c>
      <c r="B2">
        <v>1</v>
      </c>
      <c r="C2">
        <v>1</v>
      </c>
      <c r="D2" s="4">
        <v>7000000</v>
      </c>
      <c r="E2" s="4">
        <v>10000000</v>
      </c>
      <c r="F2" s="4">
        <v>14000000</v>
      </c>
      <c r="H2" s="4">
        <v>4200000</v>
      </c>
    </row>
    <row r="3" spans="1:8" x14ac:dyDescent="0.35">
      <c r="A3">
        <v>1</v>
      </c>
      <c r="B3">
        <v>2</v>
      </c>
      <c r="C3">
        <v>2</v>
      </c>
      <c r="D3" s="4">
        <v>100000</v>
      </c>
      <c r="E3" s="4">
        <v>250000</v>
      </c>
      <c r="F3" s="4">
        <v>500000</v>
      </c>
      <c r="H3" s="4">
        <v>169000</v>
      </c>
    </row>
    <row r="4" spans="1:8" x14ac:dyDescent="0.35">
      <c r="A4">
        <v>1</v>
      </c>
      <c r="B4">
        <v>3</v>
      </c>
      <c r="C4">
        <v>3</v>
      </c>
      <c r="D4" s="4">
        <v>2000000</v>
      </c>
      <c r="E4" s="4">
        <v>3000000</v>
      </c>
      <c r="F4" s="4">
        <v>5000000</v>
      </c>
      <c r="H4" s="4">
        <v>3802000</v>
      </c>
    </row>
    <row r="5" spans="1:8" x14ac:dyDescent="0.35">
      <c r="A5">
        <v>1</v>
      </c>
      <c r="B5">
        <v>4</v>
      </c>
      <c r="C5">
        <v>4</v>
      </c>
      <c r="D5" s="4">
        <v>600000</v>
      </c>
      <c r="E5" s="4">
        <v>750000</v>
      </c>
      <c r="F5" s="4">
        <v>1000000</v>
      </c>
      <c r="H5" s="4">
        <v>8987000</v>
      </c>
    </row>
    <row r="6" spans="1:8" x14ac:dyDescent="0.35">
      <c r="A6">
        <v>1</v>
      </c>
      <c r="B6">
        <v>5</v>
      </c>
      <c r="C6">
        <v>5</v>
      </c>
      <c r="D6" s="4">
        <v>25</v>
      </c>
      <c r="E6" s="4">
        <v>60</v>
      </c>
      <c r="F6" s="4">
        <v>100</v>
      </c>
      <c r="H6" s="4">
        <v>597</v>
      </c>
    </row>
    <row r="7" spans="1:8" x14ac:dyDescent="0.35">
      <c r="A7">
        <v>1</v>
      </c>
      <c r="B7">
        <v>6</v>
      </c>
      <c r="C7">
        <v>7</v>
      </c>
      <c r="D7" s="4">
        <v>1000</v>
      </c>
      <c r="E7" s="4">
        <v>3000</v>
      </c>
      <c r="F7" s="4">
        <v>5000</v>
      </c>
      <c r="H7" s="4">
        <v>2851</v>
      </c>
    </row>
    <row r="8" spans="1:8" x14ac:dyDescent="0.35">
      <c r="A8">
        <v>1</v>
      </c>
      <c r="B8">
        <v>7</v>
      </c>
      <c r="C8">
        <v>8</v>
      </c>
      <c r="D8" s="4">
        <v>1500</v>
      </c>
      <c r="E8" s="4">
        <v>4000</v>
      </c>
      <c r="F8" s="4">
        <v>7000</v>
      </c>
      <c r="H8" s="4">
        <v>2257</v>
      </c>
    </row>
    <row r="9" spans="1:8" x14ac:dyDescent="0.35">
      <c r="A9">
        <v>1</v>
      </c>
      <c r="B9">
        <v>8</v>
      </c>
      <c r="C9">
        <v>9</v>
      </c>
      <c r="D9" s="4">
        <v>3</v>
      </c>
      <c r="E9" s="4">
        <v>10</v>
      </c>
      <c r="F9" s="4">
        <v>25</v>
      </c>
      <c r="H9" s="4">
        <v>11.9</v>
      </c>
    </row>
    <row r="10" spans="1:8" x14ac:dyDescent="0.35">
      <c r="A10">
        <v>1</v>
      </c>
      <c r="B10">
        <v>9</v>
      </c>
      <c r="C10">
        <v>10</v>
      </c>
      <c r="D10" s="4">
        <v>0.5</v>
      </c>
      <c r="E10" s="4">
        <v>1</v>
      </c>
      <c r="F10" s="4">
        <v>10</v>
      </c>
      <c r="H10" s="4">
        <v>12.9</v>
      </c>
    </row>
    <row r="11" spans="1:8" x14ac:dyDescent="0.35">
      <c r="A11">
        <v>1</v>
      </c>
      <c r="B11">
        <v>10</v>
      </c>
      <c r="C11">
        <v>11</v>
      </c>
      <c r="D11" s="4">
        <v>50</v>
      </c>
      <c r="E11" s="4">
        <v>100</v>
      </c>
      <c r="F11" s="4">
        <v>250</v>
      </c>
      <c r="H11" s="4">
        <v>11.5</v>
      </c>
    </row>
    <row r="12" spans="1:8" x14ac:dyDescent="0.35">
      <c r="A12">
        <v>1</v>
      </c>
      <c r="B12">
        <v>11</v>
      </c>
      <c r="C12">
        <v>12</v>
      </c>
      <c r="D12" s="4">
        <v>10</v>
      </c>
      <c r="E12" s="4">
        <v>50</v>
      </c>
      <c r="F12" s="4">
        <v>100</v>
      </c>
      <c r="H12" s="4">
        <v>5</v>
      </c>
    </row>
    <row r="13" spans="1:8" x14ac:dyDescent="0.35">
      <c r="A13">
        <v>1</v>
      </c>
      <c r="B13">
        <v>12</v>
      </c>
      <c r="C13">
        <v>13</v>
      </c>
      <c r="D13" s="4">
        <v>50</v>
      </c>
      <c r="E13" s="4">
        <v>75</v>
      </c>
      <c r="F13" s="4">
        <v>95</v>
      </c>
      <c r="H13" s="4">
        <v>94</v>
      </c>
    </row>
    <row r="14" spans="1:8" x14ac:dyDescent="0.35">
      <c r="A14">
        <v>1</v>
      </c>
      <c r="B14">
        <v>13</v>
      </c>
      <c r="C14">
        <v>15</v>
      </c>
      <c r="D14" s="4">
        <v>7</v>
      </c>
      <c r="E14" s="4">
        <v>10</v>
      </c>
      <c r="F14" s="4">
        <v>21</v>
      </c>
      <c r="H14" s="4">
        <v>42</v>
      </c>
    </row>
    <row r="15" spans="1:8" x14ac:dyDescent="0.35">
      <c r="A15">
        <v>1</v>
      </c>
      <c r="B15">
        <v>14</v>
      </c>
      <c r="C15">
        <v>17</v>
      </c>
      <c r="D15" s="4">
        <v>1.333</v>
      </c>
      <c r="E15" s="4">
        <v>2</v>
      </c>
      <c r="F15" s="4">
        <v>2.5</v>
      </c>
      <c r="H15" s="4">
        <v>5</v>
      </c>
    </row>
    <row r="16" spans="1:8" x14ac:dyDescent="0.35">
      <c r="A16">
        <v>1</v>
      </c>
      <c r="B16">
        <v>15</v>
      </c>
      <c r="C16">
        <v>18</v>
      </c>
      <c r="D16" s="4">
        <v>2.5</v>
      </c>
      <c r="E16" s="4">
        <v>4</v>
      </c>
      <c r="F16" s="4">
        <v>7.5</v>
      </c>
      <c r="H16" s="4">
        <v>8.1</v>
      </c>
    </row>
    <row r="17" spans="1:6" x14ac:dyDescent="0.35">
      <c r="A17">
        <v>2</v>
      </c>
      <c r="B17">
        <v>1</v>
      </c>
      <c r="C17">
        <v>1</v>
      </c>
      <c r="D17" s="4">
        <v>250000</v>
      </c>
      <c r="E17" s="4">
        <v>1500000</v>
      </c>
      <c r="F17" s="4">
        <v>3500000</v>
      </c>
    </row>
    <row r="18" spans="1:6" x14ac:dyDescent="0.35">
      <c r="A18">
        <v>2</v>
      </c>
      <c r="B18">
        <v>2</v>
      </c>
      <c r="C18">
        <v>2</v>
      </c>
      <c r="D18" s="4">
        <v>200</v>
      </c>
      <c r="E18" s="4">
        <v>500</v>
      </c>
      <c r="F18" s="4">
        <v>12000</v>
      </c>
    </row>
    <row r="19" spans="1:6" x14ac:dyDescent="0.35">
      <c r="A19">
        <v>2</v>
      </c>
      <c r="B19">
        <v>3</v>
      </c>
      <c r="C19">
        <v>3</v>
      </c>
      <c r="D19" s="4">
        <v>3000000</v>
      </c>
      <c r="E19" s="4">
        <v>5500000</v>
      </c>
      <c r="F19" s="4">
        <v>8000000</v>
      </c>
    </row>
    <row r="20" spans="1:6" x14ac:dyDescent="0.35">
      <c r="A20">
        <v>2</v>
      </c>
      <c r="B20">
        <v>4</v>
      </c>
      <c r="C20">
        <v>4</v>
      </c>
      <c r="D20" s="4">
        <v>10000000</v>
      </c>
      <c r="E20" s="4">
        <v>12000000</v>
      </c>
      <c r="F20" s="4">
        <v>14000000</v>
      </c>
    </row>
    <row r="21" spans="1:6" x14ac:dyDescent="0.35">
      <c r="A21">
        <v>2</v>
      </c>
      <c r="B21">
        <v>5</v>
      </c>
      <c r="C21">
        <v>5</v>
      </c>
      <c r="D21" s="4">
        <v>450</v>
      </c>
      <c r="E21" s="4">
        <v>550</v>
      </c>
      <c r="F21" s="4">
        <v>650</v>
      </c>
    </row>
    <row r="22" spans="1:6" x14ac:dyDescent="0.35">
      <c r="A22">
        <v>2</v>
      </c>
      <c r="B22">
        <v>6</v>
      </c>
      <c r="C22">
        <v>7</v>
      </c>
      <c r="D22" s="4">
        <v>500</v>
      </c>
      <c r="E22" s="4">
        <v>3000</v>
      </c>
      <c r="F22" s="4">
        <v>10000</v>
      </c>
    </row>
    <row r="23" spans="1:6" x14ac:dyDescent="0.35">
      <c r="A23">
        <v>2</v>
      </c>
      <c r="B23">
        <v>7</v>
      </c>
      <c r="C23">
        <v>8</v>
      </c>
      <c r="D23" s="4">
        <v>1000</v>
      </c>
      <c r="E23" s="4">
        <v>2500</v>
      </c>
      <c r="F23" s="4">
        <v>10000</v>
      </c>
    </row>
    <row r="24" spans="1:6" x14ac:dyDescent="0.35">
      <c r="A24">
        <v>2</v>
      </c>
      <c r="B24">
        <v>8</v>
      </c>
      <c r="C24">
        <v>9</v>
      </c>
      <c r="D24" s="4">
        <v>5</v>
      </c>
      <c r="E24" s="4">
        <v>35</v>
      </c>
      <c r="F24" s="4">
        <v>80</v>
      </c>
    </row>
    <row r="25" spans="1:6" x14ac:dyDescent="0.35">
      <c r="A25">
        <v>2</v>
      </c>
      <c r="B25">
        <v>9</v>
      </c>
      <c r="C25">
        <v>10</v>
      </c>
      <c r="D25" s="4">
        <v>1</v>
      </c>
      <c r="E25" s="4">
        <v>5</v>
      </c>
      <c r="F25" s="4">
        <v>25</v>
      </c>
    </row>
    <row r="26" spans="1:6" x14ac:dyDescent="0.35">
      <c r="A26">
        <v>2</v>
      </c>
      <c r="B26">
        <v>10</v>
      </c>
      <c r="C26">
        <v>11</v>
      </c>
      <c r="D26" s="4">
        <v>5</v>
      </c>
      <c r="E26" s="4">
        <v>12</v>
      </c>
      <c r="F26" s="4">
        <v>30</v>
      </c>
    </row>
    <row r="27" spans="1:6" x14ac:dyDescent="0.35">
      <c r="A27">
        <v>2</v>
      </c>
      <c r="B27">
        <v>11</v>
      </c>
      <c r="C27">
        <v>12</v>
      </c>
      <c r="D27" s="4">
        <v>2</v>
      </c>
      <c r="E27" s="4">
        <v>15</v>
      </c>
      <c r="F27" s="4">
        <v>50</v>
      </c>
    </row>
    <row r="28" spans="1:6" x14ac:dyDescent="0.35">
      <c r="A28">
        <v>2</v>
      </c>
      <c r="B28">
        <v>12</v>
      </c>
      <c r="C28">
        <v>13</v>
      </c>
      <c r="D28" s="4">
        <v>10</v>
      </c>
      <c r="E28" s="4">
        <v>50</v>
      </c>
      <c r="F28" s="4">
        <v>80</v>
      </c>
    </row>
    <row r="29" spans="1:6" x14ac:dyDescent="0.35">
      <c r="A29">
        <v>2</v>
      </c>
      <c r="B29">
        <v>13</v>
      </c>
      <c r="C29">
        <v>15</v>
      </c>
      <c r="D29" s="4">
        <v>2</v>
      </c>
      <c r="E29" s="4">
        <v>4</v>
      </c>
      <c r="F29" s="4">
        <v>7</v>
      </c>
    </row>
    <row r="30" spans="1:6" x14ac:dyDescent="0.35">
      <c r="A30">
        <v>2</v>
      </c>
      <c r="B30">
        <v>14</v>
      </c>
      <c r="C30">
        <v>17</v>
      </c>
      <c r="D30" s="4">
        <v>0</v>
      </c>
      <c r="E30" s="4">
        <v>1.1000000000000001</v>
      </c>
      <c r="F30" s="4">
        <v>1.25</v>
      </c>
    </row>
    <row r="31" spans="1:6" x14ac:dyDescent="0.35">
      <c r="A31">
        <v>2</v>
      </c>
      <c r="B31">
        <v>15</v>
      </c>
      <c r="C31">
        <v>18</v>
      </c>
      <c r="D31" s="4">
        <v>3.8</v>
      </c>
      <c r="E31" s="4">
        <v>12.2</v>
      </c>
      <c r="F31" s="4">
        <v>16</v>
      </c>
    </row>
    <row r="32" spans="1:6" x14ac:dyDescent="0.35">
      <c r="A32">
        <v>3</v>
      </c>
      <c r="B32">
        <v>1</v>
      </c>
      <c r="C32">
        <v>1</v>
      </c>
      <c r="D32" s="4">
        <v>14000000</v>
      </c>
      <c r="E32" s="4">
        <v>15000000</v>
      </c>
      <c r="F32" s="4">
        <v>17000000</v>
      </c>
    </row>
    <row r="33" spans="1:6" x14ac:dyDescent="0.35">
      <c r="A33">
        <v>3</v>
      </c>
      <c r="B33">
        <v>2</v>
      </c>
      <c r="C33">
        <v>2</v>
      </c>
      <c r="D33" s="4">
        <v>6000</v>
      </c>
      <c r="E33" s="4">
        <v>8000</v>
      </c>
      <c r="F33" s="4">
        <v>15000</v>
      </c>
    </row>
    <row r="34" spans="1:6" x14ac:dyDescent="0.35">
      <c r="A34">
        <v>3</v>
      </c>
      <c r="B34">
        <v>3</v>
      </c>
      <c r="C34">
        <v>3</v>
      </c>
      <c r="D34" s="4">
        <v>10000000</v>
      </c>
      <c r="E34" s="4">
        <v>12000000</v>
      </c>
      <c r="F34" s="4">
        <v>15000000</v>
      </c>
    </row>
    <row r="35" spans="1:6" x14ac:dyDescent="0.35">
      <c r="A35">
        <v>3</v>
      </c>
      <c r="B35">
        <v>4</v>
      </c>
      <c r="C35">
        <v>4</v>
      </c>
      <c r="D35" s="4">
        <v>8500000</v>
      </c>
      <c r="E35" s="4">
        <v>9000000</v>
      </c>
      <c r="F35" s="4">
        <v>9500000</v>
      </c>
    </row>
    <row r="36" spans="1:6" x14ac:dyDescent="0.35">
      <c r="A36">
        <v>3</v>
      </c>
      <c r="B36">
        <v>5</v>
      </c>
      <c r="C36">
        <v>5</v>
      </c>
      <c r="D36" s="4">
        <v>700</v>
      </c>
      <c r="E36" s="4">
        <v>1200</v>
      </c>
      <c r="F36" s="4">
        <v>1500</v>
      </c>
    </row>
    <row r="37" spans="1:6" x14ac:dyDescent="0.35">
      <c r="A37">
        <v>3</v>
      </c>
      <c r="B37">
        <v>6</v>
      </c>
      <c r="C37">
        <v>7</v>
      </c>
      <c r="D37" s="4">
        <v>1000</v>
      </c>
      <c r="E37" s="4">
        <v>2000</v>
      </c>
      <c r="F37" s="4">
        <v>3000</v>
      </c>
    </row>
    <row r="38" spans="1:6" x14ac:dyDescent="0.35">
      <c r="A38">
        <v>3</v>
      </c>
      <c r="B38">
        <v>7</v>
      </c>
      <c r="C38">
        <v>8</v>
      </c>
      <c r="D38" s="4">
        <v>3000</v>
      </c>
      <c r="E38" s="4">
        <v>4000</v>
      </c>
      <c r="F38" s="4">
        <v>5000</v>
      </c>
    </row>
    <row r="39" spans="1:6" x14ac:dyDescent="0.35">
      <c r="A39">
        <v>3</v>
      </c>
      <c r="B39">
        <v>8</v>
      </c>
      <c r="C39">
        <v>9</v>
      </c>
      <c r="D39" s="4">
        <v>1</v>
      </c>
      <c r="E39" s="4">
        <v>3</v>
      </c>
      <c r="F39" s="4">
        <v>5</v>
      </c>
    </row>
    <row r="40" spans="1:6" x14ac:dyDescent="0.35">
      <c r="A40">
        <v>3</v>
      </c>
      <c r="B40">
        <v>9</v>
      </c>
      <c r="C40">
        <v>10</v>
      </c>
      <c r="D40" s="4">
        <v>3</v>
      </c>
      <c r="E40" s="4">
        <v>5</v>
      </c>
      <c r="F40" s="4">
        <v>7</v>
      </c>
    </row>
    <row r="41" spans="1:6" x14ac:dyDescent="0.35">
      <c r="A41">
        <v>3</v>
      </c>
      <c r="B41">
        <v>10</v>
      </c>
      <c r="C41">
        <v>11</v>
      </c>
      <c r="D41" s="4">
        <v>60</v>
      </c>
      <c r="E41" s="4">
        <v>70</v>
      </c>
      <c r="F41" s="4">
        <v>80</v>
      </c>
    </row>
    <row r="42" spans="1:6" x14ac:dyDescent="0.35">
      <c r="A42">
        <v>3</v>
      </c>
      <c r="B42">
        <v>11</v>
      </c>
      <c r="C42">
        <v>12</v>
      </c>
      <c r="D42" s="4">
        <v>35</v>
      </c>
      <c r="E42" s="4">
        <v>75</v>
      </c>
      <c r="F42" s="4">
        <v>105</v>
      </c>
    </row>
    <row r="43" spans="1:6" x14ac:dyDescent="0.35">
      <c r="A43">
        <v>3</v>
      </c>
      <c r="B43">
        <v>12</v>
      </c>
      <c r="C43">
        <v>13</v>
      </c>
      <c r="D43" s="4">
        <v>5</v>
      </c>
      <c r="E43" s="4">
        <v>15</v>
      </c>
      <c r="F43" s="4">
        <v>30</v>
      </c>
    </row>
    <row r="44" spans="1:6" x14ac:dyDescent="0.35">
      <c r="A44">
        <v>3</v>
      </c>
      <c r="B44">
        <v>13</v>
      </c>
      <c r="C44">
        <v>15</v>
      </c>
      <c r="D44" s="4">
        <v>3</v>
      </c>
      <c r="E44" s="4">
        <v>7</v>
      </c>
      <c r="F44" s="4">
        <v>10</v>
      </c>
    </row>
    <row r="45" spans="1:6" x14ac:dyDescent="0.35">
      <c r="A45">
        <v>3</v>
      </c>
      <c r="B45">
        <v>14</v>
      </c>
      <c r="C45">
        <v>17</v>
      </c>
      <c r="D45" s="4">
        <v>0.5</v>
      </c>
      <c r="E45" s="4">
        <v>1.3</v>
      </c>
      <c r="F45" s="4">
        <v>1.5</v>
      </c>
    </row>
    <row r="46" spans="1:6" x14ac:dyDescent="0.35">
      <c r="A46">
        <v>3</v>
      </c>
      <c r="B46">
        <v>15</v>
      </c>
      <c r="C46">
        <v>18</v>
      </c>
      <c r="D46" s="4">
        <v>20</v>
      </c>
      <c r="E46" s="4">
        <v>25</v>
      </c>
      <c r="F46" s="4">
        <v>35</v>
      </c>
    </row>
    <row r="47" spans="1:6" x14ac:dyDescent="0.35">
      <c r="A47">
        <v>4</v>
      </c>
      <c r="B47">
        <v>1</v>
      </c>
      <c r="C47">
        <v>1</v>
      </c>
      <c r="D47" s="4">
        <v>3000000</v>
      </c>
      <c r="E47" s="4">
        <v>9000000</v>
      </c>
      <c r="F47" s="4">
        <v>17600000</v>
      </c>
    </row>
    <row r="48" spans="1:6" x14ac:dyDescent="0.35">
      <c r="A48">
        <v>4</v>
      </c>
      <c r="B48">
        <v>2</v>
      </c>
      <c r="C48">
        <v>2</v>
      </c>
      <c r="D48" s="4">
        <v>500</v>
      </c>
      <c r="E48" s="4">
        <v>1000000</v>
      </c>
      <c r="F48" s="4">
        <v>2000000</v>
      </c>
    </row>
    <row r="49" spans="1:6" x14ac:dyDescent="0.35">
      <c r="A49">
        <v>4</v>
      </c>
      <c r="B49">
        <v>3</v>
      </c>
      <c r="C49">
        <v>3</v>
      </c>
      <c r="D49" s="4">
        <v>50000</v>
      </c>
      <c r="E49" s="4">
        <v>500000</v>
      </c>
      <c r="F49" s="4">
        <v>1200000</v>
      </c>
    </row>
    <row r="50" spans="1:6" x14ac:dyDescent="0.35">
      <c r="A50">
        <v>4</v>
      </c>
      <c r="B50">
        <v>4</v>
      </c>
      <c r="C50">
        <v>4</v>
      </c>
      <c r="D50" s="4">
        <v>3000000</v>
      </c>
      <c r="E50" s="4">
        <v>7000000</v>
      </c>
      <c r="F50" s="4">
        <v>10000000</v>
      </c>
    </row>
    <row r="51" spans="1:6" x14ac:dyDescent="0.35">
      <c r="A51">
        <v>4</v>
      </c>
      <c r="B51">
        <v>5</v>
      </c>
      <c r="C51">
        <v>5</v>
      </c>
      <c r="D51" s="4">
        <v>100</v>
      </c>
      <c r="E51" s="4">
        <v>250</v>
      </c>
      <c r="F51" s="4">
        <v>500</v>
      </c>
    </row>
    <row r="52" spans="1:6" x14ac:dyDescent="0.35">
      <c r="A52">
        <v>4</v>
      </c>
      <c r="B52">
        <v>6</v>
      </c>
      <c r="C52">
        <v>7</v>
      </c>
      <c r="D52" s="4">
        <v>500</v>
      </c>
      <c r="E52" s="4">
        <v>3000</v>
      </c>
      <c r="F52" s="4">
        <v>10000</v>
      </c>
    </row>
    <row r="53" spans="1:6" x14ac:dyDescent="0.35">
      <c r="A53">
        <v>4</v>
      </c>
      <c r="B53">
        <v>7</v>
      </c>
      <c r="C53">
        <v>8</v>
      </c>
      <c r="D53" s="4">
        <v>500</v>
      </c>
      <c r="E53" s="4">
        <v>3000</v>
      </c>
      <c r="F53" s="4">
        <v>6000</v>
      </c>
    </row>
    <row r="54" spans="1:6" x14ac:dyDescent="0.35">
      <c r="A54">
        <v>4</v>
      </c>
      <c r="B54">
        <v>8</v>
      </c>
      <c r="C54">
        <v>9</v>
      </c>
      <c r="D54" s="4">
        <v>10</v>
      </c>
      <c r="E54" s="4">
        <v>30</v>
      </c>
      <c r="F54" s="4">
        <v>70</v>
      </c>
    </row>
    <row r="55" spans="1:6" x14ac:dyDescent="0.35">
      <c r="A55">
        <v>4</v>
      </c>
      <c r="B55">
        <v>9</v>
      </c>
      <c r="C55">
        <v>10</v>
      </c>
      <c r="D55" s="4">
        <v>1</v>
      </c>
      <c r="E55" s="4">
        <v>10</v>
      </c>
      <c r="F55" s="4">
        <v>30</v>
      </c>
    </row>
    <row r="56" spans="1:6" x14ac:dyDescent="0.35">
      <c r="A56">
        <v>4</v>
      </c>
      <c r="B56">
        <v>10</v>
      </c>
      <c r="C56">
        <v>11</v>
      </c>
      <c r="D56" s="4">
        <v>10</v>
      </c>
      <c r="E56" s="4">
        <v>18</v>
      </c>
      <c r="F56" s="4">
        <v>25</v>
      </c>
    </row>
    <row r="57" spans="1:6" x14ac:dyDescent="0.35">
      <c r="A57">
        <v>4</v>
      </c>
      <c r="B57">
        <v>11</v>
      </c>
      <c r="C57">
        <v>12</v>
      </c>
      <c r="D57" s="4">
        <v>100</v>
      </c>
      <c r="E57" s="4">
        <v>1000</v>
      </c>
      <c r="F57" s="4">
        <v>3500</v>
      </c>
    </row>
    <row r="58" spans="1:6" x14ac:dyDescent="0.35">
      <c r="A58">
        <v>4</v>
      </c>
      <c r="B58">
        <v>12</v>
      </c>
      <c r="C58">
        <v>13</v>
      </c>
      <c r="D58" s="4">
        <v>5</v>
      </c>
      <c r="E58" s="4">
        <v>20</v>
      </c>
      <c r="F58" s="4">
        <v>80</v>
      </c>
    </row>
    <row r="59" spans="1:6" x14ac:dyDescent="0.35">
      <c r="A59">
        <v>4</v>
      </c>
      <c r="B59">
        <v>13</v>
      </c>
      <c r="C59">
        <v>15</v>
      </c>
      <c r="D59" s="4">
        <v>1</v>
      </c>
      <c r="E59" s="4">
        <v>7</v>
      </c>
      <c r="F59" s="4">
        <v>30</v>
      </c>
    </row>
    <row r="60" spans="1:6" x14ac:dyDescent="0.35">
      <c r="A60">
        <v>4</v>
      </c>
      <c r="B60">
        <v>14</v>
      </c>
      <c r="C60">
        <v>17</v>
      </c>
      <c r="D60" s="4">
        <v>1</v>
      </c>
      <c r="E60" s="4">
        <v>2</v>
      </c>
      <c r="F60" s="4">
        <v>5</v>
      </c>
    </row>
    <row r="61" spans="1:6" x14ac:dyDescent="0.35">
      <c r="A61">
        <v>4</v>
      </c>
      <c r="B61">
        <v>15</v>
      </c>
      <c r="C61">
        <v>18</v>
      </c>
      <c r="D61" s="4">
        <v>3</v>
      </c>
      <c r="E61" s="4">
        <v>6</v>
      </c>
      <c r="F61" s="4">
        <v>10</v>
      </c>
    </row>
    <row r="62" spans="1:6" x14ac:dyDescent="0.35">
      <c r="A62">
        <v>5</v>
      </c>
      <c r="B62">
        <v>1</v>
      </c>
      <c r="C62">
        <v>1</v>
      </c>
      <c r="D62" s="4">
        <v>25000000</v>
      </c>
      <c r="E62" s="4">
        <v>45000000</v>
      </c>
      <c r="F62" s="4">
        <v>150000000</v>
      </c>
    </row>
    <row r="63" spans="1:6" x14ac:dyDescent="0.35">
      <c r="A63">
        <v>5</v>
      </c>
      <c r="B63">
        <v>2</v>
      </c>
      <c r="C63">
        <v>2</v>
      </c>
      <c r="D63" s="4">
        <v>20000</v>
      </c>
      <c r="E63" s="4">
        <v>50000</v>
      </c>
      <c r="F63" s="4">
        <v>150000</v>
      </c>
    </row>
    <row r="64" spans="1:6" x14ac:dyDescent="0.35">
      <c r="A64">
        <v>5</v>
      </c>
      <c r="B64">
        <v>3</v>
      </c>
      <c r="C64">
        <v>3</v>
      </c>
      <c r="D64" s="4">
        <v>250000</v>
      </c>
      <c r="E64" s="4">
        <v>400000</v>
      </c>
      <c r="F64" s="4">
        <v>650000</v>
      </c>
    </row>
    <row r="65" spans="1:6" x14ac:dyDescent="0.35">
      <c r="A65">
        <v>5</v>
      </c>
      <c r="B65">
        <v>4</v>
      </c>
      <c r="C65">
        <v>4</v>
      </c>
      <c r="D65" s="4">
        <v>1500000</v>
      </c>
      <c r="E65" s="4">
        <v>2000000</v>
      </c>
      <c r="F65" s="4">
        <v>2200000</v>
      </c>
    </row>
    <row r="66" spans="1:6" x14ac:dyDescent="0.35">
      <c r="A66">
        <v>5</v>
      </c>
      <c r="B66">
        <v>5</v>
      </c>
      <c r="C66">
        <v>5</v>
      </c>
      <c r="D66" s="4">
        <v>1600</v>
      </c>
      <c r="E66" s="4">
        <v>2400</v>
      </c>
      <c r="F66" s="4">
        <v>3000</v>
      </c>
    </row>
    <row r="67" spans="1:6" x14ac:dyDescent="0.35">
      <c r="A67">
        <v>5</v>
      </c>
      <c r="B67">
        <v>6</v>
      </c>
      <c r="C67">
        <v>7</v>
      </c>
      <c r="D67" s="4">
        <v>1500</v>
      </c>
      <c r="E67" s="4">
        <v>3500</v>
      </c>
      <c r="F67" s="4">
        <v>4000</v>
      </c>
    </row>
    <row r="68" spans="1:6" x14ac:dyDescent="0.35">
      <c r="A68">
        <v>5</v>
      </c>
      <c r="B68">
        <v>7</v>
      </c>
      <c r="C68">
        <v>8</v>
      </c>
      <c r="D68" s="4">
        <v>7500</v>
      </c>
      <c r="E68" s="4">
        <v>15000</v>
      </c>
      <c r="F68" s="4">
        <v>20000</v>
      </c>
    </row>
    <row r="69" spans="1:6" x14ac:dyDescent="0.35">
      <c r="A69">
        <v>5</v>
      </c>
      <c r="B69">
        <v>8</v>
      </c>
      <c r="C69">
        <v>9</v>
      </c>
      <c r="D69" s="4">
        <v>20</v>
      </c>
      <c r="E69" s="4">
        <v>25</v>
      </c>
      <c r="F69" s="4">
        <v>35</v>
      </c>
    </row>
    <row r="70" spans="1:6" x14ac:dyDescent="0.35">
      <c r="A70">
        <v>5</v>
      </c>
      <c r="B70">
        <v>9</v>
      </c>
      <c r="C70">
        <v>10</v>
      </c>
      <c r="D70" s="4">
        <v>8</v>
      </c>
      <c r="E70" s="4">
        <v>13</v>
      </c>
      <c r="F70" s="4">
        <v>15</v>
      </c>
    </row>
    <row r="71" spans="1:6" x14ac:dyDescent="0.35">
      <c r="A71">
        <v>5</v>
      </c>
      <c r="B71">
        <v>10</v>
      </c>
      <c r="C71">
        <v>11</v>
      </c>
      <c r="D71" s="4">
        <v>25</v>
      </c>
      <c r="E71" s="4">
        <v>38</v>
      </c>
      <c r="F71" s="4">
        <v>60</v>
      </c>
    </row>
    <row r="72" spans="1:6" x14ac:dyDescent="0.35">
      <c r="A72">
        <v>5</v>
      </c>
      <c r="B72">
        <v>11</v>
      </c>
      <c r="C72">
        <v>12</v>
      </c>
      <c r="D72" s="4">
        <v>200</v>
      </c>
      <c r="E72" s="4">
        <v>600</v>
      </c>
      <c r="F72" s="4">
        <v>700</v>
      </c>
    </row>
    <row r="73" spans="1:6" x14ac:dyDescent="0.35">
      <c r="A73">
        <v>5</v>
      </c>
      <c r="B73">
        <v>12</v>
      </c>
      <c r="C73">
        <v>13</v>
      </c>
      <c r="D73" s="4">
        <v>65</v>
      </c>
      <c r="E73" s="4">
        <v>80</v>
      </c>
      <c r="F73" s="4">
        <v>85</v>
      </c>
    </row>
    <row r="74" spans="1:6" x14ac:dyDescent="0.35">
      <c r="A74">
        <v>5</v>
      </c>
      <c r="B74">
        <v>13</v>
      </c>
      <c r="C74">
        <v>15</v>
      </c>
      <c r="D74" s="4">
        <v>10</v>
      </c>
      <c r="E74" s="4">
        <v>14</v>
      </c>
      <c r="F74" s="4">
        <v>20</v>
      </c>
    </row>
    <row r="75" spans="1:6" x14ac:dyDescent="0.35">
      <c r="A75">
        <v>5</v>
      </c>
      <c r="B75">
        <v>14</v>
      </c>
      <c r="C75">
        <v>17</v>
      </c>
      <c r="D75" s="4">
        <v>2</v>
      </c>
      <c r="E75" s="4">
        <v>3</v>
      </c>
      <c r="F75" s="4">
        <v>5</v>
      </c>
    </row>
    <row r="76" spans="1:6" x14ac:dyDescent="0.35">
      <c r="A76">
        <v>5</v>
      </c>
      <c r="B76">
        <v>15</v>
      </c>
      <c r="C76">
        <v>18</v>
      </c>
      <c r="D76" s="4">
        <v>3.5</v>
      </c>
      <c r="E76" s="4">
        <v>3.8</v>
      </c>
      <c r="F76" s="4">
        <v>4</v>
      </c>
    </row>
    <row r="77" spans="1:6" x14ac:dyDescent="0.35">
      <c r="A77">
        <v>6</v>
      </c>
      <c r="B77">
        <v>1</v>
      </c>
      <c r="C77">
        <v>1</v>
      </c>
      <c r="D77" s="4">
        <v>1000000</v>
      </c>
      <c r="E77" s="4">
        <v>5000000</v>
      </c>
      <c r="F77" s="4">
        <v>15000000</v>
      </c>
    </row>
    <row r="78" spans="1:6" x14ac:dyDescent="0.35">
      <c r="A78">
        <v>6</v>
      </c>
      <c r="B78">
        <v>2</v>
      </c>
      <c r="C78">
        <v>2</v>
      </c>
      <c r="D78" s="4">
        <v>500</v>
      </c>
      <c r="E78" s="4">
        <v>25000</v>
      </c>
      <c r="F78" s="4">
        <v>1100000</v>
      </c>
    </row>
    <row r="79" spans="1:6" x14ac:dyDescent="0.35">
      <c r="A79">
        <v>6</v>
      </c>
      <c r="B79">
        <v>3</v>
      </c>
      <c r="C79">
        <v>3</v>
      </c>
      <c r="D79" s="4">
        <v>1000000</v>
      </c>
      <c r="E79" s="4">
        <v>10000000</v>
      </c>
      <c r="F79" s="4">
        <v>25000000</v>
      </c>
    </row>
    <row r="80" spans="1:6" x14ac:dyDescent="0.35">
      <c r="A80">
        <v>6</v>
      </c>
      <c r="B80">
        <v>4</v>
      </c>
      <c r="C80">
        <v>4</v>
      </c>
      <c r="D80" s="4">
        <v>7000000</v>
      </c>
      <c r="E80" s="4">
        <v>10000000</v>
      </c>
      <c r="F80" s="4">
        <v>25000000</v>
      </c>
    </row>
    <row r="81" spans="1:6" x14ac:dyDescent="0.35">
      <c r="A81">
        <v>6</v>
      </c>
      <c r="B81">
        <v>5</v>
      </c>
      <c r="C81">
        <v>5</v>
      </c>
      <c r="D81" s="4">
        <v>100</v>
      </c>
      <c r="E81" s="4">
        <v>500</v>
      </c>
      <c r="F81" s="4">
        <v>1000</v>
      </c>
    </row>
    <row r="82" spans="1:6" x14ac:dyDescent="0.35">
      <c r="A82">
        <v>6</v>
      </c>
      <c r="B82">
        <v>6</v>
      </c>
      <c r="C82">
        <v>7</v>
      </c>
      <c r="D82" s="4">
        <v>100</v>
      </c>
      <c r="E82" s="4">
        <v>2000</v>
      </c>
      <c r="F82" s="4">
        <v>5000</v>
      </c>
    </row>
    <row r="83" spans="1:6" x14ac:dyDescent="0.35">
      <c r="A83">
        <v>6</v>
      </c>
      <c r="B83">
        <v>7</v>
      </c>
      <c r="C83">
        <v>8</v>
      </c>
      <c r="D83" s="4">
        <v>500</v>
      </c>
      <c r="E83" s="4">
        <v>5000</v>
      </c>
      <c r="F83" s="4">
        <v>15000</v>
      </c>
    </row>
    <row r="84" spans="1:6" x14ac:dyDescent="0.35">
      <c r="A84">
        <v>6</v>
      </c>
      <c r="B84">
        <v>8</v>
      </c>
      <c r="C84">
        <v>9</v>
      </c>
      <c r="D84" s="4">
        <v>1</v>
      </c>
      <c r="E84" s="4">
        <v>10</v>
      </c>
      <c r="F84" s="4">
        <v>25</v>
      </c>
    </row>
    <row r="85" spans="1:6" x14ac:dyDescent="0.35">
      <c r="A85">
        <v>6</v>
      </c>
      <c r="B85">
        <v>9</v>
      </c>
      <c r="C85">
        <v>10</v>
      </c>
      <c r="D85" s="4">
        <v>0.1</v>
      </c>
      <c r="E85" s="4">
        <v>1</v>
      </c>
      <c r="F85" s="4">
        <v>10</v>
      </c>
    </row>
    <row r="86" spans="1:6" x14ac:dyDescent="0.35">
      <c r="A86">
        <v>6</v>
      </c>
      <c r="B86">
        <v>10</v>
      </c>
      <c r="C86">
        <v>11</v>
      </c>
      <c r="D86" s="4">
        <v>1</v>
      </c>
      <c r="E86" s="4">
        <v>16</v>
      </c>
      <c r="F86" s="4">
        <v>20</v>
      </c>
    </row>
    <row r="87" spans="1:6" x14ac:dyDescent="0.35">
      <c r="A87">
        <v>6</v>
      </c>
      <c r="B87">
        <v>11</v>
      </c>
      <c r="C87">
        <v>12</v>
      </c>
      <c r="D87" s="4">
        <v>15</v>
      </c>
      <c r="E87" s="4">
        <v>250</v>
      </c>
      <c r="F87" s="4">
        <v>1000</v>
      </c>
    </row>
    <row r="88" spans="1:6" x14ac:dyDescent="0.35">
      <c r="A88">
        <v>6</v>
      </c>
      <c r="B88">
        <v>12</v>
      </c>
      <c r="C88">
        <v>13</v>
      </c>
      <c r="D88" s="4">
        <v>20</v>
      </c>
      <c r="E88" s="4">
        <v>60</v>
      </c>
      <c r="F88" s="4">
        <v>99</v>
      </c>
    </row>
    <row r="89" spans="1:6" x14ac:dyDescent="0.35">
      <c r="A89">
        <v>6</v>
      </c>
      <c r="B89">
        <v>13</v>
      </c>
      <c r="C89">
        <v>15</v>
      </c>
      <c r="D89" s="4">
        <v>3.5</v>
      </c>
      <c r="E89" s="4">
        <v>14</v>
      </c>
      <c r="F89" s="4">
        <v>35</v>
      </c>
    </row>
    <row r="90" spans="1:6" x14ac:dyDescent="0.35">
      <c r="A90">
        <v>6</v>
      </c>
      <c r="B90">
        <v>14</v>
      </c>
      <c r="C90">
        <v>17</v>
      </c>
      <c r="D90" s="4">
        <v>1</v>
      </c>
      <c r="E90" s="4">
        <v>3</v>
      </c>
      <c r="F90" s="4">
        <v>20</v>
      </c>
    </row>
    <row r="91" spans="1:6" x14ac:dyDescent="0.35">
      <c r="A91">
        <v>6</v>
      </c>
      <c r="B91">
        <v>15</v>
      </c>
      <c r="C91">
        <v>18</v>
      </c>
      <c r="D91" s="4">
        <v>1</v>
      </c>
      <c r="E91" s="4">
        <v>15</v>
      </c>
      <c r="F91" s="4">
        <v>35</v>
      </c>
    </row>
    <row r="92" spans="1:6" x14ac:dyDescent="0.35">
      <c r="A92">
        <v>7</v>
      </c>
      <c r="B92">
        <v>1</v>
      </c>
      <c r="C92">
        <v>1</v>
      </c>
      <c r="D92" s="4">
        <v>500000</v>
      </c>
      <c r="E92" s="4">
        <v>2600000</v>
      </c>
      <c r="F92" s="4">
        <v>6000000</v>
      </c>
    </row>
    <row r="93" spans="1:6" x14ac:dyDescent="0.35">
      <c r="A93">
        <v>7</v>
      </c>
      <c r="B93">
        <v>2</v>
      </c>
      <c r="C93">
        <v>2</v>
      </c>
      <c r="D93" s="4">
        <v>500</v>
      </c>
      <c r="E93" s="4">
        <v>3000</v>
      </c>
      <c r="F93" s="4">
        <v>7000</v>
      </c>
    </row>
    <row r="94" spans="1:6" x14ac:dyDescent="0.35">
      <c r="A94">
        <v>7</v>
      </c>
      <c r="B94">
        <v>3</v>
      </c>
      <c r="C94">
        <v>3</v>
      </c>
      <c r="D94" s="4">
        <v>15000000</v>
      </c>
      <c r="E94" s="4">
        <v>28000000</v>
      </c>
      <c r="F94" s="4">
        <v>45000000</v>
      </c>
    </row>
    <row r="95" spans="1:6" x14ac:dyDescent="0.35">
      <c r="A95">
        <v>7</v>
      </c>
      <c r="B95">
        <v>4</v>
      </c>
      <c r="C95">
        <v>4</v>
      </c>
      <c r="D95" s="4">
        <v>3500000</v>
      </c>
      <c r="E95" s="4">
        <v>4500000</v>
      </c>
      <c r="F95" s="4">
        <v>7000000</v>
      </c>
    </row>
    <row r="96" spans="1:6" x14ac:dyDescent="0.35">
      <c r="A96">
        <v>7</v>
      </c>
      <c r="B96">
        <v>5</v>
      </c>
      <c r="C96">
        <v>5</v>
      </c>
      <c r="D96" s="4">
        <v>120</v>
      </c>
      <c r="E96" s="4">
        <v>180</v>
      </c>
      <c r="F96" s="4">
        <v>250</v>
      </c>
    </row>
    <row r="97" spans="1:6" x14ac:dyDescent="0.35">
      <c r="A97">
        <v>7</v>
      </c>
      <c r="B97">
        <v>6</v>
      </c>
      <c r="C97">
        <v>7</v>
      </c>
      <c r="D97" s="4">
        <v>500</v>
      </c>
      <c r="E97" s="4">
        <v>2600</v>
      </c>
      <c r="F97" s="4">
        <v>6000</v>
      </c>
    </row>
    <row r="98" spans="1:6" x14ac:dyDescent="0.35">
      <c r="A98">
        <v>7</v>
      </c>
      <c r="B98">
        <v>7</v>
      </c>
      <c r="C98">
        <v>8</v>
      </c>
      <c r="D98" s="4">
        <v>300</v>
      </c>
      <c r="E98" s="4">
        <v>2000</v>
      </c>
      <c r="F98" s="4">
        <v>5000</v>
      </c>
    </row>
    <row r="99" spans="1:6" x14ac:dyDescent="0.35">
      <c r="A99">
        <v>7</v>
      </c>
      <c r="B99">
        <v>8</v>
      </c>
      <c r="C99">
        <v>9</v>
      </c>
      <c r="D99" s="4">
        <v>5</v>
      </c>
      <c r="E99" s="4">
        <v>18</v>
      </c>
      <c r="F99" s="4">
        <v>40</v>
      </c>
    </row>
    <row r="100" spans="1:6" x14ac:dyDescent="0.35">
      <c r="A100">
        <v>7</v>
      </c>
      <c r="B100">
        <v>9</v>
      </c>
      <c r="C100">
        <v>10</v>
      </c>
      <c r="D100" s="4">
        <v>0.5</v>
      </c>
      <c r="E100" s="4">
        <v>3</v>
      </c>
      <c r="F100" s="4">
        <v>12</v>
      </c>
    </row>
    <row r="101" spans="1:6" x14ac:dyDescent="0.35">
      <c r="A101">
        <v>7</v>
      </c>
      <c r="B101">
        <v>10</v>
      </c>
      <c r="C101">
        <v>11</v>
      </c>
      <c r="D101" s="4">
        <v>10</v>
      </c>
      <c r="E101" s="4">
        <v>20</v>
      </c>
      <c r="F101" s="4">
        <v>40</v>
      </c>
    </row>
    <row r="102" spans="1:6" x14ac:dyDescent="0.35">
      <c r="A102">
        <v>7</v>
      </c>
      <c r="B102">
        <v>11</v>
      </c>
      <c r="C102">
        <v>12</v>
      </c>
      <c r="D102" s="4">
        <v>25</v>
      </c>
      <c r="E102" s="4">
        <v>150</v>
      </c>
      <c r="F102" s="4">
        <v>800</v>
      </c>
    </row>
    <row r="103" spans="1:6" x14ac:dyDescent="0.35">
      <c r="A103">
        <v>7</v>
      </c>
      <c r="B103">
        <v>12</v>
      </c>
      <c r="C103">
        <v>13</v>
      </c>
      <c r="D103" s="4">
        <v>85</v>
      </c>
      <c r="E103" s="4">
        <v>96</v>
      </c>
      <c r="F103" s="4">
        <v>99</v>
      </c>
    </row>
    <row r="104" spans="1:6" x14ac:dyDescent="0.35">
      <c r="A104">
        <v>7</v>
      </c>
      <c r="B104">
        <v>13</v>
      </c>
      <c r="C104">
        <v>15</v>
      </c>
      <c r="D104" s="4">
        <v>2</v>
      </c>
      <c r="E104" s="4">
        <v>7</v>
      </c>
      <c r="F104" s="4">
        <v>14</v>
      </c>
    </row>
    <row r="105" spans="1:6" x14ac:dyDescent="0.35">
      <c r="A105">
        <v>7</v>
      </c>
      <c r="B105">
        <v>14</v>
      </c>
      <c r="C105">
        <v>17</v>
      </c>
      <c r="D105" s="4">
        <v>2</v>
      </c>
      <c r="E105" s="4">
        <v>10</v>
      </c>
      <c r="F105" s="4">
        <v>30</v>
      </c>
    </row>
    <row r="106" spans="1:6" x14ac:dyDescent="0.35">
      <c r="A106">
        <v>7</v>
      </c>
      <c r="B106">
        <v>15</v>
      </c>
      <c r="C106">
        <v>18</v>
      </c>
      <c r="D106" s="4">
        <v>3</v>
      </c>
      <c r="E106" s="4">
        <v>3.5</v>
      </c>
      <c r="F106" s="4">
        <v>10</v>
      </c>
    </row>
    <row r="107" spans="1:6" x14ac:dyDescent="0.35">
      <c r="A107">
        <v>8</v>
      </c>
      <c r="B107">
        <v>1</v>
      </c>
      <c r="C107">
        <v>1</v>
      </c>
      <c r="D107" s="4">
        <v>8000000</v>
      </c>
      <c r="E107" s="4">
        <v>10000000</v>
      </c>
      <c r="F107" s="4">
        <v>20000000</v>
      </c>
    </row>
    <row r="108" spans="1:6" x14ac:dyDescent="0.35">
      <c r="A108">
        <v>8</v>
      </c>
      <c r="B108">
        <v>2</v>
      </c>
      <c r="C108">
        <v>2</v>
      </c>
      <c r="D108" s="4">
        <v>50</v>
      </c>
      <c r="E108" s="4">
        <v>100000</v>
      </c>
      <c r="F108" s="4">
        <v>150000</v>
      </c>
    </row>
    <row r="109" spans="1:6" x14ac:dyDescent="0.35">
      <c r="A109">
        <v>8</v>
      </c>
      <c r="B109">
        <v>3</v>
      </c>
      <c r="C109">
        <v>3</v>
      </c>
      <c r="D109" s="4">
        <v>5000000</v>
      </c>
      <c r="E109" s="4">
        <v>8000000</v>
      </c>
      <c r="F109" s="4">
        <v>20000000</v>
      </c>
    </row>
    <row r="110" spans="1:6" x14ac:dyDescent="0.35">
      <c r="A110">
        <v>8</v>
      </c>
      <c r="B110">
        <v>4</v>
      </c>
      <c r="C110">
        <v>4</v>
      </c>
      <c r="D110" s="4">
        <v>6000000</v>
      </c>
      <c r="E110" s="4">
        <v>8500000</v>
      </c>
      <c r="F110" s="4">
        <v>10000000</v>
      </c>
    </row>
    <row r="111" spans="1:6" x14ac:dyDescent="0.35">
      <c r="A111">
        <v>8</v>
      </c>
      <c r="B111">
        <v>5</v>
      </c>
      <c r="C111">
        <v>5</v>
      </c>
      <c r="D111" s="4">
        <v>10</v>
      </c>
      <c r="E111" s="4">
        <v>750</v>
      </c>
      <c r="F111" s="4">
        <v>6000</v>
      </c>
    </row>
    <row r="112" spans="1:6" x14ac:dyDescent="0.35">
      <c r="A112">
        <v>8</v>
      </c>
      <c r="B112">
        <v>6</v>
      </c>
      <c r="C112">
        <v>7</v>
      </c>
      <c r="D112" s="4">
        <v>1500</v>
      </c>
      <c r="E112" s="4">
        <v>2000</v>
      </c>
      <c r="F112" s="4">
        <v>3000</v>
      </c>
    </row>
    <row r="113" spans="1:6" x14ac:dyDescent="0.35">
      <c r="A113">
        <v>8</v>
      </c>
      <c r="B113">
        <v>7</v>
      </c>
      <c r="C113">
        <v>8</v>
      </c>
      <c r="D113" s="4">
        <v>2500</v>
      </c>
      <c r="E113" s="4">
        <v>3000</v>
      </c>
      <c r="F113" s="4">
        <v>4000</v>
      </c>
    </row>
    <row r="114" spans="1:6" x14ac:dyDescent="0.35">
      <c r="A114">
        <v>8</v>
      </c>
      <c r="B114">
        <v>8</v>
      </c>
      <c r="C114">
        <v>9</v>
      </c>
      <c r="D114" s="4">
        <v>8</v>
      </c>
      <c r="E114" s="4">
        <v>15</v>
      </c>
      <c r="F114" s="4">
        <v>25</v>
      </c>
    </row>
    <row r="115" spans="1:6" x14ac:dyDescent="0.35">
      <c r="A115">
        <v>8</v>
      </c>
      <c r="B115">
        <v>9</v>
      </c>
      <c r="C115">
        <v>10</v>
      </c>
      <c r="D115" s="4">
        <v>5</v>
      </c>
      <c r="E115" s="4">
        <v>30</v>
      </c>
      <c r="F115" s="4">
        <v>66</v>
      </c>
    </row>
    <row r="116" spans="1:6" x14ac:dyDescent="0.35">
      <c r="A116">
        <v>8</v>
      </c>
      <c r="B116">
        <v>10</v>
      </c>
      <c r="C116">
        <v>11</v>
      </c>
      <c r="D116" s="4">
        <v>40</v>
      </c>
      <c r="E116" s="4">
        <v>70</v>
      </c>
      <c r="F116" s="4">
        <v>90</v>
      </c>
    </row>
    <row r="117" spans="1:6" x14ac:dyDescent="0.35">
      <c r="A117">
        <v>8</v>
      </c>
      <c r="B117">
        <v>11</v>
      </c>
      <c r="C117">
        <v>12</v>
      </c>
      <c r="D117" s="4">
        <v>150</v>
      </c>
      <c r="E117" s="4">
        <v>175</v>
      </c>
      <c r="F117" s="4">
        <v>250</v>
      </c>
    </row>
    <row r="118" spans="1:6" x14ac:dyDescent="0.35">
      <c r="A118">
        <v>8</v>
      </c>
      <c r="B118">
        <v>12</v>
      </c>
      <c r="C118">
        <v>13</v>
      </c>
      <c r="D118" s="4">
        <v>30</v>
      </c>
      <c r="E118" s="4">
        <v>40</v>
      </c>
      <c r="F118" s="4">
        <v>60</v>
      </c>
    </row>
    <row r="119" spans="1:6" x14ac:dyDescent="0.35">
      <c r="A119">
        <v>8</v>
      </c>
      <c r="B119">
        <v>13</v>
      </c>
      <c r="C119">
        <v>15</v>
      </c>
      <c r="D119" s="4">
        <v>1</v>
      </c>
      <c r="E119" s="4">
        <v>3</v>
      </c>
      <c r="F119" s="4">
        <v>5</v>
      </c>
    </row>
    <row r="120" spans="1:6" x14ac:dyDescent="0.35">
      <c r="A120">
        <v>8</v>
      </c>
      <c r="B120">
        <v>14</v>
      </c>
      <c r="C120">
        <v>17</v>
      </c>
      <c r="D120" s="4">
        <v>1.5</v>
      </c>
      <c r="E120" s="4">
        <v>2</v>
      </c>
      <c r="F120" s="4">
        <v>3</v>
      </c>
    </row>
    <row r="121" spans="1:6" x14ac:dyDescent="0.35">
      <c r="A121">
        <v>8</v>
      </c>
      <c r="B121">
        <v>15</v>
      </c>
      <c r="C121">
        <v>18</v>
      </c>
      <c r="D121" s="4">
        <v>10</v>
      </c>
      <c r="E121" s="4">
        <v>12</v>
      </c>
      <c r="F121" s="4">
        <v>15</v>
      </c>
    </row>
    <row r="122" spans="1:6" x14ac:dyDescent="0.35">
      <c r="A122">
        <v>9</v>
      </c>
      <c r="B122">
        <v>1</v>
      </c>
      <c r="C122">
        <v>1</v>
      </c>
      <c r="D122" s="4">
        <v>2000000</v>
      </c>
      <c r="E122" s="4">
        <v>8000000</v>
      </c>
      <c r="F122" s="4">
        <v>16500000</v>
      </c>
    </row>
    <row r="123" spans="1:6" x14ac:dyDescent="0.35">
      <c r="A123">
        <v>9</v>
      </c>
      <c r="B123">
        <v>2</v>
      </c>
      <c r="C123">
        <v>2</v>
      </c>
      <c r="D123" s="4">
        <v>2000</v>
      </c>
      <c r="E123" s="4">
        <v>100000</v>
      </c>
      <c r="F123" s="4">
        <v>1000000</v>
      </c>
    </row>
    <row r="124" spans="1:6" x14ac:dyDescent="0.35">
      <c r="A124">
        <v>9</v>
      </c>
      <c r="B124">
        <v>3</v>
      </c>
      <c r="C124">
        <v>3</v>
      </c>
      <c r="D124" s="4">
        <v>5000000</v>
      </c>
      <c r="E124" s="4">
        <v>10000000</v>
      </c>
      <c r="F124" s="4">
        <v>16000000</v>
      </c>
    </row>
    <row r="125" spans="1:6" x14ac:dyDescent="0.35">
      <c r="A125">
        <v>9</v>
      </c>
      <c r="B125">
        <v>4</v>
      </c>
      <c r="C125">
        <v>4</v>
      </c>
      <c r="D125" s="4">
        <v>3000000</v>
      </c>
      <c r="E125" s="4">
        <v>7000000</v>
      </c>
      <c r="F125" s="4">
        <v>10000000</v>
      </c>
    </row>
    <row r="126" spans="1:6" x14ac:dyDescent="0.35">
      <c r="A126">
        <v>9</v>
      </c>
      <c r="B126">
        <v>5</v>
      </c>
      <c r="C126">
        <v>5</v>
      </c>
      <c r="D126" s="4">
        <v>100</v>
      </c>
      <c r="E126" s="4">
        <v>300</v>
      </c>
      <c r="F126" s="4">
        <v>800</v>
      </c>
    </row>
    <row r="127" spans="1:6" x14ac:dyDescent="0.35">
      <c r="A127">
        <v>9</v>
      </c>
      <c r="B127">
        <v>6</v>
      </c>
      <c r="C127">
        <v>7</v>
      </c>
      <c r="D127" s="4">
        <v>800</v>
      </c>
      <c r="E127" s="4">
        <v>5000</v>
      </c>
      <c r="F127" s="4">
        <v>15000</v>
      </c>
    </row>
    <row r="128" spans="1:6" x14ac:dyDescent="0.35">
      <c r="A128">
        <v>9</v>
      </c>
      <c r="B128">
        <v>7</v>
      </c>
      <c r="C128">
        <v>8</v>
      </c>
      <c r="D128" s="4">
        <v>1000</v>
      </c>
      <c r="E128" s="4">
        <v>10000</v>
      </c>
      <c r="F128" s="4">
        <v>20000</v>
      </c>
    </row>
    <row r="129" spans="1:6" x14ac:dyDescent="0.35">
      <c r="A129">
        <v>9</v>
      </c>
      <c r="B129">
        <v>8</v>
      </c>
      <c r="C129">
        <v>9</v>
      </c>
      <c r="D129" s="4">
        <v>0.01</v>
      </c>
      <c r="E129" s="4">
        <v>1</v>
      </c>
      <c r="F129" s="4">
        <v>7</v>
      </c>
    </row>
    <row r="130" spans="1:6" x14ac:dyDescent="0.35">
      <c r="A130">
        <v>9</v>
      </c>
      <c r="B130">
        <v>9</v>
      </c>
      <c r="C130">
        <v>10</v>
      </c>
      <c r="D130" s="4">
        <v>0.01</v>
      </c>
      <c r="E130" s="4">
        <v>0.1</v>
      </c>
      <c r="F130" s="4">
        <v>3</v>
      </c>
    </row>
    <row r="131" spans="1:6" x14ac:dyDescent="0.35">
      <c r="A131">
        <v>9</v>
      </c>
      <c r="B131">
        <v>10</v>
      </c>
      <c r="C131">
        <v>11</v>
      </c>
      <c r="D131" s="4">
        <v>1.5</v>
      </c>
      <c r="E131" s="4">
        <v>5</v>
      </c>
      <c r="F131" s="4">
        <v>20</v>
      </c>
    </row>
    <row r="132" spans="1:6" x14ac:dyDescent="0.35">
      <c r="A132">
        <v>9</v>
      </c>
      <c r="B132">
        <v>11</v>
      </c>
      <c r="C132">
        <v>12</v>
      </c>
      <c r="D132" s="4">
        <v>5</v>
      </c>
      <c r="E132" s="4">
        <v>25</v>
      </c>
      <c r="F132" s="4">
        <v>150</v>
      </c>
    </row>
    <row r="133" spans="1:6" x14ac:dyDescent="0.35">
      <c r="A133">
        <v>9</v>
      </c>
      <c r="B133">
        <v>12</v>
      </c>
      <c r="C133">
        <v>13</v>
      </c>
      <c r="D133" s="4">
        <v>98</v>
      </c>
      <c r="E133" s="4">
        <v>99.7</v>
      </c>
      <c r="F133" s="4">
        <v>99.9</v>
      </c>
    </row>
    <row r="134" spans="1:6" x14ac:dyDescent="0.35">
      <c r="A134">
        <v>9</v>
      </c>
      <c r="B134">
        <v>13</v>
      </c>
      <c r="C134">
        <v>15</v>
      </c>
      <c r="D134" s="4">
        <v>3</v>
      </c>
      <c r="E134" s="4">
        <v>7</v>
      </c>
      <c r="F134" s="4">
        <v>17</v>
      </c>
    </row>
    <row r="135" spans="1:6" x14ac:dyDescent="0.35">
      <c r="A135">
        <v>9</v>
      </c>
      <c r="B135">
        <v>14</v>
      </c>
      <c r="C135">
        <v>17</v>
      </c>
      <c r="D135" s="4">
        <v>1.1000000000000001</v>
      </c>
      <c r="E135" s="4">
        <v>1.8</v>
      </c>
      <c r="F135" s="4">
        <v>3</v>
      </c>
    </row>
    <row r="136" spans="1:6" x14ac:dyDescent="0.35">
      <c r="A136">
        <v>9</v>
      </c>
      <c r="B136">
        <v>15</v>
      </c>
      <c r="C136">
        <v>18</v>
      </c>
      <c r="D136" s="4">
        <v>3.8</v>
      </c>
      <c r="E136" s="4">
        <v>3.81</v>
      </c>
      <c r="F136" s="4">
        <v>7.6</v>
      </c>
    </row>
    <row r="137" spans="1:6" x14ac:dyDescent="0.35">
      <c r="A137">
        <v>10</v>
      </c>
      <c r="B137">
        <v>1</v>
      </c>
      <c r="C137">
        <v>1</v>
      </c>
      <c r="D137" s="4">
        <v>1000000</v>
      </c>
      <c r="E137" s="4">
        <v>2000000</v>
      </c>
      <c r="F137" s="4">
        <v>5000000</v>
      </c>
    </row>
    <row r="138" spans="1:6" x14ac:dyDescent="0.35">
      <c r="A138">
        <v>10</v>
      </c>
      <c r="B138">
        <v>2</v>
      </c>
      <c r="C138">
        <v>2</v>
      </c>
      <c r="D138" s="4">
        <v>1000</v>
      </c>
      <c r="E138" s="4">
        <v>20000</v>
      </c>
      <c r="F138" s="4">
        <v>100000</v>
      </c>
    </row>
    <row r="139" spans="1:6" x14ac:dyDescent="0.35">
      <c r="A139">
        <v>10</v>
      </c>
      <c r="B139">
        <v>3</v>
      </c>
      <c r="C139">
        <v>3</v>
      </c>
      <c r="D139" s="4">
        <v>500000</v>
      </c>
      <c r="E139" s="4">
        <v>2000000</v>
      </c>
      <c r="F139" s="4">
        <v>5000000</v>
      </c>
    </row>
    <row r="140" spans="1:6" x14ac:dyDescent="0.35">
      <c r="A140">
        <v>10</v>
      </c>
      <c r="B140">
        <v>4</v>
      </c>
      <c r="C140">
        <v>4</v>
      </c>
      <c r="D140" s="4">
        <v>5000000</v>
      </c>
      <c r="E140" s="4">
        <v>7000000</v>
      </c>
      <c r="F140" s="4">
        <v>10000000</v>
      </c>
    </row>
    <row r="141" spans="1:6" x14ac:dyDescent="0.35">
      <c r="A141">
        <v>10</v>
      </c>
      <c r="B141">
        <v>5</v>
      </c>
      <c r="C141">
        <v>5</v>
      </c>
      <c r="D141" s="4">
        <v>500</v>
      </c>
      <c r="E141" s="4">
        <v>800</v>
      </c>
      <c r="F141" s="4">
        <v>1200</v>
      </c>
    </row>
    <row r="142" spans="1:6" x14ac:dyDescent="0.35">
      <c r="A142">
        <v>10</v>
      </c>
      <c r="B142">
        <v>6</v>
      </c>
      <c r="C142">
        <v>7</v>
      </c>
      <c r="D142" s="4">
        <v>2000</v>
      </c>
      <c r="E142" s="4">
        <v>5000</v>
      </c>
      <c r="F142" s="4">
        <v>10000</v>
      </c>
    </row>
    <row r="143" spans="1:6" x14ac:dyDescent="0.35">
      <c r="A143">
        <v>10</v>
      </c>
      <c r="B143">
        <v>7</v>
      </c>
      <c r="C143">
        <v>8</v>
      </c>
      <c r="D143" s="4">
        <v>5000</v>
      </c>
      <c r="E143" s="4">
        <v>9000</v>
      </c>
      <c r="F143" s="4">
        <v>15000</v>
      </c>
    </row>
    <row r="144" spans="1:6" x14ac:dyDescent="0.35">
      <c r="A144">
        <v>10</v>
      </c>
      <c r="B144">
        <v>8</v>
      </c>
      <c r="C144">
        <v>9</v>
      </c>
      <c r="D144" s="4">
        <v>5</v>
      </c>
      <c r="E144" s="4">
        <v>15</v>
      </c>
      <c r="F144" s="4">
        <v>30</v>
      </c>
    </row>
    <row r="145" spans="1:6" x14ac:dyDescent="0.35">
      <c r="A145">
        <v>10</v>
      </c>
      <c r="B145">
        <v>9</v>
      </c>
      <c r="C145">
        <v>10</v>
      </c>
      <c r="D145" s="4">
        <v>4</v>
      </c>
      <c r="E145" s="4">
        <v>8</v>
      </c>
      <c r="F145" s="4">
        <v>20</v>
      </c>
    </row>
    <row r="146" spans="1:6" x14ac:dyDescent="0.35">
      <c r="A146">
        <v>10</v>
      </c>
      <c r="B146">
        <v>10</v>
      </c>
      <c r="C146">
        <v>11</v>
      </c>
      <c r="D146" s="4">
        <v>3</v>
      </c>
      <c r="E146" s="4">
        <v>8</v>
      </c>
      <c r="F146" s="4">
        <v>15</v>
      </c>
    </row>
    <row r="147" spans="1:6" x14ac:dyDescent="0.35">
      <c r="A147">
        <v>10</v>
      </c>
      <c r="B147">
        <v>11</v>
      </c>
      <c r="C147">
        <v>12</v>
      </c>
      <c r="D147" s="4">
        <v>20</v>
      </c>
      <c r="E147" s="4">
        <v>50</v>
      </c>
      <c r="F147" s="4">
        <v>500</v>
      </c>
    </row>
    <row r="148" spans="1:6" x14ac:dyDescent="0.35">
      <c r="A148">
        <v>10</v>
      </c>
      <c r="B148">
        <v>12</v>
      </c>
      <c r="C148">
        <v>13</v>
      </c>
      <c r="D148" s="4">
        <v>20</v>
      </c>
      <c r="E148" s="4">
        <v>40</v>
      </c>
      <c r="F148" s="4">
        <v>80</v>
      </c>
    </row>
    <row r="149" spans="1:6" x14ac:dyDescent="0.35">
      <c r="A149">
        <v>10</v>
      </c>
      <c r="B149">
        <v>13</v>
      </c>
      <c r="C149">
        <v>15</v>
      </c>
      <c r="D149" s="4">
        <v>14</v>
      </c>
      <c r="E149" s="4">
        <v>28</v>
      </c>
      <c r="F149" s="4">
        <v>56</v>
      </c>
    </row>
    <row r="150" spans="1:6" x14ac:dyDescent="0.35">
      <c r="A150">
        <v>10</v>
      </c>
      <c r="B150">
        <v>14</v>
      </c>
      <c r="C150">
        <v>17</v>
      </c>
      <c r="D150" s="4">
        <v>0.35</v>
      </c>
      <c r="E150" s="4">
        <v>0.7</v>
      </c>
      <c r="F150" s="4">
        <v>0.9</v>
      </c>
    </row>
    <row r="151" spans="1:6" x14ac:dyDescent="0.35">
      <c r="A151">
        <v>10</v>
      </c>
      <c r="B151">
        <v>15</v>
      </c>
      <c r="C151">
        <v>18</v>
      </c>
      <c r="D151" s="4">
        <v>2</v>
      </c>
      <c r="E151" s="4">
        <v>6</v>
      </c>
      <c r="F151" s="4">
        <v>10</v>
      </c>
    </row>
    <row r="152" spans="1:6" x14ac:dyDescent="0.35">
      <c r="A152">
        <v>11</v>
      </c>
      <c r="B152">
        <v>1</v>
      </c>
      <c r="C152">
        <v>1</v>
      </c>
      <c r="D152" s="4">
        <v>14000000</v>
      </c>
      <c r="E152" s="4">
        <v>16500000</v>
      </c>
      <c r="F152" s="4">
        <v>17000000</v>
      </c>
    </row>
    <row r="153" spans="1:6" x14ac:dyDescent="0.35">
      <c r="A153">
        <v>11</v>
      </c>
      <c r="B153">
        <v>2</v>
      </c>
      <c r="C153">
        <v>2</v>
      </c>
      <c r="D153" s="4">
        <v>30000</v>
      </c>
      <c r="E153" s="4">
        <v>50000</v>
      </c>
      <c r="F153" s="4">
        <v>100000</v>
      </c>
    </row>
    <row r="154" spans="1:6" x14ac:dyDescent="0.35">
      <c r="A154">
        <v>11</v>
      </c>
      <c r="B154">
        <v>3</v>
      </c>
      <c r="C154">
        <v>3</v>
      </c>
      <c r="D154" s="4">
        <v>500000</v>
      </c>
      <c r="E154" s="4">
        <v>1000000</v>
      </c>
      <c r="F154" s="4">
        <v>2000000</v>
      </c>
    </row>
    <row r="155" spans="1:6" x14ac:dyDescent="0.35">
      <c r="A155">
        <v>11</v>
      </c>
      <c r="B155">
        <v>4</v>
      </c>
      <c r="C155">
        <v>4</v>
      </c>
      <c r="D155" s="4">
        <v>500000</v>
      </c>
      <c r="E155" s="4">
        <v>1000000</v>
      </c>
      <c r="F155" s="4">
        <v>2000000</v>
      </c>
    </row>
    <row r="156" spans="1:6" x14ac:dyDescent="0.35">
      <c r="A156">
        <v>11</v>
      </c>
      <c r="B156">
        <v>5</v>
      </c>
      <c r="C156">
        <v>5</v>
      </c>
      <c r="D156" s="4">
        <v>300</v>
      </c>
      <c r="E156" s="4">
        <v>500</v>
      </c>
      <c r="F156" s="4">
        <v>1000</v>
      </c>
    </row>
    <row r="157" spans="1:6" x14ac:dyDescent="0.35">
      <c r="A157">
        <v>11</v>
      </c>
      <c r="B157">
        <v>6</v>
      </c>
      <c r="C157">
        <v>7</v>
      </c>
      <c r="D157" s="4">
        <v>5000</v>
      </c>
      <c r="E157" s="4">
        <v>10000</v>
      </c>
      <c r="F157" s="4">
        <v>20000</v>
      </c>
    </row>
    <row r="158" spans="1:6" x14ac:dyDescent="0.35">
      <c r="A158">
        <v>11</v>
      </c>
      <c r="B158">
        <v>7</v>
      </c>
      <c r="C158">
        <v>8</v>
      </c>
      <c r="D158" s="4">
        <v>10000</v>
      </c>
      <c r="E158" s="4">
        <v>15000</v>
      </c>
      <c r="F158" s="4">
        <v>30000</v>
      </c>
    </row>
    <row r="159" spans="1:6" x14ac:dyDescent="0.35">
      <c r="A159">
        <v>11</v>
      </c>
      <c r="B159">
        <v>8</v>
      </c>
      <c r="C159">
        <v>9</v>
      </c>
      <c r="D159" s="4">
        <v>0.5</v>
      </c>
      <c r="E159" s="4">
        <v>5</v>
      </c>
      <c r="F159" s="4">
        <v>10</v>
      </c>
    </row>
    <row r="160" spans="1:6" x14ac:dyDescent="0.35">
      <c r="A160">
        <v>11</v>
      </c>
      <c r="B160">
        <v>9</v>
      </c>
      <c r="C160">
        <v>10</v>
      </c>
      <c r="D160" s="4">
        <v>1</v>
      </c>
      <c r="E160" s="4">
        <v>5</v>
      </c>
      <c r="F160" s="4">
        <v>8</v>
      </c>
    </row>
    <row r="161" spans="1:6" x14ac:dyDescent="0.35">
      <c r="A161">
        <v>11</v>
      </c>
      <c r="B161">
        <v>10</v>
      </c>
      <c r="C161">
        <v>11</v>
      </c>
      <c r="D161" s="4">
        <v>5</v>
      </c>
      <c r="E161" s="4">
        <v>10</v>
      </c>
      <c r="F161" s="4">
        <v>16</v>
      </c>
    </row>
    <row r="162" spans="1:6" x14ac:dyDescent="0.35">
      <c r="A162">
        <v>11</v>
      </c>
      <c r="B162">
        <v>11</v>
      </c>
      <c r="C162">
        <v>12</v>
      </c>
      <c r="D162" s="4">
        <v>10</v>
      </c>
      <c r="E162" s="4">
        <v>20</v>
      </c>
      <c r="F162" s="4">
        <v>100</v>
      </c>
    </row>
    <row r="163" spans="1:6" x14ac:dyDescent="0.35">
      <c r="A163">
        <v>11</v>
      </c>
      <c r="B163">
        <v>12</v>
      </c>
      <c r="C163">
        <v>13</v>
      </c>
      <c r="D163" s="4">
        <v>25</v>
      </c>
      <c r="E163" s="4">
        <v>60</v>
      </c>
      <c r="F163" s="4">
        <v>70</v>
      </c>
    </row>
    <row r="164" spans="1:6" x14ac:dyDescent="0.35">
      <c r="A164">
        <v>11</v>
      </c>
      <c r="B164">
        <v>13</v>
      </c>
      <c r="C164">
        <v>15</v>
      </c>
      <c r="D164" s="4">
        <v>1</v>
      </c>
      <c r="E164" s="4">
        <v>3</v>
      </c>
      <c r="F164" s="4">
        <v>7</v>
      </c>
    </row>
    <row r="165" spans="1:6" x14ac:dyDescent="0.35">
      <c r="A165">
        <v>11</v>
      </c>
      <c r="B165">
        <v>14</v>
      </c>
      <c r="C165">
        <v>17</v>
      </c>
      <c r="D165" s="4">
        <v>1</v>
      </c>
      <c r="E165" s="4">
        <v>2</v>
      </c>
      <c r="F165" s="4">
        <v>4</v>
      </c>
    </row>
    <row r="166" spans="1:6" x14ac:dyDescent="0.35">
      <c r="A166">
        <v>11</v>
      </c>
      <c r="B166">
        <v>15</v>
      </c>
      <c r="C166">
        <v>18</v>
      </c>
      <c r="D166" s="4">
        <v>3.8</v>
      </c>
      <c r="E166" s="4">
        <v>5</v>
      </c>
      <c r="F166" s="4">
        <v>8</v>
      </c>
    </row>
    <row r="167" spans="1:6" x14ac:dyDescent="0.35">
      <c r="A167">
        <v>12</v>
      </c>
      <c r="B167">
        <v>1</v>
      </c>
      <c r="C167">
        <v>1</v>
      </c>
      <c r="D167" s="4">
        <v>1000000</v>
      </c>
      <c r="E167" s="4">
        <v>1300000</v>
      </c>
      <c r="F167" s="4">
        <v>5000000</v>
      </c>
    </row>
    <row r="168" spans="1:6" x14ac:dyDescent="0.35">
      <c r="A168">
        <v>12</v>
      </c>
      <c r="B168">
        <v>2</v>
      </c>
      <c r="C168">
        <v>2</v>
      </c>
      <c r="D168" s="4">
        <v>1000000</v>
      </c>
      <c r="E168" s="4">
        <v>5000000</v>
      </c>
      <c r="F168" s="4">
        <v>10000000</v>
      </c>
    </row>
    <row r="169" spans="1:6" x14ac:dyDescent="0.35">
      <c r="A169">
        <v>12</v>
      </c>
      <c r="B169">
        <v>3</v>
      </c>
      <c r="C169">
        <v>3</v>
      </c>
      <c r="D169" s="4">
        <v>1000000</v>
      </c>
      <c r="E169" s="4">
        <v>5000000</v>
      </c>
      <c r="F169" s="4">
        <v>10000000</v>
      </c>
    </row>
    <row r="170" spans="1:6" x14ac:dyDescent="0.35">
      <c r="A170">
        <v>12</v>
      </c>
      <c r="B170">
        <v>4</v>
      </c>
      <c r="C170">
        <v>4</v>
      </c>
      <c r="D170" s="4">
        <v>5000000</v>
      </c>
      <c r="E170" s="4">
        <v>8000000</v>
      </c>
      <c r="F170" s="4">
        <v>15000000</v>
      </c>
    </row>
    <row r="171" spans="1:6" x14ac:dyDescent="0.35">
      <c r="A171">
        <v>12</v>
      </c>
      <c r="B171">
        <v>5</v>
      </c>
      <c r="C171">
        <v>5</v>
      </c>
      <c r="D171" s="4">
        <v>100</v>
      </c>
      <c r="E171" s="4">
        <v>250</v>
      </c>
      <c r="F171" s="4">
        <v>1000</v>
      </c>
    </row>
    <row r="172" spans="1:6" x14ac:dyDescent="0.35">
      <c r="A172">
        <v>12</v>
      </c>
      <c r="B172">
        <v>6</v>
      </c>
      <c r="C172">
        <v>7</v>
      </c>
      <c r="D172" s="4">
        <v>10000</v>
      </c>
      <c r="E172" s="4">
        <v>25000</v>
      </c>
      <c r="F172" s="4">
        <v>50000</v>
      </c>
    </row>
    <row r="173" spans="1:6" x14ac:dyDescent="0.35">
      <c r="A173">
        <v>12</v>
      </c>
      <c r="B173">
        <v>7</v>
      </c>
      <c r="C173">
        <v>8</v>
      </c>
      <c r="D173" s="4">
        <v>20000</v>
      </c>
      <c r="E173" s="4">
        <v>50000</v>
      </c>
      <c r="F173" s="4">
        <v>100000</v>
      </c>
    </row>
    <row r="174" spans="1:6" x14ac:dyDescent="0.35">
      <c r="A174">
        <v>12</v>
      </c>
      <c r="B174">
        <v>8</v>
      </c>
      <c r="C174">
        <v>9</v>
      </c>
      <c r="D174" s="4">
        <v>1</v>
      </c>
      <c r="E174" s="4">
        <v>5</v>
      </c>
      <c r="F174" s="4">
        <v>10</v>
      </c>
    </row>
    <row r="175" spans="1:6" x14ac:dyDescent="0.35">
      <c r="A175">
        <v>12</v>
      </c>
      <c r="B175">
        <v>9</v>
      </c>
      <c r="C175">
        <v>10</v>
      </c>
      <c r="D175" s="4">
        <v>3</v>
      </c>
      <c r="E175" s="4">
        <v>8</v>
      </c>
      <c r="F175" s="4">
        <v>20</v>
      </c>
    </row>
    <row r="176" spans="1:6" x14ac:dyDescent="0.35">
      <c r="A176">
        <v>12</v>
      </c>
      <c r="B176">
        <v>10</v>
      </c>
      <c r="C176">
        <v>11</v>
      </c>
      <c r="D176" s="4">
        <v>3</v>
      </c>
      <c r="E176" s="4">
        <v>8</v>
      </c>
      <c r="F176" s="4">
        <v>20</v>
      </c>
    </row>
    <row r="177" spans="1:6" x14ac:dyDescent="0.35">
      <c r="A177">
        <v>12</v>
      </c>
      <c r="B177">
        <v>11</v>
      </c>
      <c r="C177">
        <v>12</v>
      </c>
      <c r="D177" s="4">
        <v>5</v>
      </c>
      <c r="E177" s="4">
        <v>10</v>
      </c>
      <c r="F177" s="4">
        <v>20</v>
      </c>
    </row>
    <row r="178" spans="1:6" x14ac:dyDescent="0.35">
      <c r="A178">
        <v>12</v>
      </c>
      <c r="B178">
        <v>12</v>
      </c>
      <c r="C178">
        <v>13</v>
      </c>
      <c r="D178" s="4">
        <v>75</v>
      </c>
      <c r="E178" s="4">
        <v>90</v>
      </c>
      <c r="F178" s="4">
        <v>98</v>
      </c>
    </row>
    <row r="179" spans="1:6" x14ac:dyDescent="0.35">
      <c r="A179">
        <v>12</v>
      </c>
      <c r="B179">
        <v>13</v>
      </c>
      <c r="C179">
        <v>15</v>
      </c>
      <c r="D179" s="4">
        <v>3</v>
      </c>
      <c r="E179" s="4">
        <v>7</v>
      </c>
      <c r="F179" s="4">
        <v>10</v>
      </c>
    </row>
    <row r="180" spans="1:6" x14ac:dyDescent="0.35">
      <c r="A180">
        <v>12</v>
      </c>
      <c r="B180">
        <v>14</v>
      </c>
      <c r="C180">
        <v>17</v>
      </c>
      <c r="D180" s="4">
        <v>0.6</v>
      </c>
      <c r="E180" s="4">
        <v>0.75</v>
      </c>
      <c r="F180" s="4">
        <v>0.9</v>
      </c>
    </row>
    <row r="181" spans="1:6" x14ac:dyDescent="0.35">
      <c r="A181">
        <v>12</v>
      </c>
      <c r="B181">
        <v>15</v>
      </c>
      <c r="C181">
        <v>18</v>
      </c>
      <c r="D181" s="4">
        <v>10</v>
      </c>
      <c r="E181" s="4">
        <v>13</v>
      </c>
      <c r="F181" s="4">
        <v>20</v>
      </c>
    </row>
    <row r="182" spans="1:6" x14ac:dyDescent="0.35">
      <c r="A182">
        <v>13</v>
      </c>
      <c r="B182">
        <v>1</v>
      </c>
      <c r="C182">
        <v>1</v>
      </c>
      <c r="D182" s="4">
        <v>1000000</v>
      </c>
      <c r="E182" s="4">
        <v>5700000</v>
      </c>
      <c r="F182" s="4">
        <v>8500000</v>
      </c>
    </row>
    <row r="183" spans="1:6" x14ac:dyDescent="0.35">
      <c r="A183">
        <v>13</v>
      </c>
      <c r="B183">
        <v>2</v>
      </c>
      <c r="C183">
        <v>2</v>
      </c>
      <c r="D183" s="4">
        <v>5000</v>
      </c>
      <c r="E183" s="4">
        <v>30000</v>
      </c>
      <c r="F183" s="4">
        <v>200000</v>
      </c>
    </row>
    <row r="184" spans="1:6" x14ac:dyDescent="0.35">
      <c r="A184">
        <v>13</v>
      </c>
      <c r="B184">
        <v>3</v>
      </c>
      <c r="C184">
        <v>3</v>
      </c>
      <c r="D184" s="4">
        <v>3000000</v>
      </c>
      <c r="E184" s="4">
        <v>6000000</v>
      </c>
      <c r="F184" s="4">
        <v>12000000</v>
      </c>
    </row>
    <row r="185" spans="1:6" x14ac:dyDescent="0.35">
      <c r="A185">
        <v>13</v>
      </c>
      <c r="B185">
        <v>4</v>
      </c>
      <c r="C185">
        <v>4</v>
      </c>
      <c r="D185" s="4">
        <v>6500000</v>
      </c>
      <c r="E185" s="4">
        <v>10000000</v>
      </c>
      <c r="F185" s="4">
        <v>13000000</v>
      </c>
    </row>
    <row r="186" spans="1:6" x14ac:dyDescent="0.35">
      <c r="A186">
        <v>13</v>
      </c>
      <c r="B186">
        <v>5</v>
      </c>
      <c r="C186">
        <v>5</v>
      </c>
      <c r="D186" s="4">
        <v>400</v>
      </c>
      <c r="E186" s="4">
        <v>650</v>
      </c>
      <c r="F186" s="4">
        <v>950</v>
      </c>
    </row>
    <row r="187" spans="1:6" x14ac:dyDescent="0.35">
      <c r="A187">
        <v>13</v>
      </c>
      <c r="B187">
        <v>6</v>
      </c>
      <c r="C187">
        <v>7</v>
      </c>
      <c r="D187" s="4">
        <v>3000</v>
      </c>
      <c r="E187" s="4">
        <v>5000</v>
      </c>
      <c r="F187" s="4">
        <v>20000</v>
      </c>
    </row>
    <row r="188" spans="1:6" x14ac:dyDescent="0.35">
      <c r="A188">
        <v>13</v>
      </c>
      <c r="B188">
        <v>7</v>
      </c>
      <c r="C188">
        <v>8</v>
      </c>
      <c r="D188" s="4">
        <v>3000</v>
      </c>
      <c r="E188" s="4">
        <v>8000</v>
      </c>
      <c r="F188" s="4">
        <v>30000</v>
      </c>
    </row>
    <row r="189" spans="1:6" x14ac:dyDescent="0.35">
      <c r="A189">
        <v>13</v>
      </c>
      <c r="B189">
        <v>8</v>
      </c>
      <c r="C189">
        <v>9</v>
      </c>
      <c r="D189" s="4">
        <v>2</v>
      </c>
      <c r="E189" s="4">
        <v>10</v>
      </c>
      <c r="F189" s="4">
        <v>50</v>
      </c>
    </row>
    <row r="190" spans="1:6" x14ac:dyDescent="0.35">
      <c r="A190">
        <v>13</v>
      </c>
      <c r="B190">
        <v>9</v>
      </c>
      <c r="C190">
        <v>10</v>
      </c>
      <c r="D190" s="4">
        <v>1</v>
      </c>
      <c r="E190" s="4">
        <v>5</v>
      </c>
      <c r="F190" s="4">
        <v>50</v>
      </c>
    </row>
    <row r="191" spans="1:6" x14ac:dyDescent="0.35">
      <c r="A191">
        <v>13</v>
      </c>
      <c r="B191">
        <v>10</v>
      </c>
      <c r="C191">
        <v>11</v>
      </c>
      <c r="D191" s="4">
        <v>5</v>
      </c>
      <c r="E191" s="4">
        <v>25</v>
      </c>
      <c r="F191" s="4">
        <v>60</v>
      </c>
    </row>
    <row r="192" spans="1:6" x14ac:dyDescent="0.35">
      <c r="A192">
        <v>13</v>
      </c>
      <c r="B192">
        <v>11</v>
      </c>
      <c r="C192">
        <v>12</v>
      </c>
      <c r="D192" s="4">
        <v>3</v>
      </c>
      <c r="E192" s="4">
        <v>12</v>
      </c>
      <c r="F192" s="4">
        <v>25</v>
      </c>
    </row>
    <row r="193" spans="1:6" x14ac:dyDescent="0.35">
      <c r="A193">
        <v>13</v>
      </c>
      <c r="B193">
        <v>12</v>
      </c>
      <c r="C193">
        <v>13</v>
      </c>
      <c r="D193" s="4">
        <v>0</v>
      </c>
      <c r="E193" s="4">
        <v>50</v>
      </c>
      <c r="F193" s="4">
        <v>80</v>
      </c>
    </row>
    <row r="194" spans="1:6" x14ac:dyDescent="0.35">
      <c r="A194">
        <v>13</v>
      </c>
      <c r="B194">
        <v>13</v>
      </c>
      <c r="C194">
        <v>15</v>
      </c>
      <c r="D194" s="4">
        <v>3</v>
      </c>
      <c r="E194" s="4">
        <v>6</v>
      </c>
      <c r="F194" s="4">
        <v>10</v>
      </c>
    </row>
    <row r="195" spans="1:6" x14ac:dyDescent="0.35">
      <c r="A195">
        <v>13</v>
      </c>
      <c r="B195">
        <v>14</v>
      </c>
      <c r="C195">
        <v>17</v>
      </c>
      <c r="D195" s="4">
        <v>0.55000000000000004</v>
      </c>
      <c r="E195" s="4">
        <v>1.2</v>
      </c>
      <c r="F195" s="4">
        <v>2.1</v>
      </c>
    </row>
    <row r="196" spans="1:6" x14ac:dyDescent="0.35">
      <c r="A196">
        <v>13</v>
      </c>
      <c r="B196">
        <v>15</v>
      </c>
      <c r="C196">
        <v>18</v>
      </c>
      <c r="D196" s="4">
        <v>5</v>
      </c>
      <c r="E196" s="4">
        <v>11</v>
      </c>
      <c r="F196" s="4">
        <v>13</v>
      </c>
    </row>
    <row r="197" spans="1:6" x14ac:dyDescent="0.35">
      <c r="A197">
        <v>14</v>
      </c>
      <c r="B197">
        <v>1</v>
      </c>
      <c r="C197">
        <v>1</v>
      </c>
      <c r="D197" s="4">
        <v>8000000</v>
      </c>
      <c r="E197" s="4">
        <v>15000000</v>
      </c>
      <c r="F197" s="4">
        <v>16500000</v>
      </c>
    </row>
    <row r="198" spans="1:6" x14ac:dyDescent="0.35">
      <c r="A198">
        <v>14</v>
      </c>
      <c r="B198">
        <v>2</v>
      </c>
      <c r="C198">
        <v>2</v>
      </c>
      <c r="D198" s="4">
        <v>5000</v>
      </c>
      <c r="E198" s="4">
        <v>10000</v>
      </c>
      <c r="F198" s="4">
        <v>50000</v>
      </c>
    </row>
    <row r="199" spans="1:6" x14ac:dyDescent="0.35">
      <c r="A199">
        <v>14</v>
      </c>
      <c r="B199">
        <v>3</v>
      </c>
      <c r="C199">
        <v>3</v>
      </c>
      <c r="D199" s="4">
        <v>6000000</v>
      </c>
      <c r="E199" s="4">
        <v>8000000</v>
      </c>
      <c r="F199" s="4">
        <v>9000000</v>
      </c>
    </row>
    <row r="200" spans="1:6" x14ac:dyDescent="0.35">
      <c r="A200">
        <v>14</v>
      </c>
      <c r="B200">
        <v>4</v>
      </c>
      <c r="C200">
        <v>4</v>
      </c>
      <c r="D200" s="4">
        <v>9000000</v>
      </c>
      <c r="E200" s="4">
        <v>10000000</v>
      </c>
      <c r="F200" s="4">
        <v>13000000</v>
      </c>
    </row>
    <row r="201" spans="1:6" x14ac:dyDescent="0.35">
      <c r="A201">
        <v>14</v>
      </c>
      <c r="B201">
        <v>5</v>
      </c>
      <c r="C201">
        <v>5</v>
      </c>
      <c r="D201" s="4">
        <v>200</v>
      </c>
      <c r="E201" s="4">
        <v>510</v>
      </c>
      <c r="F201" s="4">
        <v>800</v>
      </c>
    </row>
    <row r="202" spans="1:6" x14ac:dyDescent="0.35">
      <c r="A202">
        <v>14</v>
      </c>
      <c r="B202">
        <v>6</v>
      </c>
      <c r="C202">
        <v>7</v>
      </c>
      <c r="D202" s="4">
        <v>500</v>
      </c>
      <c r="E202" s="4">
        <v>1250</v>
      </c>
      <c r="F202" s="4">
        <v>3000</v>
      </c>
    </row>
    <row r="203" spans="1:6" x14ac:dyDescent="0.35">
      <c r="A203">
        <v>14</v>
      </c>
      <c r="B203">
        <v>7</v>
      </c>
      <c r="C203">
        <v>8</v>
      </c>
      <c r="D203" s="4">
        <v>500</v>
      </c>
      <c r="E203" s="4">
        <v>1400</v>
      </c>
      <c r="F203" s="4">
        <v>4000</v>
      </c>
    </row>
    <row r="204" spans="1:6" x14ac:dyDescent="0.35">
      <c r="A204">
        <v>14</v>
      </c>
      <c r="B204">
        <v>8</v>
      </c>
      <c r="C204">
        <v>9</v>
      </c>
      <c r="D204" s="4">
        <v>5</v>
      </c>
      <c r="E204" s="4">
        <v>35</v>
      </c>
      <c r="F204" s="4">
        <v>40</v>
      </c>
    </row>
    <row r="205" spans="1:6" x14ac:dyDescent="0.35">
      <c r="A205">
        <v>14</v>
      </c>
      <c r="B205">
        <v>9</v>
      </c>
      <c r="C205">
        <v>10</v>
      </c>
      <c r="D205" s="4">
        <v>5</v>
      </c>
      <c r="E205" s="4">
        <v>10</v>
      </c>
      <c r="F205" s="4">
        <v>30</v>
      </c>
    </row>
    <row r="206" spans="1:6" x14ac:dyDescent="0.35">
      <c r="A206">
        <v>14</v>
      </c>
      <c r="B206">
        <v>10</v>
      </c>
      <c r="C206">
        <v>11</v>
      </c>
      <c r="D206" s="4">
        <v>5</v>
      </c>
      <c r="E206" s="4">
        <v>30</v>
      </c>
      <c r="F206" s="4">
        <v>50</v>
      </c>
    </row>
    <row r="207" spans="1:6" x14ac:dyDescent="0.35">
      <c r="A207">
        <v>14</v>
      </c>
      <c r="B207">
        <v>11</v>
      </c>
      <c r="C207">
        <v>12</v>
      </c>
      <c r="D207" s="4">
        <v>0</v>
      </c>
      <c r="E207" s="4">
        <v>3</v>
      </c>
      <c r="F207" s="4">
        <v>10</v>
      </c>
    </row>
    <row r="208" spans="1:6" x14ac:dyDescent="0.35">
      <c r="A208">
        <v>14</v>
      </c>
      <c r="B208">
        <v>12</v>
      </c>
      <c r="C208">
        <v>13</v>
      </c>
      <c r="D208" s="4">
        <v>70</v>
      </c>
      <c r="E208" s="4">
        <v>80</v>
      </c>
      <c r="F208" s="4">
        <v>95</v>
      </c>
    </row>
    <row r="209" spans="1:6" x14ac:dyDescent="0.35">
      <c r="A209">
        <v>14</v>
      </c>
      <c r="B209">
        <v>13</v>
      </c>
      <c r="C209">
        <v>15</v>
      </c>
      <c r="D209" s="4">
        <v>20</v>
      </c>
      <c r="E209" s="4">
        <v>25</v>
      </c>
      <c r="F209" s="4">
        <v>42</v>
      </c>
    </row>
    <row r="210" spans="1:6" x14ac:dyDescent="0.35">
      <c r="A210">
        <v>14</v>
      </c>
      <c r="B210">
        <v>14</v>
      </c>
      <c r="C210">
        <v>17</v>
      </c>
      <c r="D210" s="4">
        <v>0</v>
      </c>
      <c r="E210" s="4">
        <v>1.1000000000000001</v>
      </c>
      <c r="F210" s="4">
        <v>1.2</v>
      </c>
    </row>
    <row r="211" spans="1:6" x14ac:dyDescent="0.35">
      <c r="A211">
        <v>14</v>
      </c>
      <c r="B211">
        <v>15</v>
      </c>
      <c r="C211">
        <v>18</v>
      </c>
      <c r="D211" s="4">
        <v>3.3</v>
      </c>
      <c r="E211" s="4">
        <v>5</v>
      </c>
      <c r="F211" s="4">
        <v>6.5</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47"/>
  <dimension ref="A1:H225"/>
  <sheetViews>
    <sheetView workbookViewId="0"/>
  </sheetViews>
  <sheetFormatPr defaultRowHeight="14.5" x14ac:dyDescent="0.35"/>
  <sheetData>
    <row r="1" spans="1:8" x14ac:dyDescent="0.35">
      <c r="A1" t="s">
        <v>157</v>
      </c>
      <c r="H1" t="s">
        <v>58</v>
      </c>
    </row>
    <row r="2" spans="1:8" x14ac:dyDescent="0.35">
      <c r="A2">
        <v>1</v>
      </c>
      <c r="B2">
        <v>1</v>
      </c>
      <c r="C2" t="s">
        <v>141</v>
      </c>
      <c r="D2" s="4">
        <v>200</v>
      </c>
      <c r="E2" s="4">
        <v>300</v>
      </c>
      <c r="F2" s="4">
        <v>500</v>
      </c>
      <c r="H2" s="4">
        <v>234</v>
      </c>
    </row>
    <row r="3" spans="1:8" x14ac:dyDescent="0.35">
      <c r="A3">
        <v>1</v>
      </c>
      <c r="B3">
        <v>2</v>
      </c>
      <c r="C3" t="s">
        <v>142</v>
      </c>
      <c r="D3" s="4">
        <v>10</v>
      </c>
      <c r="E3" s="4">
        <v>30</v>
      </c>
      <c r="F3" s="4">
        <v>50</v>
      </c>
      <c r="H3" s="4">
        <v>37</v>
      </c>
    </row>
    <row r="4" spans="1:8" x14ac:dyDescent="0.35">
      <c r="A4">
        <v>1</v>
      </c>
      <c r="B4">
        <v>3</v>
      </c>
      <c r="C4" t="s">
        <v>143</v>
      </c>
      <c r="D4" s="4">
        <v>2</v>
      </c>
      <c r="E4" s="4">
        <v>5</v>
      </c>
      <c r="F4" s="4">
        <v>20</v>
      </c>
      <c r="H4" s="4">
        <v>10</v>
      </c>
    </row>
    <row r="5" spans="1:8" x14ac:dyDescent="0.35">
      <c r="A5">
        <v>1</v>
      </c>
      <c r="B5">
        <v>4</v>
      </c>
      <c r="C5" t="s">
        <v>144</v>
      </c>
      <c r="D5" s="4">
        <v>0.1</v>
      </c>
      <c r="E5" s="4">
        <v>10</v>
      </c>
      <c r="F5" s="4">
        <v>1000</v>
      </c>
      <c r="H5" s="4">
        <v>145</v>
      </c>
    </row>
    <row r="6" spans="1:8" x14ac:dyDescent="0.35">
      <c r="A6">
        <v>1</v>
      </c>
      <c r="B6">
        <v>5</v>
      </c>
      <c r="C6" t="s">
        <v>145</v>
      </c>
      <c r="D6" s="4">
        <v>50</v>
      </c>
      <c r="E6" s="4">
        <v>100</v>
      </c>
      <c r="F6" s="4">
        <v>200</v>
      </c>
      <c r="H6" s="4">
        <v>48</v>
      </c>
    </row>
    <row r="7" spans="1:8" x14ac:dyDescent="0.35">
      <c r="A7">
        <v>1</v>
      </c>
      <c r="B7">
        <v>6</v>
      </c>
      <c r="C7" t="s">
        <v>146</v>
      </c>
      <c r="D7" s="4">
        <v>10</v>
      </c>
      <c r="E7" s="4">
        <v>20</v>
      </c>
      <c r="F7" s="4">
        <v>30</v>
      </c>
      <c r="H7" s="4">
        <v>33</v>
      </c>
    </row>
    <row r="8" spans="1:8" x14ac:dyDescent="0.35">
      <c r="A8">
        <v>1</v>
      </c>
      <c r="B8">
        <v>7</v>
      </c>
      <c r="C8" t="s">
        <v>147</v>
      </c>
      <c r="D8" s="4">
        <v>10</v>
      </c>
      <c r="E8" s="4">
        <v>50</v>
      </c>
      <c r="F8" s="4">
        <v>90</v>
      </c>
      <c r="H8" s="4">
        <v>37</v>
      </c>
    </row>
    <row r="9" spans="1:8" x14ac:dyDescent="0.35">
      <c r="A9">
        <v>1</v>
      </c>
      <c r="B9">
        <v>8</v>
      </c>
      <c r="C9" t="s">
        <v>148</v>
      </c>
      <c r="D9" s="4">
        <v>50</v>
      </c>
      <c r="E9" s="4">
        <v>150</v>
      </c>
      <c r="F9" s="4">
        <v>300</v>
      </c>
      <c r="H9" s="4">
        <v>122.85</v>
      </c>
    </row>
    <row r="10" spans="1:8" x14ac:dyDescent="0.35">
      <c r="A10">
        <v>1</v>
      </c>
      <c r="B10">
        <v>9</v>
      </c>
      <c r="C10" t="s">
        <v>149</v>
      </c>
      <c r="D10" s="4">
        <v>300</v>
      </c>
      <c r="E10" s="4">
        <v>500</v>
      </c>
      <c r="F10" s="4">
        <v>1500</v>
      </c>
      <c r="H10" s="4">
        <v>1203</v>
      </c>
    </row>
    <row r="11" spans="1:8" x14ac:dyDescent="0.35">
      <c r="A11">
        <v>1</v>
      </c>
      <c r="B11">
        <v>10</v>
      </c>
      <c r="C11" t="s">
        <v>150</v>
      </c>
      <c r="D11" s="4">
        <v>100</v>
      </c>
      <c r="E11" s="4">
        <v>150</v>
      </c>
      <c r="F11" s="4">
        <v>250</v>
      </c>
      <c r="H11" s="4">
        <v>242</v>
      </c>
    </row>
    <row r="12" spans="1:8" x14ac:dyDescent="0.35">
      <c r="A12">
        <v>1</v>
      </c>
      <c r="B12">
        <v>11</v>
      </c>
      <c r="C12" t="s">
        <v>151</v>
      </c>
      <c r="D12" s="4">
        <v>5</v>
      </c>
      <c r="E12" s="4">
        <v>20</v>
      </c>
      <c r="F12" s="4">
        <v>50</v>
      </c>
      <c r="H12" s="4">
        <v>12.1</v>
      </c>
    </row>
    <row r="13" spans="1:8" x14ac:dyDescent="0.35">
      <c r="A13">
        <v>1</v>
      </c>
      <c r="B13">
        <v>12</v>
      </c>
      <c r="C13" t="s">
        <v>152</v>
      </c>
      <c r="D13" s="4">
        <v>6</v>
      </c>
      <c r="E13" s="4">
        <v>12</v>
      </c>
      <c r="F13" s="4">
        <v>24</v>
      </c>
      <c r="H13" s="4">
        <v>32.6</v>
      </c>
    </row>
    <row r="14" spans="1:8" x14ac:dyDescent="0.35">
      <c r="A14">
        <v>1</v>
      </c>
      <c r="B14">
        <v>13</v>
      </c>
      <c r="C14" t="s">
        <v>153</v>
      </c>
      <c r="D14" s="4">
        <v>30</v>
      </c>
      <c r="E14" s="4">
        <v>100</v>
      </c>
      <c r="F14" s="4">
        <v>300</v>
      </c>
      <c r="H14" s="4">
        <v>900</v>
      </c>
    </row>
    <row r="15" spans="1:8" x14ac:dyDescent="0.35">
      <c r="A15">
        <v>1</v>
      </c>
      <c r="B15">
        <v>14</v>
      </c>
      <c r="C15" t="s">
        <v>154</v>
      </c>
      <c r="D15" s="4">
        <v>20</v>
      </c>
      <c r="E15" s="4">
        <v>40</v>
      </c>
      <c r="F15" s="4">
        <v>80</v>
      </c>
      <c r="H15" s="4">
        <v>41</v>
      </c>
    </row>
    <row r="16" spans="1:8" x14ac:dyDescent="0.35">
      <c r="A16">
        <v>1</v>
      </c>
      <c r="B16">
        <v>15</v>
      </c>
      <c r="C16" t="s">
        <v>155</v>
      </c>
      <c r="D16" s="4">
        <v>0.4</v>
      </c>
      <c r="E16" s="4">
        <v>1</v>
      </c>
      <c r="F16" s="4">
        <v>1.6</v>
      </c>
      <c r="H16" s="4">
        <v>2.4</v>
      </c>
    </row>
    <row r="17" spans="1:8" x14ac:dyDescent="0.35">
      <c r="A17">
        <v>1</v>
      </c>
      <c r="B17">
        <v>16</v>
      </c>
      <c r="C17" t="s">
        <v>156</v>
      </c>
      <c r="D17" s="4">
        <v>0.5</v>
      </c>
      <c r="E17" s="4">
        <v>3</v>
      </c>
      <c r="F17" s="4">
        <v>6</v>
      </c>
      <c r="H17" s="4">
        <v>67</v>
      </c>
    </row>
    <row r="18" spans="1:8" x14ac:dyDescent="0.35">
      <c r="A18">
        <v>2</v>
      </c>
      <c r="B18">
        <v>1</v>
      </c>
      <c r="C18" t="s">
        <v>141</v>
      </c>
      <c r="D18" s="4">
        <v>5</v>
      </c>
      <c r="E18" s="4">
        <v>100</v>
      </c>
      <c r="F18" s="4">
        <v>5000</v>
      </c>
    </row>
    <row r="19" spans="1:8" x14ac:dyDescent="0.35">
      <c r="A19">
        <v>2</v>
      </c>
      <c r="B19">
        <v>2</v>
      </c>
      <c r="C19" t="s">
        <v>142</v>
      </c>
      <c r="D19" s="4">
        <v>50</v>
      </c>
      <c r="E19" s="4">
        <v>75</v>
      </c>
      <c r="F19" s="4">
        <v>90</v>
      </c>
    </row>
    <row r="20" spans="1:8" x14ac:dyDescent="0.35">
      <c r="A20">
        <v>2</v>
      </c>
      <c r="B20">
        <v>3</v>
      </c>
      <c r="C20" t="s">
        <v>143</v>
      </c>
      <c r="D20" s="4">
        <v>5</v>
      </c>
      <c r="E20" s="4">
        <v>50</v>
      </c>
      <c r="F20" s="4">
        <v>95</v>
      </c>
    </row>
    <row r="21" spans="1:8" x14ac:dyDescent="0.35">
      <c r="A21">
        <v>2</v>
      </c>
      <c r="B21">
        <v>4</v>
      </c>
      <c r="C21" t="s">
        <v>144</v>
      </c>
      <c r="D21" s="4">
        <v>1</v>
      </c>
      <c r="E21" s="4">
        <v>100</v>
      </c>
      <c r="F21" s="4">
        <v>1000</v>
      </c>
    </row>
    <row r="22" spans="1:8" x14ac:dyDescent="0.35">
      <c r="A22">
        <v>2</v>
      </c>
      <c r="B22">
        <v>5</v>
      </c>
      <c r="C22" t="s">
        <v>145</v>
      </c>
      <c r="D22" s="4">
        <v>10</v>
      </c>
      <c r="E22" s="4">
        <v>100</v>
      </c>
      <c r="F22" s="4">
        <v>500</v>
      </c>
    </row>
    <row r="23" spans="1:8" x14ac:dyDescent="0.35">
      <c r="A23">
        <v>2</v>
      </c>
      <c r="B23">
        <v>6</v>
      </c>
      <c r="C23" t="s">
        <v>146</v>
      </c>
      <c r="D23" s="4">
        <v>10</v>
      </c>
      <c r="E23" s="4">
        <v>30</v>
      </c>
      <c r="F23" s="4">
        <v>50</v>
      </c>
    </row>
    <row r="24" spans="1:8" x14ac:dyDescent="0.35">
      <c r="A24">
        <v>2</v>
      </c>
      <c r="B24">
        <v>7</v>
      </c>
      <c r="C24" t="s">
        <v>147</v>
      </c>
      <c r="D24" s="4">
        <v>5</v>
      </c>
      <c r="E24" s="4">
        <v>10</v>
      </c>
      <c r="F24" s="4">
        <v>50</v>
      </c>
    </row>
    <row r="25" spans="1:8" x14ac:dyDescent="0.35">
      <c r="A25">
        <v>2</v>
      </c>
      <c r="B25">
        <v>8</v>
      </c>
      <c r="C25" t="s">
        <v>148</v>
      </c>
      <c r="D25" s="4">
        <v>100</v>
      </c>
      <c r="E25" s="4">
        <v>300</v>
      </c>
      <c r="F25" s="4">
        <v>1000</v>
      </c>
    </row>
    <row r="26" spans="1:8" x14ac:dyDescent="0.35">
      <c r="A26">
        <v>2</v>
      </c>
      <c r="B26">
        <v>9</v>
      </c>
      <c r="C26" t="s">
        <v>149</v>
      </c>
      <c r="D26" s="4">
        <v>1</v>
      </c>
      <c r="E26" s="4">
        <v>50</v>
      </c>
      <c r="F26" s="4">
        <v>1000</v>
      </c>
    </row>
    <row r="27" spans="1:8" x14ac:dyDescent="0.35">
      <c r="A27">
        <v>2</v>
      </c>
      <c r="B27">
        <v>10</v>
      </c>
      <c r="C27" t="s">
        <v>150</v>
      </c>
      <c r="D27" s="4">
        <v>180</v>
      </c>
      <c r="E27" s="4">
        <v>300</v>
      </c>
      <c r="F27" s="4">
        <v>450</v>
      </c>
    </row>
    <row r="28" spans="1:8" x14ac:dyDescent="0.35">
      <c r="A28">
        <v>2</v>
      </c>
      <c r="B28">
        <v>11</v>
      </c>
      <c r="C28" t="s">
        <v>151</v>
      </c>
      <c r="D28" s="4">
        <v>2</v>
      </c>
      <c r="E28" s="4">
        <v>10</v>
      </c>
      <c r="F28" s="4">
        <v>20</v>
      </c>
    </row>
    <row r="29" spans="1:8" x14ac:dyDescent="0.35">
      <c r="A29">
        <v>2</v>
      </c>
      <c r="B29">
        <v>12</v>
      </c>
      <c r="C29" t="s">
        <v>152</v>
      </c>
      <c r="D29" s="4">
        <v>5</v>
      </c>
      <c r="E29" s="4">
        <v>10</v>
      </c>
      <c r="F29" s="4">
        <v>48</v>
      </c>
    </row>
    <row r="30" spans="1:8" x14ac:dyDescent="0.35">
      <c r="A30">
        <v>2</v>
      </c>
      <c r="B30">
        <v>13</v>
      </c>
      <c r="C30" t="s">
        <v>153</v>
      </c>
      <c r="D30" s="4">
        <v>0.1</v>
      </c>
      <c r="E30" s="4">
        <v>1</v>
      </c>
      <c r="F30" s="4">
        <v>5</v>
      </c>
    </row>
    <row r="31" spans="1:8" x14ac:dyDescent="0.35">
      <c r="A31">
        <v>2</v>
      </c>
      <c r="B31">
        <v>14</v>
      </c>
      <c r="C31" t="s">
        <v>154</v>
      </c>
      <c r="D31" s="4">
        <v>2</v>
      </c>
      <c r="E31" s="4">
        <v>3</v>
      </c>
      <c r="F31" s="4">
        <v>6</v>
      </c>
    </row>
    <row r="32" spans="1:8" x14ac:dyDescent="0.35">
      <c r="A32">
        <v>2</v>
      </c>
      <c r="B32">
        <v>15</v>
      </c>
      <c r="C32" t="s">
        <v>155</v>
      </c>
      <c r="D32" s="4">
        <v>0.5</v>
      </c>
      <c r="E32" s="4">
        <v>1.5</v>
      </c>
      <c r="F32" s="4">
        <v>2</v>
      </c>
    </row>
    <row r="33" spans="1:6" x14ac:dyDescent="0.35">
      <c r="A33">
        <v>2</v>
      </c>
      <c r="B33">
        <v>16</v>
      </c>
      <c r="C33" t="s">
        <v>156</v>
      </c>
      <c r="D33" s="4">
        <v>0.05</v>
      </c>
      <c r="E33" s="4">
        <v>0.5</v>
      </c>
      <c r="F33" s="4">
        <v>1</v>
      </c>
    </row>
    <row r="34" spans="1:6" x14ac:dyDescent="0.35">
      <c r="A34">
        <v>3</v>
      </c>
      <c r="B34">
        <v>1</v>
      </c>
      <c r="C34" t="s">
        <v>141</v>
      </c>
      <c r="D34" s="4">
        <v>50</v>
      </c>
      <c r="E34" s="4">
        <v>300</v>
      </c>
      <c r="F34" s="4">
        <v>3000</v>
      </c>
    </row>
    <row r="35" spans="1:6" x14ac:dyDescent="0.35">
      <c r="A35">
        <v>3</v>
      </c>
      <c r="B35">
        <v>2</v>
      </c>
      <c r="C35" t="s">
        <v>142</v>
      </c>
      <c r="D35" s="4">
        <v>50</v>
      </c>
      <c r="E35" s="4">
        <v>60</v>
      </c>
      <c r="F35" s="4">
        <v>80</v>
      </c>
    </row>
    <row r="36" spans="1:6" x14ac:dyDescent="0.35">
      <c r="A36">
        <v>3</v>
      </c>
      <c r="B36">
        <v>3</v>
      </c>
      <c r="C36" t="s">
        <v>143</v>
      </c>
      <c r="D36" s="4">
        <v>2</v>
      </c>
      <c r="E36" s="4">
        <v>5</v>
      </c>
      <c r="F36" s="4">
        <v>10</v>
      </c>
    </row>
    <row r="37" spans="1:6" x14ac:dyDescent="0.35">
      <c r="A37">
        <v>3</v>
      </c>
      <c r="B37">
        <v>4</v>
      </c>
      <c r="C37" t="s">
        <v>144</v>
      </c>
      <c r="D37" s="4">
        <v>1</v>
      </c>
      <c r="E37" s="4">
        <v>2</v>
      </c>
      <c r="F37" s="4">
        <v>10</v>
      </c>
    </row>
    <row r="38" spans="1:6" x14ac:dyDescent="0.35">
      <c r="A38">
        <v>3</v>
      </c>
      <c r="B38">
        <v>5</v>
      </c>
      <c r="C38" t="s">
        <v>145</v>
      </c>
      <c r="D38" s="4">
        <v>10</v>
      </c>
      <c r="E38" s="4">
        <v>50</v>
      </c>
      <c r="F38" s="4">
        <v>100</v>
      </c>
    </row>
    <row r="39" spans="1:6" x14ac:dyDescent="0.35">
      <c r="A39">
        <v>3</v>
      </c>
      <c r="B39">
        <v>6</v>
      </c>
      <c r="C39" t="s">
        <v>146</v>
      </c>
      <c r="D39" s="4">
        <v>60</v>
      </c>
      <c r="E39" s="4">
        <v>80</v>
      </c>
      <c r="F39" s="4">
        <v>95</v>
      </c>
    </row>
    <row r="40" spans="1:6" x14ac:dyDescent="0.35">
      <c r="A40">
        <v>3</v>
      </c>
      <c r="B40">
        <v>7</v>
      </c>
      <c r="C40" t="s">
        <v>147</v>
      </c>
      <c r="D40" s="4">
        <v>1.0000000000000001E-5</v>
      </c>
      <c r="E40" s="4">
        <v>50</v>
      </c>
      <c r="F40" s="4">
        <v>100</v>
      </c>
    </row>
    <row r="41" spans="1:6" x14ac:dyDescent="0.35">
      <c r="A41">
        <v>3</v>
      </c>
      <c r="B41">
        <v>8</v>
      </c>
      <c r="C41" t="s">
        <v>148</v>
      </c>
      <c r="D41" s="4">
        <v>300</v>
      </c>
      <c r="E41" s="4">
        <v>1000</v>
      </c>
      <c r="F41" s="4">
        <v>2000</v>
      </c>
    </row>
    <row r="42" spans="1:6" x14ac:dyDescent="0.35">
      <c r="A42">
        <v>3</v>
      </c>
      <c r="B42">
        <v>9</v>
      </c>
      <c r="C42" t="s">
        <v>149</v>
      </c>
      <c r="D42" s="4">
        <v>100</v>
      </c>
      <c r="E42" s="4">
        <v>500</v>
      </c>
      <c r="F42" s="4">
        <v>1000</v>
      </c>
    </row>
    <row r="43" spans="1:6" x14ac:dyDescent="0.35">
      <c r="A43">
        <v>3</v>
      </c>
      <c r="B43">
        <v>10</v>
      </c>
      <c r="C43" t="s">
        <v>150</v>
      </c>
      <c r="D43" s="4">
        <v>60</v>
      </c>
      <c r="E43" s="4">
        <v>100</v>
      </c>
      <c r="F43" s="4">
        <v>150</v>
      </c>
    </row>
    <row r="44" spans="1:6" x14ac:dyDescent="0.35">
      <c r="A44">
        <v>3</v>
      </c>
      <c r="B44">
        <v>11</v>
      </c>
      <c r="C44" t="s">
        <v>151</v>
      </c>
      <c r="D44" s="4">
        <v>1</v>
      </c>
      <c r="E44" s="4">
        <v>5</v>
      </c>
      <c r="F44" s="4">
        <v>10</v>
      </c>
    </row>
    <row r="45" spans="1:6" x14ac:dyDescent="0.35">
      <c r="A45">
        <v>3</v>
      </c>
      <c r="B45">
        <v>12</v>
      </c>
      <c r="C45" t="s">
        <v>152</v>
      </c>
      <c r="D45" s="4">
        <v>2</v>
      </c>
      <c r="E45" s="4">
        <v>12</v>
      </c>
      <c r="F45" s="4">
        <v>24</v>
      </c>
    </row>
    <row r="46" spans="1:6" x14ac:dyDescent="0.35">
      <c r="A46">
        <v>3</v>
      </c>
      <c r="B46">
        <v>13</v>
      </c>
      <c r="C46" t="s">
        <v>153</v>
      </c>
      <c r="D46" s="4">
        <v>100</v>
      </c>
      <c r="E46" s="4">
        <v>300</v>
      </c>
      <c r="F46" s="4">
        <v>500</v>
      </c>
    </row>
    <row r="47" spans="1:6" x14ac:dyDescent="0.35">
      <c r="A47">
        <v>3</v>
      </c>
      <c r="B47">
        <v>14</v>
      </c>
      <c r="C47" t="s">
        <v>154</v>
      </c>
      <c r="D47" s="4">
        <v>30</v>
      </c>
      <c r="E47" s="4">
        <v>40</v>
      </c>
      <c r="F47" s="4">
        <v>50</v>
      </c>
    </row>
    <row r="48" spans="1:6" x14ac:dyDescent="0.35">
      <c r="A48">
        <v>3</v>
      </c>
      <c r="B48">
        <v>15</v>
      </c>
      <c r="C48" t="s">
        <v>155</v>
      </c>
      <c r="D48" s="4">
        <v>0.8</v>
      </c>
      <c r="E48" s="4">
        <v>1</v>
      </c>
      <c r="F48" s="4">
        <v>1.2</v>
      </c>
    </row>
    <row r="49" spans="1:6" x14ac:dyDescent="0.35">
      <c r="A49">
        <v>3</v>
      </c>
      <c r="B49">
        <v>16</v>
      </c>
      <c r="C49" t="s">
        <v>156</v>
      </c>
      <c r="D49" s="4">
        <v>0.5</v>
      </c>
      <c r="E49" s="4">
        <v>1</v>
      </c>
      <c r="F49" s="4">
        <v>3</v>
      </c>
    </row>
    <row r="50" spans="1:6" x14ac:dyDescent="0.35">
      <c r="A50">
        <v>4</v>
      </c>
      <c r="B50">
        <v>1</v>
      </c>
      <c r="C50" t="s">
        <v>141</v>
      </c>
      <c r="D50" s="4">
        <v>300</v>
      </c>
      <c r="E50" s="4">
        <v>600</v>
      </c>
      <c r="F50" s="4">
        <v>1000</v>
      </c>
    </row>
    <row r="51" spans="1:6" x14ac:dyDescent="0.35">
      <c r="A51">
        <v>4</v>
      </c>
      <c r="B51">
        <v>2</v>
      </c>
      <c r="C51" t="s">
        <v>142</v>
      </c>
      <c r="D51" s="4">
        <v>40</v>
      </c>
      <c r="E51" s="4">
        <v>75</v>
      </c>
      <c r="F51" s="4">
        <v>95</v>
      </c>
    </row>
    <row r="52" spans="1:6" x14ac:dyDescent="0.35">
      <c r="A52">
        <v>4</v>
      </c>
      <c r="B52">
        <v>3</v>
      </c>
      <c r="C52" t="s">
        <v>143</v>
      </c>
      <c r="D52" s="4">
        <v>20</v>
      </c>
      <c r="E52" s="4">
        <v>30</v>
      </c>
      <c r="F52" s="4">
        <v>50</v>
      </c>
    </row>
    <row r="53" spans="1:6" x14ac:dyDescent="0.35">
      <c r="A53">
        <v>4</v>
      </c>
      <c r="B53">
        <v>4</v>
      </c>
      <c r="C53" t="s">
        <v>144</v>
      </c>
      <c r="D53" s="4">
        <v>500</v>
      </c>
      <c r="E53" s="4">
        <v>30000</v>
      </c>
      <c r="F53" s="4">
        <v>50000</v>
      </c>
    </row>
    <row r="54" spans="1:6" x14ac:dyDescent="0.35">
      <c r="A54">
        <v>4</v>
      </c>
      <c r="B54">
        <v>5</v>
      </c>
      <c r="C54" t="s">
        <v>145</v>
      </c>
      <c r="D54" s="4">
        <v>100</v>
      </c>
      <c r="E54" s="4">
        <v>150</v>
      </c>
      <c r="F54" s="4">
        <v>300</v>
      </c>
    </row>
    <row r="55" spans="1:6" x14ac:dyDescent="0.35">
      <c r="A55">
        <v>4</v>
      </c>
      <c r="B55">
        <v>6</v>
      </c>
      <c r="C55" t="s">
        <v>146</v>
      </c>
      <c r="D55" s="4">
        <v>15</v>
      </c>
      <c r="E55" s="4">
        <v>20</v>
      </c>
      <c r="F55" s="4">
        <v>25</v>
      </c>
    </row>
    <row r="56" spans="1:6" x14ac:dyDescent="0.35">
      <c r="A56">
        <v>4</v>
      </c>
      <c r="B56">
        <v>7</v>
      </c>
      <c r="C56" t="s">
        <v>147</v>
      </c>
      <c r="D56" s="4">
        <v>15</v>
      </c>
      <c r="E56" s="4">
        <v>20</v>
      </c>
      <c r="F56" s="4">
        <v>30</v>
      </c>
    </row>
    <row r="57" spans="1:6" x14ac:dyDescent="0.35">
      <c r="A57">
        <v>4</v>
      </c>
      <c r="B57">
        <v>8</v>
      </c>
      <c r="C57" t="s">
        <v>148</v>
      </c>
      <c r="D57" s="4">
        <v>150</v>
      </c>
      <c r="E57" s="4">
        <v>250</v>
      </c>
      <c r="F57" s="4">
        <v>500</v>
      </c>
    </row>
    <row r="58" spans="1:6" x14ac:dyDescent="0.35">
      <c r="A58">
        <v>4</v>
      </c>
      <c r="B58">
        <v>9</v>
      </c>
      <c r="C58" t="s">
        <v>149</v>
      </c>
      <c r="D58" s="4">
        <v>300</v>
      </c>
      <c r="E58" s="4">
        <v>600</v>
      </c>
      <c r="F58" s="4">
        <v>1205</v>
      </c>
    </row>
    <row r="59" spans="1:6" x14ac:dyDescent="0.35">
      <c r="A59">
        <v>4</v>
      </c>
      <c r="B59">
        <v>10</v>
      </c>
      <c r="C59" t="s">
        <v>150</v>
      </c>
      <c r="D59" s="4">
        <v>120</v>
      </c>
      <c r="E59" s="4">
        <v>200</v>
      </c>
      <c r="F59" s="4">
        <v>350</v>
      </c>
    </row>
    <row r="60" spans="1:6" x14ac:dyDescent="0.35">
      <c r="A60">
        <v>4</v>
      </c>
      <c r="B60">
        <v>11</v>
      </c>
      <c r="C60" t="s">
        <v>151</v>
      </c>
      <c r="D60" s="4">
        <v>20</v>
      </c>
      <c r="E60" s="4">
        <v>110</v>
      </c>
      <c r="F60" s="4">
        <v>170</v>
      </c>
    </row>
    <row r="61" spans="1:6" x14ac:dyDescent="0.35">
      <c r="A61">
        <v>4</v>
      </c>
      <c r="B61">
        <v>12</v>
      </c>
      <c r="C61" t="s">
        <v>152</v>
      </c>
      <c r="D61" s="4">
        <v>4</v>
      </c>
      <c r="E61" s="4">
        <v>15</v>
      </c>
      <c r="F61" s="4">
        <v>28</v>
      </c>
    </row>
    <row r="62" spans="1:6" x14ac:dyDescent="0.35">
      <c r="A62">
        <v>4</v>
      </c>
      <c r="B62">
        <v>13</v>
      </c>
      <c r="C62" t="s">
        <v>153</v>
      </c>
      <c r="D62" s="4">
        <v>50</v>
      </c>
      <c r="E62" s="4">
        <v>100</v>
      </c>
      <c r="F62" s="4">
        <v>300</v>
      </c>
    </row>
    <row r="63" spans="1:6" x14ac:dyDescent="0.35">
      <c r="A63">
        <v>4</v>
      </c>
      <c r="B63">
        <v>14</v>
      </c>
      <c r="C63" t="s">
        <v>154</v>
      </c>
      <c r="D63" s="4">
        <v>-10</v>
      </c>
      <c r="E63" s="4">
        <v>20</v>
      </c>
      <c r="F63" s="4">
        <v>50</v>
      </c>
    </row>
    <row r="64" spans="1:6" x14ac:dyDescent="0.35">
      <c r="A64">
        <v>4</v>
      </c>
      <c r="B64">
        <v>15</v>
      </c>
      <c r="C64" t="s">
        <v>155</v>
      </c>
      <c r="D64" s="4">
        <v>0.5</v>
      </c>
      <c r="E64" s="4">
        <v>1.5</v>
      </c>
      <c r="F64" s="4">
        <v>3</v>
      </c>
    </row>
    <row r="65" spans="1:6" x14ac:dyDescent="0.35">
      <c r="A65">
        <v>4</v>
      </c>
      <c r="B65">
        <v>16</v>
      </c>
      <c r="C65" t="s">
        <v>156</v>
      </c>
      <c r="D65" s="4">
        <v>0.03</v>
      </c>
      <c r="E65" s="4">
        <v>0.15</v>
      </c>
      <c r="F65" s="4">
        <v>0.3</v>
      </c>
    </row>
    <row r="66" spans="1:6" x14ac:dyDescent="0.35">
      <c r="A66">
        <v>5</v>
      </c>
      <c r="B66">
        <v>1</v>
      </c>
      <c r="C66" t="s">
        <v>141</v>
      </c>
      <c r="D66" s="4">
        <v>200</v>
      </c>
      <c r="E66" s="4">
        <v>400</v>
      </c>
      <c r="F66" s="4">
        <v>600</v>
      </c>
    </row>
    <row r="67" spans="1:6" x14ac:dyDescent="0.35">
      <c r="A67">
        <v>5</v>
      </c>
      <c r="B67">
        <v>2</v>
      </c>
      <c r="C67" t="s">
        <v>142</v>
      </c>
      <c r="D67" s="4">
        <v>10</v>
      </c>
      <c r="E67" s="4">
        <v>20</v>
      </c>
      <c r="F67" s="4">
        <v>75</v>
      </c>
    </row>
    <row r="68" spans="1:6" x14ac:dyDescent="0.35">
      <c r="A68">
        <v>5</v>
      </c>
      <c r="B68">
        <v>3</v>
      </c>
      <c r="C68" t="s">
        <v>143</v>
      </c>
      <c r="D68" s="4">
        <v>1</v>
      </c>
      <c r="E68" s="4">
        <v>5</v>
      </c>
      <c r="F68" s="4">
        <v>10</v>
      </c>
    </row>
    <row r="69" spans="1:6" x14ac:dyDescent="0.35">
      <c r="A69">
        <v>5</v>
      </c>
      <c r="B69">
        <v>4</v>
      </c>
      <c r="C69" t="s">
        <v>144</v>
      </c>
      <c r="D69" s="4">
        <v>0.1</v>
      </c>
      <c r="E69" s="4">
        <v>2</v>
      </c>
      <c r="F69" s="4">
        <v>50</v>
      </c>
    </row>
    <row r="70" spans="1:6" x14ac:dyDescent="0.35">
      <c r="A70">
        <v>5</v>
      </c>
      <c r="B70">
        <v>5</v>
      </c>
      <c r="C70" t="s">
        <v>145</v>
      </c>
      <c r="D70" s="4">
        <v>100</v>
      </c>
      <c r="E70" s="4">
        <v>150</v>
      </c>
      <c r="F70" s="4">
        <v>250</v>
      </c>
    </row>
    <row r="71" spans="1:6" x14ac:dyDescent="0.35">
      <c r="A71">
        <v>5</v>
      </c>
      <c r="B71">
        <v>6</v>
      </c>
      <c r="C71" t="s">
        <v>146</v>
      </c>
      <c r="D71" s="4">
        <v>10</v>
      </c>
      <c r="E71" s="4">
        <v>25</v>
      </c>
      <c r="F71" s="4">
        <v>50</v>
      </c>
    </row>
    <row r="72" spans="1:6" x14ac:dyDescent="0.35">
      <c r="A72">
        <v>5</v>
      </c>
      <c r="B72">
        <v>7</v>
      </c>
      <c r="C72" t="s">
        <v>147</v>
      </c>
      <c r="D72" s="4">
        <v>19</v>
      </c>
      <c r="E72" s="4">
        <v>20</v>
      </c>
      <c r="F72" s="4">
        <v>21</v>
      </c>
    </row>
    <row r="73" spans="1:6" x14ac:dyDescent="0.35">
      <c r="A73">
        <v>5</v>
      </c>
      <c r="B73">
        <v>8</v>
      </c>
      <c r="C73" t="s">
        <v>148</v>
      </c>
      <c r="D73" s="4">
        <v>700</v>
      </c>
      <c r="E73" s="4">
        <v>900</v>
      </c>
      <c r="F73" s="4">
        <v>1200</v>
      </c>
    </row>
    <row r="74" spans="1:6" x14ac:dyDescent="0.35">
      <c r="A74">
        <v>5</v>
      </c>
      <c r="B74">
        <v>9</v>
      </c>
      <c r="C74" t="s">
        <v>149</v>
      </c>
      <c r="D74" s="4">
        <v>800</v>
      </c>
      <c r="E74" s="4">
        <v>1100</v>
      </c>
      <c r="F74" s="4">
        <v>1300</v>
      </c>
    </row>
    <row r="75" spans="1:6" x14ac:dyDescent="0.35">
      <c r="A75">
        <v>5</v>
      </c>
      <c r="B75">
        <v>10</v>
      </c>
      <c r="C75" t="s">
        <v>150</v>
      </c>
      <c r="D75" s="4">
        <v>70</v>
      </c>
      <c r="E75" s="4">
        <v>100</v>
      </c>
      <c r="F75" s="4">
        <v>150</v>
      </c>
    </row>
    <row r="76" spans="1:6" x14ac:dyDescent="0.35">
      <c r="A76">
        <v>5</v>
      </c>
      <c r="B76">
        <v>11</v>
      </c>
      <c r="C76" t="s">
        <v>151</v>
      </c>
      <c r="D76" s="4">
        <v>10</v>
      </c>
      <c r="E76" s="4">
        <v>100</v>
      </c>
      <c r="F76" s="4">
        <v>200</v>
      </c>
    </row>
    <row r="77" spans="1:6" x14ac:dyDescent="0.35">
      <c r="A77">
        <v>5</v>
      </c>
      <c r="B77">
        <v>12</v>
      </c>
      <c r="C77" t="s">
        <v>152</v>
      </c>
      <c r="D77" s="4">
        <v>5</v>
      </c>
      <c r="E77" s="4">
        <v>20</v>
      </c>
      <c r="F77" s="4">
        <v>30</v>
      </c>
    </row>
    <row r="78" spans="1:6" x14ac:dyDescent="0.35">
      <c r="A78">
        <v>5</v>
      </c>
      <c r="B78">
        <v>13</v>
      </c>
      <c r="C78" t="s">
        <v>153</v>
      </c>
      <c r="D78" s="4">
        <v>100</v>
      </c>
      <c r="E78" s="4">
        <v>200</v>
      </c>
      <c r="F78" s="4">
        <v>300</v>
      </c>
    </row>
    <row r="79" spans="1:6" x14ac:dyDescent="0.35">
      <c r="A79">
        <v>5</v>
      </c>
      <c r="B79">
        <v>14</v>
      </c>
      <c r="C79" t="s">
        <v>154</v>
      </c>
      <c r="D79" s="4">
        <v>2</v>
      </c>
      <c r="E79" s="4">
        <v>4</v>
      </c>
      <c r="F79" s="4">
        <v>8</v>
      </c>
    </row>
    <row r="80" spans="1:6" x14ac:dyDescent="0.35">
      <c r="A80">
        <v>5</v>
      </c>
      <c r="B80">
        <v>15</v>
      </c>
      <c r="C80" t="s">
        <v>155</v>
      </c>
      <c r="D80" s="4">
        <v>1</v>
      </c>
      <c r="E80" s="4">
        <v>4</v>
      </c>
      <c r="F80" s="4">
        <v>5</v>
      </c>
    </row>
    <row r="81" spans="1:6" x14ac:dyDescent="0.35">
      <c r="A81">
        <v>5</v>
      </c>
      <c r="B81">
        <v>16</v>
      </c>
      <c r="C81" t="s">
        <v>156</v>
      </c>
      <c r="D81" s="4">
        <v>0.03</v>
      </c>
      <c r="E81" s="4">
        <v>0.25</v>
      </c>
      <c r="F81" s="4">
        <v>1</v>
      </c>
    </row>
    <row r="82" spans="1:6" x14ac:dyDescent="0.35">
      <c r="A82">
        <v>6</v>
      </c>
      <c r="B82">
        <v>1</v>
      </c>
      <c r="C82" t="s">
        <v>141</v>
      </c>
      <c r="D82" s="4">
        <v>100</v>
      </c>
      <c r="E82" s="4">
        <v>600</v>
      </c>
      <c r="F82" s="4">
        <v>3000</v>
      </c>
    </row>
    <row r="83" spans="1:6" x14ac:dyDescent="0.35">
      <c r="A83">
        <v>6</v>
      </c>
      <c r="B83">
        <v>2</v>
      </c>
      <c r="C83" t="s">
        <v>142</v>
      </c>
      <c r="D83" s="4">
        <v>10</v>
      </c>
      <c r="E83" s="4">
        <v>30</v>
      </c>
      <c r="F83" s="4">
        <v>70</v>
      </c>
    </row>
    <row r="84" spans="1:6" x14ac:dyDescent="0.35">
      <c r="A84">
        <v>6</v>
      </c>
      <c r="B84">
        <v>3</v>
      </c>
      <c r="C84" t="s">
        <v>143</v>
      </c>
      <c r="D84" s="4">
        <v>0.1</v>
      </c>
      <c r="E84" s="4">
        <v>10</v>
      </c>
      <c r="F84" s="4">
        <v>40</v>
      </c>
    </row>
    <row r="85" spans="1:6" x14ac:dyDescent="0.35">
      <c r="A85">
        <v>6</v>
      </c>
      <c r="B85">
        <v>4</v>
      </c>
      <c r="C85" t="s">
        <v>144</v>
      </c>
      <c r="D85" s="4">
        <v>0.1</v>
      </c>
      <c r="E85" s="4">
        <v>100</v>
      </c>
      <c r="F85" s="4">
        <v>100000</v>
      </c>
    </row>
    <row r="86" spans="1:6" x14ac:dyDescent="0.35">
      <c r="A86">
        <v>6</v>
      </c>
      <c r="B86">
        <v>5</v>
      </c>
      <c r="C86" t="s">
        <v>145</v>
      </c>
      <c r="D86" s="4">
        <v>80</v>
      </c>
      <c r="E86" s="4">
        <v>200</v>
      </c>
      <c r="F86" s="4">
        <v>400</v>
      </c>
    </row>
    <row r="87" spans="1:6" x14ac:dyDescent="0.35">
      <c r="A87">
        <v>6</v>
      </c>
      <c r="B87">
        <v>6</v>
      </c>
      <c r="C87" t="s">
        <v>146</v>
      </c>
      <c r="D87" s="4">
        <v>10</v>
      </c>
      <c r="E87" s="4">
        <v>20</v>
      </c>
      <c r="F87" s="4">
        <v>40</v>
      </c>
    </row>
    <row r="88" spans="1:6" x14ac:dyDescent="0.35">
      <c r="A88">
        <v>6</v>
      </c>
      <c r="B88">
        <v>7</v>
      </c>
      <c r="C88" t="s">
        <v>147</v>
      </c>
      <c r="D88" s="4">
        <v>10</v>
      </c>
      <c r="E88" s="4">
        <v>20</v>
      </c>
      <c r="F88" s="4">
        <v>30</v>
      </c>
    </row>
    <row r="89" spans="1:6" x14ac:dyDescent="0.35">
      <c r="A89">
        <v>6</v>
      </c>
      <c r="B89">
        <v>8</v>
      </c>
      <c r="C89" t="s">
        <v>148</v>
      </c>
      <c r="D89" s="4">
        <v>200</v>
      </c>
      <c r="E89" s="4">
        <v>400</v>
      </c>
      <c r="F89" s="4">
        <v>2000</v>
      </c>
    </row>
    <row r="90" spans="1:6" x14ac:dyDescent="0.35">
      <c r="A90">
        <v>6</v>
      </c>
      <c r="B90">
        <v>9</v>
      </c>
      <c r="C90" t="s">
        <v>149</v>
      </c>
      <c r="D90" s="4">
        <v>100</v>
      </c>
      <c r="E90" s="4">
        <v>800</v>
      </c>
      <c r="F90" s="4">
        <v>2000</v>
      </c>
    </row>
    <row r="91" spans="1:6" x14ac:dyDescent="0.35">
      <c r="A91">
        <v>6</v>
      </c>
      <c r="B91">
        <v>10</v>
      </c>
      <c r="C91" t="s">
        <v>150</v>
      </c>
      <c r="D91" s="4">
        <v>40</v>
      </c>
      <c r="E91" s="4">
        <v>80</v>
      </c>
      <c r="F91" s="4">
        <v>150</v>
      </c>
    </row>
    <row r="92" spans="1:6" x14ac:dyDescent="0.35">
      <c r="A92">
        <v>6</v>
      </c>
      <c r="B92">
        <v>11</v>
      </c>
      <c r="C92" t="s">
        <v>151</v>
      </c>
      <c r="D92" s="4">
        <v>10</v>
      </c>
      <c r="E92" s="4">
        <v>30</v>
      </c>
      <c r="F92" s="4">
        <v>50</v>
      </c>
    </row>
    <row r="93" spans="1:6" x14ac:dyDescent="0.35">
      <c r="A93">
        <v>6</v>
      </c>
      <c r="B93">
        <v>12</v>
      </c>
      <c r="C93" t="s">
        <v>152</v>
      </c>
      <c r="D93" s="4">
        <v>2</v>
      </c>
      <c r="E93" s="4">
        <v>20</v>
      </c>
      <c r="F93" s="4">
        <v>50</v>
      </c>
    </row>
    <row r="94" spans="1:6" x14ac:dyDescent="0.35">
      <c r="A94">
        <v>6</v>
      </c>
      <c r="B94">
        <v>13</v>
      </c>
      <c r="C94" t="s">
        <v>153</v>
      </c>
      <c r="D94" s="4">
        <v>50</v>
      </c>
      <c r="E94" s="4">
        <v>200</v>
      </c>
      <c r="F94" s="4">
        <v>1000</v>
      </c>
    </row>
    <row r="95" spans="1:6" x14ac:dyDescent="0.35">
      <c r="A95">
        <v>6</v>
      </c>
      <c r="B95">
        <v>14</v>
      </c>
      <c r="C95" t="s">
        <v>154</v>
      </c>
      <c r="D95" s="4">
        <v>0.5</v>
      </c>
      <c r="E95" s="4">
        <v>5</v>
      </c>
      <c r="F95" s="4">
        <v>10</v>
      </c>
    </row>
    <row r="96" spans="1:6" x14ac:dyDescent="0.35">
      <c r="A96">
        <v>6</v>
      </c>
      <c r="B96">
        <v>15</v>
      </c>
      <c r="C96" t="s">
        <v>155</v>
      </c>
      <c r="D96" s="4">
        <v>0.5</v>
      </c>
      <c r="E96" s="4">
        <v>2</v>
      </c>
      <c r="F96" s="4">
        <v>3</v>
      </c>
    </row>
    <row r="97" spans="1:6" x14ac:dyDescent="0.35">
      <c r="A97">
        <v>6</v>
      </c>
      <c r="B97">
        <v>16</v>
      </c>
      <c r="C97" t="s">
        <v>156</v>
      </c>
      <c r="D97" s="4">
        <v>1E-3</v>
      </c>
      <c r="E97" s="4">
        <v>0.2</v>
      </c>
      <c r="F97" s="4">
        <v>1</v>
      </c>
    </row>
    <row r="98" spans="1:6" x14ac:dyDescent="0.35">
      <c r="A98">
        <v>7</v>
      </c>
      <c r="B98">
        <v>1</v>
      </c>
      <c r="C98" t="s">
        <v>141</v>
      </c>
      <c r="D98" s="4">
        <v>25</v>
      </c>
      <c r="E98" s="4">
        <v>500</v>
      </c>
      <c r="F98" s="4">
        <v>5000</v>
      </c>
    </row>
    <row r="99" spans="1:6" x14ac:dyDescent="0.35">
      <c r="A99">
        <v>7</v>
      </c>
      <c r="B99">
        <v>2</v>
      </c>
      <c r="C99" t="s">
        <v>142</v>
      </c>
      <c r="D99" s="4">
        <v>5</v>
      </c>
      <c r="E99" s="4">
        <v>20</v>
      </c>
      <c r="F99" s="4">
        <v>35</v>
      </c>
    </row>
    <row r="100" spans="1:6" x14ac:dyDescent="0.35">
      <c r="A100">
        <v>7</v>
      </c>
      <c r="B100">
        <v>3</v>
      </c>
      <c r="C100" t="s">
        <v>143</v>
      </c>
      <c r="D100" s="4">
        <v>9</v>
      </c>
      <c r="E100" s="4">
        <v>20</v>
      </c>
      <c r="F100" s="4">
        <v>30</v>
      </c>
    </row>
    <row r="101" spans="1:6" x14ac:dyDescent="0.35">
      <c r="A101">
        <v>7</v>
      </c>
      <c r="B101">
        <v>4</v>
      </c>
      <c r="C101" t="s">
        <v>144</v>
      </c>
      <c r="D101" s="4">
        <v>1E-3</v>
      </c>
      <c r="E101" s="4">
        <v>0.01</v>
      </c>
      <c r="F101" s="4">
        <v>1</v>
      </c>
    </row>
    <row r="102" spans="1:6" x14ac:dyDescent="0.35">
      <c r="A102">
        <v>7</v>
      </c>
      <c r="B102">
        <v>5</v>
      </c>
      <c r="C102" t="s">
        <v>145</v>
      </c>
      <c r="D102" s="4">
        <v>10</v>
      </c>
      <c r="E102" s="4">
        <v>40</v>
      </c>
      <c r="F102" s="4">
        <v>200</v>
      </c>
    </row>
    <row r="103" spans="1:6" x14ac:dyDescent="0.35">
      <c r="A103">
        <v>7</v>
      </c>
      <c r="B103">
        <v>6</v>
      </c>
      <c r="C103" t="s">
        <v>146</v>
      </c>
      <c r="D103" s="4">
        <v>50</v>
      </c>
      <c r="E103" s="4">
        <v>60</v>
      </c>
      <c r="F103" s="4">
        <v>95</v>
      </c>
    </row>
    <row r="104" spans="1:6" x14ac:dyDescent="0.35">
      <c r="A104">
        <v>7</v>
      </c>
      <c r="B104">
        <v>7</v>
      </c>
      <c r="C104" t="s">
        <v>147</v>
      </c>
      <c r="D104" s="4">
        <v>5</v>
      </c>
      <c r="E104" s="4">
        <v>20</v>
      </c>
      <c r="F104" s="4">
        <v>30</v>
      </c>
    </row>
    <row r="105" spans="1:6" x14ac:dyDescent="0.35">
      <c r="A105">
        <v>7</v>
      </c>
      <c r="B105">
        <v>8</v>
      </c>
      <c r="C105" t="s">
        <v>148</v>
      </c>
      <c r="D105" s="4">
        <v>20</v>
      </c>
      <c r="E105" s="4">
        <v>200</v>
      </c>
      <c r="F105" s="4">
        <v>1600</v>
      </c>
    </row>
    <row r="106" spans="1:6" x14ac:dyDescent="0.35">
      <c r="A106">
        <v>7</v>
      </c>
      <c r="B106">
        <v>9</v>
      </c>
      <c r="C106" t="s">
        <v>149</v>
      </c>
      <c r="D106" s="4">
        <v>0.1</v>
      </c>
      <c r="E106" s="4">
        <v>1</v>
      </c>
      <c r="F106" s="4">
        <v>10</v>
      </c>
    </row>
    <row r="107" spans="1:6" x14ac:dyDescent="0.35">
      <c r="A107">
        <v>7</v>
      </c>
      <c r="B107">
        <v>10</v>
      </c>
      <c r="C107" t="s">
        <v>150</v>
      </c>
      <c r="D107" s="4">
        <v>500</v>
      </c>
      <c r="E107" s="4">
        <v>1000</v>
      </c>
      <c r="F107" s="4">
        <v>2000</v>
      </c>
    </row>
    <row r="108" spans="1:6" x14ac:dyDescent="0.35">
      <c r="A108">
        <v>7</v>
      </c>
      <c r="B108">
        <v>11</v>
      </c>
      <c r="C108" t="s">
        <v>151</v>
      </c>
      <c r="D108" s="4">
        <v>10</v>
      </c>
      <c r="E108" s="4">
        <v>40</v>
      </c>
      <c r="F108" s="4">
        <v>100</v>
      </c>
    </row>
    <row r="109" spans="1:6" x14ac:dyDescent="0.35">
      <c r="A109">
        <v>7</v>
      </c>
      <c r="B109">
        <v>12</v>
      </c>
      <c r="C109" t="s">
        <v>152</v>
      </c>
      <c r="D109" s="4">
        <v>50</v>
      </c>
      <c r="E109" s="4">
        <v>100</v>
      </c>
      <c r="F109" s="4">
        <v>600</v>
      </c>
    </row>
    <row r="110" spans="1:6" x14ac:dyDescent="0.35">
      <c r="A110">
        <v>7</v>
      </c>
      <c r="B110">
        <v>13</v>
      </c>
      <c r="C110" t="s">
        <v>153</v>
      </c>
      <c r="D110" s="4">
        <v>2</v>
      </c>
      <c r="E110" s="4">
        <v>5</v>
      </c>
      <c r="F110" s="4">
        <v>250</v>
      </c>
    </row>
    <row r="111" spans="1:6" x14ac:dyDescent="0.35">
      <c r="A111">
        <v>7</v>
      </c>
      <c r="B111">
        <v>14</v>
      </c>
      <c r="C111" t="s">
        <v>154</v>
      </c>
      <c r="D111" s="4">
        <v>1E-3</v>
      </c>
      <c r="E111" s="4">
        <v>0.01</v>
      </c>
      <c r="F111" s="4">
        <v>0.1</v>
      </c>
    </row>
    <row r="112" spans="1:6" x14ac:dyDescent="0.35">
      <c r="A112">
        <v>7</v>
      </c>
      <c r="B112">
        <v>15</v>
      </c>
      <c r="C112" t="s">
        <v>155</v>
      </c>
      <c r="D112" s="4">
        <v>0.5</v>
      </c>
      <c r="E112" s="4">
        <v>1</v>
      </c>
      <c r="F112" s="4">
        <v>2</v>
      </c>
    </row>
    <row r="113" spans="1:6" x14ac:dyDescent="0.35">
      <c r="A113">
        <v>7</v>
      </c>
      <c r="B113">
        <v>16</v>
      </c>
      <c r="C113" t="s">
        <v>156</v>
      </c>
      <c r="D113" s="4">
        <v>0.01</v>
      </c>
      <c r="E113" s="4">
        <v>0.5</v>
      </c>
      <c r="F113" s="4">
        <v>1</v>
      </c>
    </row>
    <row r="114" spans="1:6" x14ac:dyDescent="0.35">
      <c r="A114">
        <v>8</v>
      </c>
      <c r="B114">
        <v>1</v>
      </c>
      <c r="C114" t="s">
        <v>141</v>
      </c>
      <c r="D114" s="4">
        <v>50</v>
      </c>
      <c r="E114" s="4">
        <v>800</v>
      </c>
      <c r="F114" s="4">
        <v>2000</v>
      </c>
    </row>
    <row r="115" spans="1:6" x14ac:dyDescent="0.35">
      <c r="A115">
        <v>8</v>
      </c>
      <c r="B115">
        <v>2</v>
      </c>
      <c r="C115" t="s">
        <v>142</v>
      </c>
      <c r="D115" s="4">
        <v>1</v>
      </c>
      <c r="E115" s="4">
        <v>50</v>
      </c>
      <c r="F115" s="4">
        <v>90</v>
      </c>
    </row>
    <row r="116" spans="1:6" x14ac:dyDescent="0.35">
      <c r="A116">
        <v>8</v>
      </c>
      <c r="B116">
        <v>3</v>
      </c>
      <c r="C116" t="s">
        <v>143</v>
      </c>
      <c r="D116" s="4">
        <v>5</v>
      </c>
      <c r="E116" s="4">
        <v>20</v>
      </c>
      <c r="F116" s="4">
        <v>70</v>
      </c>
    </row>
    <row r="117" spans="1:6" x14ac:dyDescent="0.35">
      <c r="A117">
        <v>8</v>
      </c>
      <c r="B117">
        <v>4</v>
      </c>
      <c r="C117" t="s">
        <v>144</v>
      </c>
      <c r="D117" s="4">
        <v>1</v>
      </c>
      <c r="E117" s="4">
        <v>500</v>
      </c>
      <c r="F117" s="4">
        <v>100000</v>
      </c>
    </row>
    <row r="118" spans="1:6" x14ac:dyDescent="0.35">
      <c r="A118">
        <v>8</v>
      </c>
      <c r="B118">
        <v>5</v>
      </c>
      <c r="C118" t="s">
        <v>145</v>
      </c>
      <c r="D118" s="4">
        <v>100</v>
      </c>
      <c r="E118" s="4">
        <v>200</v>
      </c>
      <c r="F118" s="4">
        <v>800</v>
      </c>
    </row>
    <row r="119" spans="1:6" x14ac:dyDescent="0.35">
      <c r="A119">
        <v>8</v>
      </c>
      <c r="B119">
        <v>6</v>
      </c>
      <c r="C119" t="s">
        <v>146</v>
      </c>
      <c r="D119" s="4">
        <v>10</v>
      </c>
      <c r="E119" s="4">
        <v>20</v>
      </c>
      <c r="F119" s="4">
        <v>30</v>
      </c>
    </row>
    <row r="120" spans="1:6" x14ac:dyDescent="0.35">
      <c r="A120">
        <v>8</v>
      </c>
      <c r="B120">
        <v>7</v>
      </c>
      <c r="C120" t="s">
        <v>147</v>
      </c>
      <c r="D120" s="4">
        <v>5</v>
      </c>
      <c r="E120" s="4">
        <v>20</v>
      </c>
      <c r="F120" s="4">
        <v>60</v>
      </c>
    </row>
    <row r="121" spans="1:6" x14ac:dyDescent="0.35">
      <c r="A121">
        <v>8</v>
      </c>
      <c r="B121">
        <v>8</v>
      </c>
      <c r="C121" t="s">
        <v>148</v>
      </c>
      <c r="D121" s="4">
        <v>100</v>
      </c>
      <c r="E121" s="4">
        <v>400</v>
      </c>
      <c r="F121" s="4">
        <v>1500</v>
      </c>
    </row>
    <row r="122" spans="1:6" x14ac:dyDescent="0.35">
      <c r="A122">
        <v>8</v>
      </c>
      <c r="B122">
        <v>9</v>
      </c>
      <c r="C122" t="s">
        <v>149</v>
      </c>
      <c r="D122" s="4">
        <v>50</v>
      </c>
      <c r="E122" s="4">
        <v>800</v>
      </c>
      <c r="F122" s="4">
        <v>2000</v>
      </c>
    </row>
    <row r="123" spans="1:6" x14ac:dyDescent="0.35">
      <c r="A123">
        <v>8</v>
      </c>
      <c r="B123">
        <v>10</v>
      </c>
      <c r="C123" t="s">
        <v>150</v>
      </c>
      <c r="D123" s="4">
        <v>20</v>
      </c>
      <c r="E123" s="4">
        <v>80</v>
      </c>
      <c r="F123" s="4">
        <v>200</v>
      </c>
    </row>
    <row r="124" spans="1:6" x14ac:dyDescent="0.35">
      <c r="A124">
        <v>8</v>
      </c>
      <c r="B124">
        <v>11</v>
      </c>
      <c r="C124" t="s">
        <v>151</v>
      </c>
      <c r="D124" s="4">
        <v>10</v>
      </c>
      <c r="E124" s="4">
        <v>40</v>
      </c>
      <c r="F124" s="4">
        <v>70</v>
      </c>
    </row>
    <row r="125" spans="1:6" x14ac:dyDescent="0.35">
      <c r="A125">
        <v>8</v>
      </c>
      <c r="B125">
        <v>12</v>
      </c>
      <c r="C125" t="s">
        <v>152</v>
      </c>
      <c r="D125" s="4">
        <v>1</v>
      </c>
      <c r="E125" s="4">
        <v>48</v>
      </c>
      <c r="F125" s="4">
        <v>240</v>
      </c>
    </row>
    <row r="126" spans="1:6" x14ac:dyDescent="0.35">
      <c r="A126">
        <v>8</v>
      </c>
      <c r="B126">
        <v>13</v>
      </c>
      <c r="C126" t="s">
        <v>153</v>
      </c>
      <c r="D126" s="4">
        <v>10</v>
      </c>
      <c r="E126" s="4">
        <v>250</v>
      </c>
      <c r="F126" s="4">
        <v>600</v>
      </c>
    </row>
    <row r="127" spans="1:6" x14ac:dyDescent="0.35">
      <c r="A127">
        <v>8</v>
      </c>
      <c r="B127">
        <v>14</v>
      </c>
      <c r="C127" t="s">
        <v>154</v>
      </c>
      <c r="D127" s="4">
        <v>0.01</v>
      </c>
      <c r="E127" s="4">
        <v>2</v>
      </c>
      <c r="F127" s="4">
        <v>100</v>
      </c>
    </row>
    <row r="128" spans="1:6" x14ac:dyDescent="0.35">
      <c r="A128">
        <v>8</v>
      </c>
      <c r="B128">
        <v>15</v>
      </c>
      <c r="C128" t="s">
        <v>155</v>
      </c>
      <c r="D128" s="4">
        <v>0.1</v>
      </c>
      <c r="E128" s="4">
        <v>1</v>
      </c>
      <c r="F128" s="4">
        <v>10</v>
      </c>
    </row>
    <row r="129" spans="1:6" x14ac:dyDescent="0.35">
      <c r="A129">
        <v>8</v>
      </c>
      <c r="B129">
        <v>16</v>
      </c>
      <c r="C129" t="s">
        <v>156</v>
      </c>
      <c r="D129" s="4">
        <v>1E-4</v>
      </c>
      <c r="E129" s="4">
        <v>6</v>
      </c>
      <c r="F129" s="4">
        <v>300</v>
      </c>
    </row>
    <row r="130" spans="1:6" x14ac:dyDescent="0.35">
      <c r="A130">
        <v>9</v>
      </c>
      <c r="B130">
        <v>1</v>
      </c>
      <c r="C130" t="s">
        <v>141</v>
      </c>
      <c r="D130" s="4">
        <v>100</v>
      </c>
      <c r="E130" s="4">
        <v>244</v>
      </c>
      <c r="F130" s="4">
        <v>500</v>
      </c>
    </row>
    <row r="131" spans="1:6" x14ac:dyDescent="0.35">
      <c r="A131">
        <v>9</v>
      </c>
      <c r="B131">
        <v>2</v>
      </c>
      <c r="C131" t="s">
        <v>142</v>
      </c>
      <c r="D131" s="4">
        <v>70</v>
      </c>
      <c r="E131" s="4">
        <v>80</v>
      </c>
      <c r="F131" s="4">
        <v>95</v>
      </c>
    </row>
    <row r="132" spans="1:6" x14ac:dyDescent="0.35">
      <c r="A132">
        <v>9</v>
      </c>
      <c r="B132">
        <v>3</v>
      </c>
      <c r="C132" t="s">
        <v>143</v>
      </c>
      <c r="D132" s="4">
        <v>9</v>
      </c>
      <c r="E132" s="4">
        <v>9.1</v>
      </c>
      <c r="F132" s="4">
        <v>9.1999999999999993</v>
      </c>
    </row>
    <row r="133" spans="1:6" x14ac:dyDescent="0.35">
      <c r="A133">
        <v>9</v>
      </c>
      <c r="B133">
        <v>4</v>
      </c>
      <c r="C133" t="s">
        <v>144</v>
      </c>
      <c r="D133" s="4">
        <v>1</v>
      </c>
      <c r="E133" s="4">
        <v>10</v>
      </c>
      <c r="F133" s="4">
        <v>100</v>
      </c>
    </row>
    <row r="134" spans="1:6" x14ac:dyDescent="0.35">
      <c r="A134">
        <v>9</v>
      </c>
      <c r="B134">
        <v>5</v>
      </c>
      <c r="C134" t="s">
        <v>145</v>
      </c>
      <c r="D134" s="4">
        <v>15</v>
      </c>
      <c r="E134" s="4">
        <v>25</v>
      </c>
      <c r="F134" s="4">
        <v>40</v>
      </c>
    </row>
    <row r="135" spans="1:6" x14ac:dyDescent="0.35">
      <c r="A135">
        <v>9</v>
      </c>
      <c r="B135">
        <v>6</v>
      </c>
      <c r="C135" t="s">
        <v>146</v>
      </c>
      <c r="D135" s="4">
        <v>50</v>
      </c>
      <c r="E135" s="4">
        <v>70</v>
      </c>
      <c r="F135" s="4">
        <v>80</v>
      </c>
    </row>
    <row r="136" spans="1:6" x14ac:dyDescent="0.35">
      <c r="A136">
        <v>9</v>
      </c>
      <c r="B136">
        <v>7</v>
      </c>
      <c r="C136" t="s">
        <v>147</v>
      </c>
      <c r="D136" s="4">
        <v>0.1</v>
      </c>
      <c r="E136" s="4">
        <v>3</v>
      </c>
      <c r="F136" s="4">
        <v>6</v>
      </c>
    </row>
    <row r="137" spans="1:6" x14ac:dyDescent="0.35">
      <c r="A137">
        <v>9</v>
      </c>
      <c r="B137">
        <v>8</v>
      </c>
      <c r="C137" t="s">
        <v>148</v>
      </c>
      <c r="D137" s="4">
        <v>60</v>
      </c>
      <c r="E137" s="4">
        <v>90</v>
      </c>
      <c r="F137" s="4">
        <v>150</v>
      </c>
    </row>
    <row r="138" spans="1:6" x14ac:dyDescent="0.35">
      <c r="A138">
        <v>9</v>
      </c>
      <c r="B138">
        <v>9</v>
      </c>
      <c r="C138" t="s">
        <v>149</v>
      </c>
      <c r="D138" s="4">
        <v>500</v>
      </c>
      <c r="E138" s="4">
        <v>1200</v>
      </c>
      <c r="F138" s="4">
        <v>2000</v>
      </c>
    </row>
    <row r="139" spans="1:6" x14ac:dyDescent="0.35">
      <c r="A139">
        <v>9</v>
      </c>
      <c r="B139">
        <v>10</v>
      </c>
      <c r="C139" t="s">
        <v>150</v>
      </c>
      <c r="D139" s="4">
        <v>130</v>
      </c>
      <c r="E139" s="4">
        <v>200</v>
      </c>
      <c r="F139" s="4">
        <v>250</v>
      </c>
    </row>
    <row r="140" spans="1:6" x14ac:dyDescent="0.35">
      <c r="A140">
        <v>9</v>
      </c>
      <c r="B140">
        <v>11</v>
      </c>
      <c r="C140" t="s">
        <v>151</v>
      </c>
      <c r="D140" s="4">
        <v>-80</v>
      </c>
      <c r="E140" s="4">
        <v>1.0000000000000001E-5</v>
      </c>
      <c r="F140" s="4">
        <v>80</v>
      </c>
    </row>
    <row r="141" spans="1:6" x14ac:dyDescent="0.35">
      <c r="A141">
        <v>9</v>
      </c>
      <c r="B141">
        <v>12</v>
      </c>
      <c r="C141" t="s">
        <v>152</v>
      </c>
      <c r="D141" s="4">
        <v>1</v>
      </c>
      <c r="E141" s="4">
        <v>5</v>
      </c>
      <c r="F141" s="4">
        <v>15</v>
      </c>
    </row>
    <row r="142" spans="1:6" x14ac:dyDescent="0.35">
      <c r="A142">
        <v>9</v>
      </c>
      <c r="B142">
        <v>13</v>
      </c>
      <c r="C142" t="s">
        <v>153</v>
      </c>
      <c r="D142" s="4">
        <v>1</v>
      </c>
      <c r="E142" s="4">
        <v>10</v>
      </c>
      <c r="F142" s="4">
        <v>30</v>
      </c>
    </row>
    <row r="143" spans="1:6" x14ac:dyDescent="0.35">
      <c r="A143">
        <v>9</v>
      </c>
      <c r="B143">
        <v>14</v>
      </c>
      <c r="C143" t="s">
        <v>154</v>
      </c>
      <c r="D143" s="4">
        <v>30</v>
      </c>
      <c r="E143" s="4">
        <v>45</v>
      </c>
      <c r="F143" s="4">
        <v>55</v>
      </c>
    </row>
    <row r="144" spans="1:6" x14ac:dyDescent="0.35">
      <c r="A144">
        <v>9</v>
      </c>
      <c r="B144">
        <v>15</v>
      </c>
      <c r="C144" t="s">
        <v>155</v>
      </c>
      <c r="D144" s="4">
        <v>0.3</v>
      </c>
      <c r="E144" s="4">
        <v>1</v>
      </c>
      <c r="F144" s="4">
        <v>3</v>
      </c>
    </row>
    <row r="145" spans="1:6" x14ac:dyDescent="0.35">
      <c r="A145">
        <v>9</v>
      </c>
      <c r="B145">
        <v>16</v>
      </c>
      <c r="C145" t="s">
        <v>156</v>
      </c>
      <c r="D145" s="4">
        <v>0.03</v>
      </c>
      <c r="E145" s="4">
        <v>1</v>
      </c>
      <c r="F145" s="4">
        <v>3</v>
      </c>
    </row>
    <row r="146" spans="1:6" x14ac:dyDescent="0.35">
      <c r="A146">
        <v>10</v>
      </c>
      <c r="B146">
        <v>1</v>
      </c>
      <c r="C146" t="s">
        <v>141</v>
      </c>
      <c r="D146" s="4">
        <v>30</v>
      </c>
      <c r="E146" s="4">
        <v>60</v>
      </c>
      <c r="F146" s="4">
        <v>90</v>
      </c>
    </row>
    <row r="147" spans="1:6" x14ac:dyDescent="0.35">
      <c r="A147">
        <v>10</v>
      </c>
      <c r="B147">
        <v>2</v>
      </c>
      <c r="C147" t="s">
        <v>142</v>
      </c>
      <c r="D147" s="4">
        <v>10</v>
      </c>
      <c r="E147" s="4">
        <v>20</v>
      </c>
      <c r="F147" s="4">
        <v>70</v>
      </c>
    </row>
    <row r="148" spans="1:6" x14ac:dyDescent="0.35">
      <c r="A148">
        <v>10</v>
      </c>
      <c r="B148">
        <v>3</v>
      </c>
      <c r="C148" t="s">
        <v>143</v>
      </c>
      <c r="D148" s="4">
        <v>10</v>
      </c>
      <c r="E148" s="4">
        <v>20</v>
      </c>
      <c r="F148" s="4">
        <v>30</v>
      </c>
    </row>
    <row r="149" spans="1:6" x14ac:dyDescent="0.35">
      <c r="A149">
        <v>10</v>
      </c>
      <c r="B149">
        <v>4</v>
      </c>
      <c r="C149" t="s">
        <v>144</v>
      </c>
      <c r="D149" s="4">
        <v>4</v>
      </c>
      <c r="E149" s="4">
        <v>10</v>
      </c>
      <c r="F149" s="4">
        <v>20</v>
      </c>
    </row>
    <row r="150" spans="1:6" x14ac:dyDescent="0.35">
      <c r="A150">
        <v>10</v>
      </c>
      <c r="B150">
        <v>5</v>
      </c>
      <c r="C150" t="s">
        <v>145</v>
      </c>
      <c r="D150" s="4">
        <v>100</v>
      </c>
      <c r="E150" s="4">
        <v>200</v>
      </c>
      <c r="F150" s="4">
        <v>600</v>
      </c>
    </row>
    <row r="151" spans="1:6" x14ac:dyDescent="0.35">
      <c r="A151">
        <v>10</v>
      </c>
      <c r="B151">
        <v>6</v>
      </c>
      <c r="C151" t="s">
        <v>146</v>
      </c>
      <c r="D151" s="4">
        <v>10</v>
      </c>
      <c r="E151" s="4">
        <v>20</v>
      </c>
      <c r="F151" s="4">
        <v>50</v>
      </c>
    </row>
    <row r="152" spans="1:6" x14ac:dyDescent="0.35">
      <c r="A152">
        <v>10</v>
      </c>
      <c r="B152">
        <v>7</v>
      </c>
      <c r="C152" t="s">
        <v>147</v>
      </c>
      <c r="D152" s="4">
        <v>10</v>
      </c>
      <c r="E152" s="4">
        <v>20</v>
      </c>
      <c r="F152" s="4">
        <v>30</v>
      </c>
    </row>
    <row r="153" spans="1:6" x14ac:dyDescent="0.35">
      <c r="A153">
        <v>10</v>
      </c>
      <c r="B153">
        <v>8</v>
      </c>
      <c r="C153" t="s">
        <v>148</v>
      </c>
      <c r="D153" s="4">
        <v>100</v>
      </c>
      <c r="E153" s="4">
        <v>900</v>
      </c>
      <c r="F153" s="4">
        <v>1200</v>
      </c>
    </row>
    <row r="154" spans="1:6" x14ac:dyDescent="0.35">
      <c r="A154">
        <v>10</v>
      </c>
      <c r="B154">
        <v>9</v>
      </c>
      <c r="C154" t="s">
        <v>149</v>
      </c>
      <c r="D154" s="4">
        <v>100</v>
      </c>
      <c r="E154" s="4">
        <v>1000</v>
      </c>
      <c r="F154" s="4">
        <v>1500</v>
      </c>
    </row>
    <row r="155" spans="1:6" x14ac:dyDescent="0.35">
      <c r="A155">
        <v>10</v>
      </c>
      <c r="B155">
        <v>10</v>
      </c>
      <c r="C155" t="s">
        <v>150</v>
      </c>
      <c r="D155" s="4">
        <v>20</v>
      </c>
      <c r="E155" s="4">
        <v>40</v>
      </c>
      <c r="F155" s="4">
        <v>100</v>
      </c>
    </row>
    <row r="156" spans="1:6" x14ac:dyDescent="0.35">
      <c r="A156">
        <v>10</v>
      </c>
      <c r="B156">
        <v>11</v>
      </c>
      <c r="C156" t="s">
        <v>151</v>
      </c>
      <c r="D156" s="4">
        <v>10</v>
      </c>
      <c r="E156" s="4">
        <v>75</v>
      </c>
      <c r="F156" s="4">
        <v>100</v>
      </c>
    </row>
    <row r="157" spans="1:6" x14ac:dyDescent="0.35">
      <c r="A157">
        <v>10</v>
      </c>
      <c r="B157">
        <v>12</v>
      </c>
      <c r="C157" t="s">
        <v>152</v>
      </c>
      <c r="D157" s="4">
        <v>5</v>
      </c>
      <c r="E157" s="4">
        <v>12</v>
      </c>
      <c r="F157" s="4">
        <v>18</v>
      </c>
    </row>
    <row r="158" spans="1:6" x14ac:dyDescent="0.35">
      <c r="A158">
        <v>10</v>
      </c>
      <c r="B158">
        <v>13</v>
      </c>
      <c r="C158" t="s">
        <v>153</v>
      </c>
      <c r="D158" s="4">
        <v>100</v>
      </c>
      <c r="E158" s="4">
        <v>200</v>
      </c>
      <c r="F158" s="4">
        <v>300</v>
      </c>
    </row>
    <row r="159" spans="1:6" x14ac:dyDescent="0.35">
      <c r="A159">
        <v>10</v>
      </c>
      <c r="B159">
        <v>14</v>
      </c>
      <c r="C159" t="s">
        <v>154</v>
      </c>
      <c r="D159" s="4">
        <v>5</v>
      </c>
      <c r="E159" s="4">
        <v>8</v>
      </c>
      <c r="F159" s="4">
        <v>10</v>
      </c>
    </row>
    <row r="160" spans="1:6" x14ac:dyDescent="0.35">
      <c r="A160">
        <v>10</v>
      </c>
      <c r="B160">
        <v>15</v>
      </c>
      <c r="C160" t="s">
        <v>155</v>
      </c>
      <c r="D160" s="4">
        <v>0.7</v>
      </c>
      <c r="E160" s="4">
        <v>1.5</v>
      </c>
      <c r="F160" s="4">
        <v>2</v>
      </c>
    </row>
    <row r="161" spans="1:6" x14ac:dyDescent="0.35">
      <c r="A161">
        <v>10</v>
      </c>
      <c r="B161">
        <v>16</v>
      </c>
      <c r="C161" t="s">
        <v>156</v>
      </c>
      <c r="D161" s="4">
        <v>6.0000000000000001E-3</v>
      </c>
      <c r="E161" s="4">
        <v>6</v>
      </c>
      <c r="F161" s="4">
        <v>12</v>
      </c>
    </row>
    <row r="162" spans="1:6" x14ac:dyDescent="0.35">
      <c r="A162">
        <v>11</v>
      </c>
      <c r="B162">
        <v>1</v>
      </c>
      <c r="C162" t="s">
        <v>141</v>
      </c>
      <c r="D162" s="4">
        <v>30</v>
      </c>
      <c r="E162" s="4">
        <v>70</v>
      </c>
      <c r="F162" s="4">
        <v>95</v>
      </c>
    </row>
    <row r="163" spans="1:6" x14ac:dyDescent="0.35">
      <c r="A163">
        <v>11</v>
      </c>
      <c r="B163">
        <v>2</v>
      </c>
      <c r="C163" t="s">
        <v>142</v>
      </c>
      <c r="D163" s="4">
        <v>1</v>
      </c>
      <c r="E163" s="4">
        <v>10</v>
      </c>
      <c r="F163" s="4">
        <v>60</v>
      </c>
    </row>
    <row r="164" spans="1:6" x14ac:dyDescent="0.35">
      <c r="A164">
        <v>11</v>
      </c>
      <c r="B164">
        <v>3</v>
      </c>
      <c r="C164" t="s">
        <v>143</v>
      </c>
      <c r="D164" s="4">
        <v>5</v>
      </c>
      <c r="E164" s="4">
        <v>20</v>
      </c>
      <c r="F164" s="4">
        <v>70</v>
      </c>
    </row>
    <row r="165" spans="1:6" x14ac:dyDescent="0.35">
      <c r="A165">
        <v>11</v>
      </c>
      <c r="B165">
        <v>4</v>
      </c>
      <c r="C165" t="s">
        <v>144</v>
      </c>
      <c r="D165" s="4">
        <v>1</v>
      </c>
      <c r="E165" s="4">
        <v>20</v>
      </c>
      <c r="F165" s="4">
        <v>100</v>
      </c>
    </row>
    <row r="166" spans="1:6" x14ac:dyDescent="0.35">
      <c r="A166">
        <v>11</v>
      </c>
      <c r="B166">
        <v>5</v>
      </c>
      <c r="C166" t="s">
        <v>145</v>
      </c>
      <c r="D166" s="4">
        <v>50</v>
      </c>
      <c r="E166" s="4">
        <v>300</v>
      </c>
      <c r="F166" s="4">
        <v>700</v>
      </c>
    </row>
    <row r="167" spans="1:6" x14ac:dyDescent="0.35">
      <c r="A167">
        <v>11</v>
      </c>
      <c r="B167">
        <v>6</v>
      </c>
      <c r="C167" t="s">
        <v>146</v>
      </c>
      <c r="D167" s="4">
        <v>5</v>
      </c>
      <c r="E167" s="4">
        <v>35</v>
      </c>
      <c r="F167" s="4">
        <v>70</v>
      </c>
    </row>
    <row r="168" spans="1:6" x14ac:dyDescent="0.35">
      <c r="A168">
        <v>11</v>
      </c>
      <c r="B168">
        <v>7</v>
      </c>
      <c r="C168" t="s">
        <v>147</v>
      </c>
      <c r="D168" s="4">
        <v>5</v>
      </c>
      <c r="E168" s="4">
        <v>30</v>
      </c>
      <c r="F168" s="4">
        <v>60</v>
      </c>
    </row>
    <row r="169" spans="1:6" x14ac:dyDescent="0.35">
      <c r="A169">
        <v>11</v>
      </c>
      <c r="B169">
        <v>8</v>
      </c>
      <c r="C169" t="s">
        <v>148</v>
      </c>
      <c r="D169" s="4">
        <v>200</v>
      </c>
      <c r="E169" s="4">
        <v>900</v>
      </c>
      <c r="F169" s="4">
        <v>2000</v>
      </c>
    </row>
    <row r="170" spans="1:6" x14ac:dyDescent="0.35">
      <c r="A170">
        <v>11</v>
      </c>
      <c r="B170">
        <v>9</v>
      </c>
      <c r="C170" t="s">
        <v>149</v>
      </c>
      <c r="D170" s="4">
        <v>100</v>
      </c>
      <c r="E170" s="4">
        <v>1500</v>
      </c>
      <c r="F170" s="4">
        <v>1800</v>
      </c>
    </row>
    <row r="171" spans="1:6" x14ac:dyDescent="0.35">
      <c r="A171">
        <v>11</v>
      </c>
      <c r="B171">
        <v>10</v>
      </c>
      <c r="C171" t="s">
        <v>150</v>
      </c>
      <c r="D171" s="4">
        <v>600</v>
      </c>
      <c r="E171" s="4">
        <v>1300</v>
      </c>
      <c r="F171" s="4">
        <v>2000</v>
      </c>
    </row>
    <row r="172" spans="1:6" x14ac:dyDescent="0.35">
      <c r="A172">
        <v>11</v>
      </c>
      <c r="B172">
        <v>11</v>
      </c>
      <c r="C172" t="s">
        <v>151</v>
      </c>
      <c r="D172" s="4">
        <v>20</v>
      </c>
      <c r="E172" s="4">
        <v>80</v>
      </c>
      <c r="F172" s="4">
        <v>150</v>
      </c>
    </row>
    <row r="173" spans="1:6" x14ac:dyDescent="0.35">
      <c r="A173">
        <v>11</v>
      </c>
      <c r="B173">
        <v>12</v>
      </c>
      <c r="C173" t="s">
        <v>152</v>
      </c>
      <c r="D173" s="4">
        <v>5</v>
      </c>
      <c r="E173" s="4">
        <v>15</v>
      </c>
      <c r="F173" s="4">
        <v>24</v>
      </c>
    </row>
    <row r="174" spans="1:6" x14ac:dyDescent="0.35">
      <c r="A174">
        <v>11</v>
      </c>
      <c r="B174">
        <v>13</v>
      </c>
      <c r="C174" t="s">
        <v>153</v>
      </c>
      <c r="D174" s="4">
        <v>80</v>
      </c>
      <c r="E174" s="4">
        <v>200</v>
      </c>
      <c r="F174" s="4">
        <v>500</v>
      </c>
    </row>
    <row r="175" spans="1:6" x14ac:dyDescent="0.35">
      <c r="A175">
        <v>11</v>
      </c>
      <c r="B175">
        <v>14</v>
      </c>
      <c r="C175" t="s">
        <v>154</v>
      </c>
      <c r="D175" s="4">
        <v>1</v>
      </c>
      <c r="E175" s="4">
        <v>15</v>
      </c>
      <c r="F175" s="4">
        <v>45</v>
      </c>
    </row>
    <row r="176" spans="1:6" x14ac:dyDescent="0.35">
      <c r="A176">
        <v>11</v>
      </c>
      <c r="B176">
        <v>15</v>
      </c>
      <c r="C176" t="s">
        <v>155</v>
      </c>
      <c r="D176" s="4">
        <v>0.5</v>
      </c>
      <c r="E176" s="4">
        <v>1.5</v>
      </c>
      <c r="F176" s="4">
        <v>3</v>
      </c>
    </row>
    <row r="177" spans="1:6" x14ac:dyDescent="0.35">
      <c r="A177">
        <v>11</v>
      </c>
      <c r="B177">
        <v>16</v>
      </c>
      <c r="C177" t="s">
        <v>156</v>
      </c>
      <c r="D177" s="4">
        <v>0.03</v>
      </c>
      <c r="E177" s="4">
        <v>6</v>
      </c>
      <c r="F177" s="4">
        <v>12</v>
      </c>
    </row>
    <row r="178" spans="1:6" x14ac:dyDescent="0.35">
      <c r="A178">
        <v>12</v>
      </c>
      <c r="B178">
        <v>1</v>
      </c>
      <c r="C178" t="s">
        <v>141</v>
      </c>
      <c r="D178" s="4">
        <v>2000</v>
      </c>
      <c r="E178" s="4">
        <v>4000</v>
      </c>
      <c r="F178" s="4">
        <v>5000</v>
      </c>
    </row>
    <row r="179" spans="1:6" x14ac:dyDescent="0.35">
      <c r="A179">
        <v>12</v>
      </c>
      <c r="B179">
        <v>2</v>
      </c>
      <c r="C179" t="s">
        <v>142</v>
      </c>
      <c r="D179" s="4">
        <v>5</v>
      </c>
      <c r="E179" s="4">
        <v>20</v>
      </c>
      <c r="F179" s="4">
        <v>25</v>
      </c>
    </row>
    <row r="180" spans="1:6" x14ac:dyDescent="0.35">
      <c r="A180">
        <v>12</v>
      </c>
      <c r="B180">
        <v>3</v>
      </c>
      <c r="C180" t="s">
        <v>143</v>
      </c>
      <c r="D180" s="4">
        <v>30</v>
      </c>
      <c r="E180" s="4">
        <v>40</v>
      </c>
      <c r="F180" s="4">
        <v>50</v>
      </c>
    </row>
    <row r="181" spans="1:6" x14ac:dyDescent="0.35">
      <c r="A181">
        <v>12</v>
      </c>
      <c r="B181">
        <v>4</v>
      </c>
      <c r="C181" t="s">
        <v>144</v>
      </c>
      <c r="D181" s="4">
        <v>30</v>
      </c>
      <c r="E181" s="4">
        <v>50</v>
      </c>
      <c r="F181" s="4">
        <v>70</v>
      </c>
    </row>
    <row r="182" spans="1:6" x14ac:dyDescent="0.35">
      <c r="A182">
        <v>12</v>
      </c>
      <c r="B182">
        <v>5</v>
      </c>
      <c r="C182" t="s">
        <v>145</v>
      </c>
      <c r="D182" s="4">
        <v>650</v>
      </c>
      <c r="E182" s="4">
        <v>800</v>
      </c>
      <c r="F182" s="4">
        <v>900</v>
      </c>
    </row>
    <row r="183" spans="1:6" x14ac:dyDescent="0.35">
      <c r="A183">
        <v>12</v>
      </c>
      <c r="B183">
        <v>6</v>
      </c>
      <c r="C183" t="s">
        <v>146</v>
      </c>
      <c r="D183" s="4">
        <v>25</v>
      </c>
      <c r="E183" s="4">
        <v>35</v>
      </c>
      <c r="F183" s="4">
        <v>60</v>
      </c>
    </row>
    <row r="184" spans="1:6" x14ac:dyDescent="0.35">
      <c r="A184">
        <v>12</v>
      </c>
      <c r="B184">
        <v>7</v>
      </c>
      <c r="C184" t="s">
        <v>147</v>
      </c>
      <c r="D184" s="4">
        <v>25</v>
      </c>
      <c r="E184" s="4">
        <v>30</v>
      </c>
      <c r="F184" s="4">
        <v>35</v>
      </c>
    </row>
    <row r="185" spans="1:6" x14ac:dyDescent="0.35">
      <c r="A185">
        <v>12</v>
      </c>
      <c r="B185">
        <v>8</v>
      </c>
      <c r="C185" t="s">
        <v>148</v>
      </c>
      <c r="D185" s="4">
        <v>300</v>
      </c>
      <c r="E185" s="4">
        <v>400</v>
      </c>
      <c r="F185" s="4">
        <v>600</v>
      </c>
    </row>
    <row r="186" spans="1:6" x14ac:dyDescent="0.35">
      <c r="A186">
        <v>12</v>
      </c>
      <c r="B186">
        <v>9</v>
      </c>
      <c r="C186" t="s">
        <v>149</v>
      </c>
      <c r="D186" s="4">
        <v>400</v>
      </c>
      <c r="E186" s="4">
        <v>600</v>
      </c>
      <c r="F186" s="4">
        <v>1000</v>
      </c>
    </row>
    <row r="187" spans="1:6" x14ac:dyDescent="0.35">
      <c r="A187">
        <v>12</v>
      </c>
      <c r="B187">
        <v>10</v>
      </c>
      <c r="C187" t="s">
        <v>150</v>
      </c>
      <c r="D187" s="4">
        <v>10</v>
      </c>
      <c r="E187" s="4">
        <v>20</v>
      </c>
      <c r="F187" s="4">
        <v>40</v>
      </c>
    </row>
    <row r="188" spans="1:6" x14ac:dyDescent="0.35">
      <c r="A188">
        <v>12</v>
      </c>
      <c r="B188">
        <v>11</v>
      </c>
      <c r="C188" t="s">
        <v>151</v>
      </c>
      <c r="D188" s="4">
        <v>40</v>
      </c>
      <c r="E188" s="4">
        <v>60</v>
      </c>
      <c r="F188" s="4">
        <v>80</v>
      </c>
    </row>
    <row r="189" spans="1:6" x14ac:dyDescent="0.35">
      <c r="A189">
        <v>12</v>
      </c>
      <c r="B189">
        <v>12</v>
      </c>
      <c r="C189" t="s">
        <v>152</v>
      </c>
      <c r="D189" s="4">
        <v>20</v>
      </c>
      <c r="E189" s="4">
        <v>60</v>
      </c>
      <c r="F189" s="4">
        <v>65</v>
      </c>
    </row>
    <row r="190" spans="1:6" x14ac:dyDescent="0.35">
      <c r="A190">
        <v>12</v>
      </c>
      <c r="B190">
        <v>13</v>
      </c>
      <c r="C190" t="s">
        <v>153</v>
      </c>
      <c r="D190" s="4">
        <v>1</v>
      </c>
      <c r="E190" s="4">
        <v>3</v>
      </c>
      <c r="F190" s="4">
        <v>5</v>
      </c>
    </row>
    <row r="191" spans="1:6" x14ac:dyDescent="0.35">
      <c r="A191">
        <v>12</v>
      </c>
      <c r="B191">
        <v>14</v>
      </c>
      <c r="C191" t="s">
        <v>154</v>
      </c>
      <c r="D191" s="4">
        <v>2</v>
      </c>
      <c r="E191" s="4">
        <v>3</v>
      </c>
      <c r="F191" s="4">
        <v>7</v>
      </c>
    </row>
    <row r="192" spans="1:6" x14ac:dyDescent="0.35">
      <c r="A192">
        <v>12</v>
      </c>
      <c r="B192">
        <v>15</v>
      </c>
      <c r="C192" t="s">
        <v>155</v>
      </c>
      <c r="D192" s="4">
        <v>0.8</v>
      </c>
      <c r="E192" s="4">
        <v>1.2</v>
      </c>
      <c r="F192" s="4">
        <v>1.6</v>
      </c>
    </row>
    <row r="193" spans="1:6" x14ac:dyDescent="0.35">
      <c r="A193">
        <v>12</v>
      </c>
      <c r="B193">
        <v>16</v>
      </c>
      <c r="C193" t="s">
        <v>156</v>
      </c>
      <c r="D193" s="4">
        <v>0.03</v>
      </c>
      <c r="E193" s="4">
        <v>1</v>
      </c>
      <c r="F193" s="4">
        <v>18</v>
      </c>
    </row>
    <row r="194" spans="1:6" x14ac:dyDescent="0.35">
      <c r="A194">
        <v>13</v>
      </c>
      <c r="B194">
        <v>1</v>
      </c>
      <c r="C194" t="s">
        <v>141</v>
      </c>
      <c r="D194" s="4">
        <v>5</v>
      </c>
      <c r="E194" s="4">
        <v>10</v>
      </c>
      <c r="F194" s="4">
        <v>100</v>
      </c>
    </row>
    <row r="195" spans="1:6" x14ac:dyDescent="0.35">
      <c r="A195">
        <v>13</v>
      </c>
      <c r="B195">
        <v>2</v>
      </c>
      <c r="C195" t="s">
        <v>142</v>
      </c>
      <c r="D195" s="4">
        <v>10</v>
      </c>
      <c r="E195" s="4">
        <v>50</v>
      </c>
      <c r="F195" s="4">
        <v>90</v>
      </c>
    </row>
    <row r="196" spans="1:6" x14ac:dyDescent="0.35">
      <c r="A196">
        <v>13</v>
      </c>
      <c r="B196">
        <v>3</v>
      </c>
      <c r="C196" t="s">
        <v>143</v>
      </c>
      <c r="D196" s="4">
        <v>5</v>
      </c>
      <c r="E196" s="4">
        <v>30</v>
      </c>
      <c r="F196" s="4">
        <v>70</v>
      </c>
    </row>
    <row r="197" spans="1:6" x14ac:dyDescent="0.35">
      <c r="A197">
        <v>13</v>
      </c>
      <c r="B197">
        <v>4</v>
      </c>
      <c r="C197" t="s">
        <v>144</v>
      </c>
      <c r="D197" s="4">
        <v>5</v>
      </c>
      <c r="E197" s="4">
        <v>10</v>
      </c>
      <c r="F197" s="4">
        <v>20</v>
      </c>
    </row>
    <row r="198" spans="1:6" x14ac:dyDescent="0.35">
      <c r="A198">
        <v>13</v>
      </c>
      <c r="B198">
        <v>5</v>
      </c>
      <c r="C198" t="s">
        <v>145</v>
      </c>
      <c r="D198" s="4">
        <v>100</v>
      </c>
      <c r="E198" s="4">
        <v>200</v>
      </c>
      <c r="F198" s="4">
        <v>500</v>
      </c>
    </row>
    <row r="199" spans="1:6" x14ac:dyDescent="0.35">
      <c r="A199">
        <v>13</v>
      </c>
      <c r="B199">
        <v>6</v>
      </c>
      <c r="C199" t="s">
        <v>146</v>
      </c>
      <c r="D199" s="4">
        <v>20</v>
      </c>
      <c r="E199" s="4">
        <v>40</v>
      </c>
      <c r="F199" s="4">
        <v>70</v>
      </c>
    </row>
    <row r="200" spans="1:6" x14ac:dyDescent="0.35">
      <c r="A200">
        <v>13</v>
      </c>
      <c r="B200">
        <v>7</v>
      </c>
      <c r="C200" t="s">
        <v>147</v>
      </c>
      <c r="D200" s="4">
        <v>10</v>
      </c>
      <c r="E200" s="4">
        <v>30</v>
      </c>
      <c r="F200" s="4">
        <v>40</v>
      </c>
    </row>
    <row r="201" spans="1:6" x14ac:dyDescent="0.35">
      <c r="A201">
        <v>13</v>
      </c>
      <c r="B201">
        <v>8</v>
      </c>
      <c r="C201" t="s">
        <v>148</v>
      </c>
      <c r="D201" s="4">
        <v>100</v>
      </c>
      <c r="E201" s="4">
        <v>300</v>
      </c>
      <c r="F201" s="4">
        <v>500</v>
      </c>
    </row>
    <row r="202" spans="1:6" x14ac:dyDescent="0.35">
      <c r="A202">
        <v>13</v>
      </c>
      <c r="B202">
        <v>9</v>
      </c>
      <c r="C202" t="s">
        <v>149</v>
      </c>
      <c r="D202" s="4">
        <v>500</v>
      </c>
      <c r="E202" s="4">
        <v>1000</v>
      </c>
      <c r="F202" s="4">
        <v>2000</v>
      </c>
    </row>
    <row r="203" spans="1:6" x14ac:dyDescent="0.35">
      <c r="A203">
        <v>13</v>
      </c>
      <c r="B203">
        <v>10</v>
      </c>
      <c r="C203" t="s">
        <v>150</v>
      </c>
      <c r="D203" s="4">
        <v>10</v>
      </c>
      <c r="E203" s="4">
        <v>50</v>
      </c>
      <c r="F203" s="4">
        <v>100</v>
      </c>
    </row>
    <row r="204" spans="1:6" x14ac:dyDescent="0.35">
      <c r="A204">
        <v>13</v>
      </c>
      <c r="B204">
        <v>11</v>
      </c>
      <c r="C204" t="s">
        <v>151</v>
      </c>
      <c r="D204" s="4">
        <v>10</v>
      </c>
      <c r="E204" s="4">
        <v>50</v>
      </c>
      <c r="F204" s="4">
        <v>80</v>
      </c>
    </row>
    <row r="205" spans="1:6" x14ac:dyDescent="0.35">
      <c r="A205">
        <v>13</v>
      </c>
      <c r="B205">
        <v>12</v>
      </c>
      <c r="C205" t="s">
        <v>152</v>
      </c>
      <c r="D205" s="4">
        <v>1</v>
      </c>
      <c r="E205" s="4">
        <v>10</v>
      </c>
      <c r="F205" s="4">
        <v>30</v>
      </c>
    </row>
    <row r="206" spans="1:6" x14ac:dyDescent="0.35">
      <c r="A206">
        <v>13</v>
      </c>
      <c r="B206">
        <v>13</v>
      </c>
      <c r="C206" t="s">
        <v>153</v>
      </c>
      <c r="D206" s="4">
        <v>5</v>
      </c>
      <c r="E206" s="4">
        <v>20</v>
      </c>
      <c r="F206" s="4">
        <v>40</v>
      </c>
    </row>
    <row r="207" spans="1:6" x14ac:dyDescent="0.35">
      <c r="A207">
        <v>13</v>
      </c>
      <c r="B207">
        <v>14</v>
      </c>
      <c r="C207" t="s">
        <v>154</v>
      </c>
      <c r="D207" s="4">
        <v>-10</v>
      </c>
      <c r="E207" s="4">
        <v>-5</v>
      </c>
      <c r="F207" s="4">
        <v>10</v>
      </c>
    </row>
    <row r="208" spans="1:6" x14ac:dyDescent="0.35">
      <c r="A208">
        <v>13</v>
      </c>
      <c r="B208">
        <v>15</v>
      </c>
      <c r="C208" t="s">
        <v>155</v>
      </c>
      <c r="D208" s="4">
        <v>0.5</v>
      </c>
      <c r="E208" s="4">
        <v>1.5</v>
      </c>
      <c r="F208" s="4">
        <v>3</v>
      </c>
    </row>
    <row r="209" spans="1:6" x14ac:dyDescent="0.35">
      <c r="A209">
        <v>13</v>
      </c>
      <c r="B209">
        <v>16</v>
      </c>
      <c r="C209" t="s">
        <v>156</v>
      </c>
      <c r="D209" s="4">
        <v>0.03</v>
      </c>
      <c r="E209" s="4">
        <v>0.25</v>
      </c>
      <c r="F209" s="4">
        <v>12</v>
      </c>
    </row>
    <row r="210" spans="1:6" x14ac:dyDescent="0.35">
      <c r="A210">
        <v>14</v>
      </c>
      <c r="B210">
        <v>1</v>
      </c>
      <c r="C210" t="s">
        <v>141</v>
      </c>
      <c r="D210" s="4">
        <v>200</v>
      </c>
      <c r="E210" s="4">
        <v>300</v>
      </c>
      <c r="F210" s="4">
        <v>400</v>
      </c>
    </row>
    <row r="211" spans="1:6" x14ac:dyDescent="0.35">
      <c r="A211">
        <v>14</v>
      </c>
      <c r="B211">
        <v>2</v>
      </c>
      <c r="C211" t="s">
        <v>142</v>
      </c>
      <c r="D211" s="4">
        <v>70</v>
      </c>
      <c r="E211" s="4">
        <v>80</v>
      </c>
      <c r="F211" s="4">
        <v>90</v>
      </c>
    </row>
    <row r="212" spans="1:6" x14ac:dyDescent="0.35">
      <c r="A212">
        <v>14</v>
      </c>
      <c r="B212">
        <v>3</v>
      </c>
      <c r="C212" t="s">
        <v>143</v>
      </c>
      <c r="D212" s="4">
        <v>15</v>
      </c>
      <c r="E212" s="4">
        <v>20</v>
      </c>
      <c r="F212" s="4">
        <v>30</v>
      </c>
    </row>
    <row r="213" spans="1:6" x14ac:dyDescent="0.35">
      <c r="A213">
        <v>14</v>
      </c>
      <c r="B213">
        <v>4</v>
      </c>
      <c r="C213" t="s">
        <v>144</v>
      </c>
      <c r="D213" s="4">
        <v>1</v>
      </c>
      <c r="E213" s="4">
        <v>10</v>
      </c>
      <c r="F213" s="4">
        <v>100</v>
      </c>
    </row>
    <row r="214" spans="1:6" x14ac:dyDescent="0.35">
      <c r="A214">
        <v>14</v>
      </c>
      <c r="B214">
        <v>5</v>
      </c>
      <c r="C214" t="s">
        <v>145</v>
      </c>
      <c r="D214" s="4">
        <v>5</v>
      </c>
      <c r="E214" s="4">
        <v>10</v>
      </c>
      <c r="F214" s="4">
        <v>20</v>
      </c>
    </row>
    <row r="215" spans="1:6" x14ac:dyDescent="0.35">
      <c r="A215">
        <v>14</v>
      </c>
      <c r="B215">
        <v>6</v>
      </c>
      <c r="C215" t="s">
        <v>146</v>
      </c>
      <c r="D215" s="4">
        <v>3</v>
      </c>
      <c r="E215" s="4">
        <v>5</v>
      </c>
      <c r="F215" s="4">
        <v>7</v>
      </c>
    </row>
    <row r="216" spans="1:6" x14ac:dyDescent="0.35">
      <c r="A216">
        <v>14</v>
      </c>
      <c r="B216">
        <v>7</v>
      </c>
      <c r="C216" t="s">
        <v>147</v>
      </c>
      <c r="D216" s="4">
        <v>35</v>
      </c>
      <c r="E216" s="4">
        <v>50</v>
      </c>
      <c r="F216" s="4">
        <v>60</v>
      </c>
    </row>
    <row r="217" spans="1:6" x14ac:dyDescent="0.35">
      <c r="A217">
        <v>14</v>
      </c>
      <c r="B217">
        <v>8</v>
      </c>
      <c r="C217" t="s">
        <v>148</v>
      </c>
      <c r="D217" s="4">
        <v>25</v>
      </c>
      <c r="E217" s="4">
        <v>35</v>
      </c>
      <c r="F217" s="4">
        <v>45</v>
      </c>
    </row>
    <row r="218" spans="1:6" x14ac:dyDescent="0.35">
      <c r="A218">
        <v>14</v>
      </c>
      <c r="B218">
        <v>9</v>
      </c>
      <c r="C218" t="s">
        <v>149</v>
      </c>
      <c r="D218" s="4">
        <v>100</v>
      </c>
      <c r="E218" s="4">
        <v>150</v>
      </c>
      <c r="F218" s="4">
        <v>200</v>
      </c>
    </row>
    <row r="219" spans="1:6" x14ac:dyDescent="0.35">
      <c r="A219">
        <v>14</v>
      </c>
      <c r="B219">
        <v>10</v>
      </c>
      <c r="C219" t="s">
        <v>150</v>
      </c>
      <c r="D219" s="4">
        <v>50</v>
      </c>
      <c r="E219" s="4">
        <v>100</v>
      </c>
      <c r="F219" s="4">
        <v>150</v>
      </c>
    </row>
    <row r="220" spans="1:6" x14ac:dyDescent="0.35">
      <c r="A220">
        <v>14</v>
      </c>
      <c r="B220">
        <v>11</v>
      </c>
      <c r="C220" t="s">
        <v>151</v>
      </c>
      <c r="D220" s="4">
        <v>1</v>
      </c>
      <c r="E220" s="4">
        <v>10</v>
      </c>
      <c r="F220" s="4">
        <v>50</v>
      </c>
    </row>
    <row r="221" spans="1:6" x14ac:dyDescent="0.35">
      <c r="A221">
        <v>14</v>
      </c>
      <c r="B221">
        <v>12</v>
      </c>
      <c r="C221" t="s">
        <v>152</v>
      </c>
      <c r="D221" s="4">
        <v>10</v>
      </c>
      <c r="E221" s="4">
        <v>20</v>
      </c>
      <c r="F221" s="4">
        <v>30</v>
      </c>
    </row>
    <row r="222" spans="1:6" x14ac:dyDescent="0.35">
      <c r="A222">
        <v>14</v>
      </c>
      <c r="B222">
        <v>13</v>
      </c>
      <c r="C222" t="s">
        <v>153</v>
      </c>
      <c r="D222" s="4">
        <v>200</v>
      </c>
      <c r="E222" s="4">
        <v>300</v>
      </c>
      <c r="F222" s="4">
        <v>400</v>
      </c>
    </row>
    <row r="223" spans="1:6" x14ac:dyDescent="0.35">
      <c r="A223">
        <v>14</v>
      </c>
      <c r="B223">
        <v>14</v>
      </c>
      <c r="C223" t="s">
        <v>154</v>
      </c>
      <c r="D223" s="4">
        <v>-7</v>
      </c>
      <c r="E223" s="4">
        <v>-3</v>
      </c>
      <c r="F223" s="4">
        <v>1.0000000000000001E-5</v>
      </c>
    </row>
    <row r="224" spans="1:6" x14ac:dyDescent="0.35">
      <c r="A224">
        <v>14</v>
      </c>
      <c r="B224">
        <v>15</v>
      </c>
      <c r="C224" t="s">
        <v>155</v>
      </c>
      <c r="D224" s="4">
        <v>0.1</v>
      </c>
      <c r="E224" s="4">
        <v>1</v>
      </c>
      <c r="F224" s="4">
        <v>10</v>
      </c>
    </row>
    <row r="225" spans="1:6" x14ac:dyDescent="0.35">
      <c r="A225">
        <v>14</v>
      </c>
      <c r="B225">
        <v>16</v>
      </c>
      <c r="C225" t="s">
        <v>156</v>
      </c>
      <c r="D225" s="4">
        <v>0.25</v>
      </c>
      <c r="E225" s="4">
        <v>1.25</v>
      </c>
      <c r="F225" s="4">
        <v>2.5</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71"/>
  <dimension ref="A1:H71"/>
  <sheetViews>
    <sheetView workbookViewId="0"/>
  </sheetViews>
  <sheetFormatPr defaultRowHeight="14.5" x14ac:dyDescent="0.35"/>
  <sheetData>
    <row r="1" spans="1:8" x14ac:dyDescent="0.35">
      <c r="A1" t="s">
        <v>261</v>
      </c>
      <c r="H1" t="s">
        <v>304</v>
      </c>
    </row>
    <row r="2" spans="1:8" x14ac:dyDescent="0.35">
      <c r="A2">
        <v>1</v>
      </c>
      <c r="B2">
        <v>1</v>
      </c>
      <c r="D2" s="4">
        <v>5</v>
      </c>
      <c r="E2" s="4">
        <v>25</v>
      </c>
      <c r="F2" s="4">
        <v>50</v>
      </c>
      <c r="H2" s="4">
        <v>13.11</v>
      </c>
    </row>
    <row r="3" spans="1:8" x14ac:dyDescent="0.35">
      <c r="A3">
        <v>1</v>
      </c>
      <c r="B3">
        <v>2</v>
      </c>
      <c r="D3" s="4">
        <v>2</v>
      </c>
      <c r="E3" s="4">
        <v>10</v>
      </c>
      <c r="F3" s="4">
        <v>12</v>
      </c>
      <c r="H3" s="4">
        <v>77.3</v>
      </c>
    </row>
    <row r="4" spans="1:8" x14ac:dyDescent="0.35">
      <c r="A4">
        <v>1</v>
      </c>
      <c r="B4">
        <v>3</v>
      </c>
      <c r="D4" s="4">
        <v>5</v>
      </c>
      <c r="E4" s="4">
        <v>10</v>
      </c>
      <c r="F4" s="4">
        <v>20</v>
      </c>
      <c r="H4" s="4">
        <v>7</v>
      </c>
    </row>
    <row r="5" spans="1:8" x14ac:dyDescent="0.35">
      <c r="A5">
        <v>1</v>
      </c>
      <c r="B5">
        <v>4</v>
      </c>
      <c r="D5" s="4">
        <v>10</v>
      </c>
      <c r="E5" s="4">
        <v>40</v>
      </c>
      <c r="F5" s="4">
        <v>60</v>
      </c>
      <c r="H5" s="4">
        <v>74.28</v>
      </c>
    </row>
    <row r="6" spans="1:8" x14ac:dyDescent="0.35">
      <c r="A6">
        <v>1</v>
      </c>
      <c r="B6">
        <v>5</v>
      </c>
      <c r="D6" s="4">
        <v>20</v>
      </c>
      <c r="E6" s="4">
        <v>50</v>
      </c>
      <c r="F6" s="4">
        <v>75</v>
      </c>
      <c r="H6" s="4">
        <v>34</v>
      </c>
    </row>
    <row r="7" spans="1:8" x14ac:dyDescent="0.35">
      <c r="A7">
        <v>1</v>
      </c>
      <c r="B7">
        <v>6</v>
      </c>
      <c r="D7" s="4">
        <v>1</v>
      </c>
      <c r="E7" s="4">
        <v>1.25</v>
      </c>
      <c r="F7" s="4">
        <v>1.8</v>
      </c>
      <c r="H7" s="4">
        <v>1.26</v>
      </c>
    </row>
    <row r="8" spans="1:8" x14ac:dyDescent="0.35">
      <c r="A8">
        <v>1</v>
      </c>
      <c r="B8">
        <v>7</v>
      </c>
      <c r="D8" s="4">
        <v>1</v>
      </c>
      <c r="E8" s="4">
        <v>1.3</v>
      </c>
      <c r="F8" s="4">
        <v>1.5</v>
      </c>
      <c r="H8" s="4">
        <v>1.2</v>
      </c>
    </row>
    <row r="9" spans="1:8" x14ac:dyDescent="0.35">
      <c r="A9">
        <v>1</v>
      </c>
      <c r="B9">
        <v>8</v>
      </c>
      <c r="D9" s="4">
        <v>0.5</v>
      </c>
      <c r="E9" s="4">
        <v>1</v>
      </c>
      <c r="F9" s="4">
        <v>1.25</v>
      </c>
      <c r="H9" s="4">
        <v>0.77700000000000002</v>
      </c>
    </row>
    <row r="10" spans="1:8" x14ac:dyDescent="0.35">
      <c r="A10">
        <v>1</v>
      </c>
      <c r="B10">
        <v>9</v>
      </c>
      <c r="D10" s="4">
        <v>0.8</v>
      </c>
      <c r="E10" s="4">
        <v>1.5</v>
      </c>
      <c r="F10" s="4">
        <v>1.8</v>
      </c>
      <c r="H10" s="4">
        <v>1.83</v>
      </c>
    </row>
    <row r="11" spans="1:8" x14ac:dyDescent="0.35">
      <c r="A11">
        <v>1</v>
      </c>
      <c r="B11">
        <v>10</v>
      </c>
      <c r="D11" s="4">
        <v>40</v>
      </c>
      <c r="E11" s="4">
        <v>55</v>
      </c>
      <c r="F11" s="4">
        <v>65</v>
      </c>
      <c r="H11" s="4">
        <v>21.3</v>
      </c>
    </row>
    <row r="12" spans="1:8" x14ac:dyDescent="0.35">
      <c r="A12">
        <v>2</v>
      </c>
      <c r="B12">
        <v>1</v>
      </c>
      <c r="D12" s="4">
        <v>1</v>
      </c>
      <c r="E12" s="4">
        <v>10</v>
      </c>
      <c r="F12" s="4">
        <v>25</v>
      </c>
    </row>
    <row r="13" spans="1:8" x14ac:dyDescent="0.35">
      <c r="A13">
        <v>2</v>
      </c>
      <c r="B13">
        <v>2</v>
      </c>
      <c r="D13" s="4">
        <v>5</v>
      </c>
      <c r="E13" s="4">
        <v>15</v>
      </c>
      <c r="F13" s="4">
        <v>25</v>
      </c>
    </row>
    <row r="14" spans="1:8" x14ac:dyDescent="0.35">
      <c r="A14">
        <v>2</v>
      </c>
      <c r="B14">
        <v>3</v>
      </c>
      <c r="D14" s="4">
        <v>1</v>
      </c>
      <c r="E14" s="4">
        <v>5</v>
      </c>
      <c r="F14" s="4">
        <v>10</v>
      </c>
    </row>
    <row r="15" spans="1:8" x14ac:dyDescent="0.35">
      <c r="A15">
        <v>2</v>
      </c>
      <c r="B15">
        <v>4</v>
      </c>
      <c r="D15" s="4">
        <v>50</v>
      </c>
      <c r="E15" s="4">
        <v>85</v>
      </c>
      <c r="F15" s="4">
        <v>100</v>
      </c>
    </row>
    <row r="16" spans="1:8" x14ac:dyDescent="0.35">
      <c r="A16">
        <v>2</v>
      </c>
      <c r="B16">
        <v>5</v>
      </c>
      <c r="D16" s="4">
        <v>10</v>
      </c>
      <c r="E16" s="4">
        <v>30</v>
      </c>
      <c r="F16" s="4">
        <v>60</v>
      </c>
    </row>
    <row r="17" spans="1:6" x14ac:dyDescent="0.35">
      <c r="A17">
        <v>2</v>
      </c>
      <c r="B17">
        <v>6</v>
      </c>
      <c r="D17" s="4">
        <v>1</v>
      </c>
      <c r="E17" s="4">
        <v>1.1100000000000001</v>
      </c>
      <c r="F17" s="4">
        <v>1.2</v>
      </c>
    </row>
    <row r="18" spans="1:6" x14ac:dyDescent="0.35">
      <c r="A18">
        <v>2</v>
      </c>
      <c r="B18">
        <v>7</v>
      </c>
      <c r="D18" s="4">
        <v>1</v>
      </c>
      <c r="E18" s="4">
        <v>1.2</v>
      </c>
      <c r="F18" s="4">
        <v>1.5</v>
      </c>
    </row>
    <row r="19" spans="1:6" x14ac:dyDescent="0.35">
      <c r="A19">
        <v>2</v>
      </c>
      <c r="B19">
        <v>8</v>
      </c>
      <c r="D19" s="4">
        <v>0.33</v>
      </c>
      <c r="E19" s="4">
        <v>0.5</v>
      </c>
      <c r="F19" s="4">
        <v>1</v>
      </c>
    </row>
    <row r="20" spans="1:6" x14ac:dyDescent="0.35">
      <c r="A20">
        <v>2</v>
      </c>
      <c r="B20">
        <v>9</v>
      </c>
      <c r="D20" s="4">
        <v>1</v>
      </c>
      <c r="E20" s="4">
        <v>2</v>
      </c>
      <c r="F20" s="4">
        <v>3</v>
      </c>
    </row>
    <row r="21" spans="1:6" x14ac:dyDescent="0.35">
      <c r="A21">
        <v>2</v>
      </c>
      <c r="B21">
        <v>10</v>
      </c>
      <c r="D21" s="4">
        <v>25</v>
      </c>
      <c r="E21" s="4">
        <v>50</v>
      </c>
      <c r="F21" s="4">
        <v>75</v>
      </c>
    </row>
    <row r="22" spans="1:6" x14ac:dyDescent="0.35">
      <c r="A22">
        <v>3</v>
      </c>
      <c r="B22">
        <v>1</v>
      </c>
      <c r="D22" s="4">
        <v>2</v>
      </c>
      <c r="E22" s="4">
        <v>6</v>
      </c>
      <c r="F22" s="4">
        <v>10</v>
      </c>
    </row>
    <row r="23" spans="1:6" x14ac:dyDescent="0.35">
      <c r="A23">
        <v>3</v>
      </c>
      <c r="B23">
        <v>2</v>
      </c>
      <c r="D23" s="4">
        <v>8</v>
      </c>
      <c r="E23" s="4">
        <v>25</v>
      </c>
      <c r="F23" s="4">
        <v>40</v>
      </c>
    </row>
    <row r="24" spans="1:6" x14ac:dyDescent="0.35">
      <c r="A24">
        <v>3</v>
      </c>
      <c r="B24">
        <v>3</v>
      </c>
      <c r="D24" s="4">
        <v>4</v>
      </c>
      <c r="E24" s="4">
        <v>11</v>
      </c>
      <c r="F24" s="4">
        <v>16</v>
      </c>
    </row>
    <row r="25" spans="1:6" x14ac:dyDescent="0.35">
      <c r="A25">
        <v>3</v>
      </c>
      <c r="B25">
        <v>4</v>
      </c>
      <c r="D25" s="4">
        <v>10</v>
      </c>
      <c r="E25" s="4">
        <v>35</v>
      </c>
      <c r="F25" s="4">
        <v>55</v>
      </c>
    </row>
    <row r="26" spans="1:6" x14ac:dyDescent="0.35">
      <c r="A26">
        <v>3</v>
      </c>
      <c r="B26">
        <v>5</v>
      </c>
      <c r="D26" s="4">
        <v>15</v>
      </c>
      <c r="E26" s="4">
        <v>30</v>
      </c>
      <c r="F26" s="4">
        <v>45</v>
      </c>
    </row>
    <row r="27" spans="1:6" x14ac:dyDescent="0.35">
      <c r="A27">
        <v>3</v>
      </c>
      <c r="B27">
        <v>6</v>
      </c>
      <c r="D27" s="4">
        <v>0.3</v>
      </c>
      <c r="E27" s="4">
        <v>0.5</v>
      </c>
      <c r="F27" s="4">
        <v>2</v>
      </c>
    </row>
    <row r="28" spans="1:6" x14ac:dyDescent="0.35">
      <c r="A28">
        <v>3</v>
      </c>
      <c r="B28">
        <v>7</v>
      </c>
      <c r="D28" s="4">
        <v>0.75</v>
      </c>
      <c r="E28" s="4">
        <v>1</v>
      </c>
      <c r="F28" s="4">
        <v>2</v>
      </c>
    </row>
    <row r="29" spans="1:6" x14ac:dyDescent="0.35">
      <c r="A29">
        <v>3</v>
      </c>
      <c r="B29">
        <v>8</v>
      </c>
      <c r="D29" s="4">
        <v>0.5</v>
      </c>
      <c r="E29" s="4">
        <v>0.75</v>
      </c>
      <c r="F29" s="4">
        <v>1</v>
      </c>
    </row>
    <row r="30" spans="1:6" x14ac:dyDescent="0.35">
      <c r="A30">
        <v>3</v>
      </c>
      <c r="B30">
        <v>9</v>
      </c>
      <c r="D30" s="4">
        <v>1.03</v>
      </c>
      <c r="E30" s="4">
        <v>1.1499999999999999</v>
      </c>
      <c r="F30" s="4">
        <v>1.5</v>
      </c>
    </row>
    <row r="31" spans="1:6" x14ac:dyDescent="0.35">
      <c r="A31">
        <v>3</v>
      </c>
      <c r="B31">
        <v>10</v>
      </c>
      <c r="D31" s="4">
        <v>20</v>
      </c>
      <c r="E31" s="4">
        <v>60</v>
      </c>
      <c r="F31" s="4">
        <v>80</v>
      </c>
    </row>
    <row r="32" spans="1:6" x14ac:dyDescent="0.35">
      <c r="A32">
        <v>4</v>
      </c>
      <c r="B32">
        <v>1</v>
      </c>
      <c r="D32" s="4">
        <v>1</v>
      </c>
      <c r="E32" s="4">
        <v>15</v>
      </c>
      <c r="F32" s="4">
        <v>200</v>
      </c>
    </row>
    <row r="33" spans="1:6" x14ac:dyDescent="0.35">
      <c r="A33">
        <v>4</v>
      </c>
      <c r="B33">
        <v>2</v>
      </c>
      <c r="D33" s="4">
        <v>3</v>
      </c>
      <c r="E33" s="4">
        <v>25</v>
      </c>
      <c r="F33" s="4">
        <v>37</v>
      </c>
    </row>
    <row r="34" spans="1:6" x14ac:dyDescent="0.35">
      <c r="A34">
        <v>4</v>
      </c>
      <c r="B34">
        <v>3</v>
      </c>
      <c r="D34" s="4">
        <v>3</v>
      </c>
      <c r="E34" s="4">
        <v>7</v>
      </c>
      <c r="F34" s="4">
        <v>15</v>
      </c>
    </row>
    <row r="35" spans="1:6" x14ac:dyDescent="0.35">
      <c r="A35">
        <v>4</v>
      </c>
      <c r="B35">
        <v>4</v>
      </c>
      <c r="D35" s="4">
        <v>30</v>
      </c>
      <c r="E35" s="4">
        <v>75</v>
      </c>
      <c r="F35" s="4">
        <v>90</v>
      </c>
    </row>
    <row r="36" spans="1:6" x14ac:dyDescent="0.35">
      <c r="A36">
        <v>4</v>
      </c>
      <c r="B36">
        <v>5</v>
      </c>
      <c r="D36" s="4">
        <v>20</v>
      </c>
      <c r="E36" s="4">
        <v>35</v>
      </c>
      <c r="F36" s="4">
        <v>48</v>
      </c>
    </row>
    <row r="37" spans="1:6" x14ac:dyDescent="0.35">
      <c r="A37">
        <v>4</v>
      </c>
      <c r="B37">
        <v>6</v>
      </c>
      <c r="D37" s="4">
        <v>0.8</v>
      </c>
      <c r="E37" s="4">
        <v>1.3</v>
      </c>
      <c r="F37" s="4">
        <v>1.5</v>
      </c>
    </row>
    <row r="38" spans="1:6" x14ac:dyDescent="0.35">
      <c r="A38">
        <v>4</v>
      </c>
      <c r="B38">
        <v>7</v>
      </c>
      <c r="D38" s="4">
        <v>0.7</v>
      </c>
      <c r="E38" s="4">
        <v>1.1000000000000001</v>
      </c>
      <c r="F38" s="4">
        <v>1.4</v>
      </c>
    </row>
    <row r="39" spans="1:6" x14ac:dyDescent="0.35">
      <c r="A39">
        <v>4</v>
      </c>
      <c r="B39">
        <v>8</v>
      </c>
      <c r="D39" s="4">
        <v>0.5</v>
      </c>
      <c r="E39" s="4">
        <v>0.7</v>
      </c>
      <c r="F39" s="4">
        <v>1.1000000000000001</v>
      </c>
    </row>
    <row r="40" spans="1:6" x14ac:dyDescent="0.35">
      <c r="A40">
        <v>4</v>
      </c>
      <c r="B40">
        <v>9</v>
      </c>
      <c r="D40" s="4">
        <v>0.98</v>
      </c>
      <c r="E40" s="4">
        <v>1.2</v>
      </c>
      <c r="F40" s="4">
        <v>1.5</v>
      </c>
    </row>
    <row r="41" spans="1:6" x14ac:dyDescent="0.35">
      <c r="A41">
        <v>4</v>
      </c>
      <c r="B41">
        <v>10</v>
      </c>
      <c r="D41" s="4">
        <v>45</v>
      </c>
      <c r="E41" s="4">
        <v>60</v>
      </c>
      <c r="F41" s="4">
        <v>85</v>
      </c>
    </row>
    <row r="42" spans="1:6" x14ac:dyDescent="0.35">
      <c r="A42">
        <v>5</v>
      </c>
      <c r="B42">
        <v>1</v>
      </c>
      <c r="D42" s="4">
        <v>500</v>
      </c>
      <c r="E42" s="4">
        <v>600</v>
      </c>
      <c r="F42" s="4">
        <v>1000</v>
      </c>
    </row>
    <row r="43" spans="1:6" x14ac:dyDescent="0.35">
      <c r="A43">
        <v>5</v>
      </c>
      <c r="B43">
        <v>2</v>
      </c>
      <c r="D43" s="4">
        <v>0</v>
      </c>
      <c r="E43" s="4">
        <v>50</v>
      </c>
      <c r="F43" s="4">
        <v>100</v>
      </c>
    </row>
    <row r="44" spans="1:6" x14ac:dyDescent="0.35">
      <c r="A44">
        <v>5</v>
      </c>
      <c r="B44">
        <v>3</v>
      </c>
      <c r="D44" s="4">
        <v>6</v>
      </c>
      <c r="E44" s="4">
        <v>8</v>
      </c>
      <c r="F44" s="4">
        <v>11</v>
      </c>
    </row>
    <row r="45" spans="1:6" x14ac:dyDescent="0.35">
      <c r="A45">
        <v>5</v>
      </c>
      <c r="B45">
        <v>4</v>
      </c>
      <c r="D45" s="4">
        <v>0</v>
      </c>
      <c r="E45" s="4">
        <v>50</v>
      </c>
      <c r="F45" s="4">
        <v>100</v>
      </c>
    </row>
    <row r="46" spans="1:6" x14ac:dyDescent="0.35">
      <c r="A46">
        <v>5</v>
      </c>
      <c r="B46">
        <v>5</v>
      </c>
      <c r="D46" s="4">
        <v>27</v>
      </c>
      <c r="E46" s="4">
        <v>33</v>
      </c>
      <c r="F46" s="4">
        <v>35</v>
      </c>
    </row>
    <row r="47" spans="1:6" x14ac:dyDescent="0.35">
      <c r="A47">
        <v>5</v>
      </c>
      <c r="B47">
        <v>6</v>
      </c>
      <c r="D47" s="4">
        <v>0.75</v>
      </c>
      <c r="E47" s="4">
        <v>0.875</v>
      </c>
      <c r="F47" s="4">
        <v>1</v>
      </c>
    </row>
    <row r="48" spans="1:6" x14ac:dyDescent="0.35">
      <c r="A48">
        <v>5</v>
      </c>
      <c r="B48">
        <v>7</v>
      </c>
      <c r="D48" s="4">
        <v>1</v>
      </c>
      <c r="E48" s="4">
        <v>1.25</v>
      </c>
      <c r="F48" s="4">
        <v>1.5</v>
      </c>
    </row>
    <row r="49" spans="1:6" x14ac:dyDescent="0.35">
      <c r="A49">
        <v>5</v>
      </c>
      <c r="B49">
        <v>8</v>
      </c>
      <c r="D49" s="4">
        <v>0.6</v>
      </c>
      <c r="E49" s="4">
        <v>0.73299999999999998</v>
      </c>
      <c r="F49" s="4">
        <v>0.86699999999999999</v>
      </c>
    </row>
    <row r="50" spans="1:6" x14ac:dyDescent="0.35">
      <c r="A50">
        <v>5</v>
      </c>
      <c r="B50">
        <v>9</v>
      </c>
      <c r="D50" s="4">
        <v>1</v>
      </c>
      <c r="E50" s="4">
        <v>1.5</v>
      </c>
      <c r="F50" s="4">
        <v>2</v>
      </c>
    </row>
    <row r="51" spans="1:6" x14ac:dyDescent="0.35">
      <c r="A51">
        <v>5</v>
      </c>
      <c r="B51">
        <v>10</v>
      </c>
      <c r="D51" s="4">
        <v>40</v>
      </c>
      <c r="E51" s="4">
        <v>50</v>
      </c>
      <c r="F51" s="4">
        <v>60</v>
      </c>
    </row>
    <row r="52" spans="1:6" x14ac:dyDescent="0.35">
      <c r="A52">
        <v>6</v>
      </c>
      <c r="B52">
        <v>1</v>
      </c>
      <c r="D52" s="4">
        <v>1</v>
      </c>
      <c r="E52" s="4">
        <v>2.8</v>
      </c>
      <c r="F52" s="4">
        <v>3.4</v>
      </c>
    </row>
    <row r="53" spans="1:6" x14ac:dyDescent="0.35">
      <c r="A53">
        <v>6</v>
      </c>
      <c r="B53">
        <v>2</v>
      </c>
      <c r="D53" s="4">
        <v>0</v>
      </c>
      <c r="E53" s="4">
        <v>4</v>
      </c>
      <c r="F53" s="4">
        <v>10</v>
      </c>
    </row>
    <row r="54" spans="1:6" x14ac:dyDescent="0.35">
      <c r="A54">
        <v>6</v>
      </c>
      <c r="B54">
        <v>3</v>
      </c>
      <c r="D54" s="4">
        <v>3</v>
      </c>
      <c r="E54" s="4">
        <v>17</v>
      </c>
      <c r="F54" s="4">
        <v>20</v>
      </c>
    </row>
    <row r="55" spans="1:6" x14ac:dyDescent="0.35">
      <c r="A55">
        <v>6</v>
      </c>
      <c r="B55">
        <v>4</v>
      </c>
      <c r="D55" s="4">
        <v>50</v>
      </c>
      <c r="E55" s="4">
        <v>73</v>
      </c>
      <c r="F55" s="4">
        <v>90</v>
      </c>
    </row>
    <row r="56" spans="1:6" x14ac:dyDescent="0.35">
      <c r="A56">
        <v>6</v>
      </c>
      <c r="B56">
        <v>5</v>
      </c>
      <c r="D56" s="4">
        <v>15</v>
      </c>
      <c r="E56" s="4">
        <v>32</v>
      </c>
      <c r="F56" s="4">
        <v>45</v>
      </c>
    </row>
    <row r="57" spans="1:6" x14ac:dyDescent="0.35">
      <c r="A57">
        <v>6</v>
      </c>
      <c r="B57">
        <v>6</v>
      </c>
      <c r="D57" s="4">
        <v>0.75</v>
      </c>
      <c r="E57" s="4">
        <v>0.9</v>
      </c>
      <c r="F57" s="4">
        <v>2</v>
      </c>
    </row>
    <row r="58" spans="1:6" x14ac:dyDescent="0.35">
      <c r="A58">
        <v>6</v>
      </c>
      <c r="B58">
        <v>7</v>
      </c>
      <c r="D58" s="4">
        <v>0.87</v>
      </c>
      <c r="E58" s="4">
        <v>1</v>
      </c>
      <c r="F58" s="4">
        <v>1.3</v>
      </c>
    </row>
    <row r="59" spans="1:6" x14ac:dyDescent="0.35">
      <c r="A59">
        <v>6</v>
      </c>
      <c r="B59">
        <v>8</v>
      </c>
      <c r="D59" s="4">
        <v>0.64</v>
      </c>
      <c r="E59" s="4">
        <v>0.8</v>
      </c>
      <c r="F59" s="4">
        <v>1.0669999999999999</v>
      </c>
    </row>
    <row r="60" spans="1:6" x14ac:dyDescent="0.35">
      <c r="A60">
        <v>6</v>
      </c>
      <c r="B60">
        <v>9</v>
      </c>
      <c r="D60" s="4">
        <v>0.67</v>
      </c>
      <c r="E60" s="4">
        <v>1</v>
      </c>
      <c r="F60" s="4">
        <v>1.5</v>
      </c>
    </row>
    <row r="61" spans="1:6" x14ac:dyDescent="0.35">
      <c r="A61">
        <v>6</v>
      </c>
      <c r="B61">
        <v>10</v>
      </c>
      <c r="D61" s="4">
        <v>19</v>
      </c>
      <c r="E61" s="4">
        <v>21</v>
      </c>
      <c r="F61" s="4">
        <v>26</v>
      </c>
    </row>
    <row r="62" spans="1:6" x14ac:dyDescent="0.35">
      <c r="A62">
        <v>7</v>
      </c>
      <c r="B62">
        <v>1</v>
      </c>
      <c r="D62" s="4">
        <v>1</v>
      </c>
      <c r="E62" s="4">
        <v>7</v>
      </c>
      <c r="F62" s="4">
        <v>15</v>
      </c>
    </row>
    <row r="63" spans="1:6" x14ac:dyDescent="0.35">
      <c r="A63">
        <v>7</v>
      </c>
      <c r="B63">
        <v>2</v>
      </c>
      <c r="D63" s="4">
        <v>0</v>
      </c>
      <c r="E63" s="4">
        <v>20</v>
      </c>
      <c r="F63" s="4">
        <v>100</v>
      </c>
    </row>
    <row r="64" spans="1:6" x14ac:dyDescent="0.35">
      <c r="A64">
        <v>7</v>
      </c>
      <c r="B64">
        <v>3</v>
      </c>
      <c r="D64" s="4">
        <v>4</v>
      </c>
      <c r="E64" s="4">
        <v>7</v>
      </c>
      <c r="F64" s="4">
        <v>10</v>
      </c>
    </row>
    <row r="65" spans="1:6" x14ac:dyDescent="0.35">
      <c r="A65">
        <v>7</v>
      </c>
      <c r="B65">
        <v>4</v>
      </c>
      <c r="D65" s="4">
        <v>1</v>
      </c>
      <c r="E65" s="4">
        <v>90</v>
      </c>
      <c r="F65" s="4">
        <v>100</v>
      </c>
    </row>
    <row r="66" spans="1:6" x14ac:dyDescent="0.35">
      <c r="A66">
        <v>7</v>
      </c>
      <c r="B66">
        <v>5</v>
      </c>
      <c r="D66" s="4">
        <v>20</v>
      </c>
      <c r="E66" s="4">
        <v>32</v>
      </c>
      <c r="F66" s="4">
        <v>40</v>
      </c>
    </row>
    <row r="67" spans="1:6" x14ac:dyDescent="0.35">
      <c r="A67">
        <v>7</v>
      </c>
      <c r="B67">
        <v>6</v>
      </c>
      <c r="D67" s="4">
        <v>0.5</v>
      </c>
      <c r="E67" s="4">
        <v>1</v>
      </c>
      <c r="F67" s="4">
        <v>1.5</v>
      </c>
    </row>
    <row r="68" spans="1:6" x14ac:dyDescent="0.35">
      <c r="A68">
        <v>7</v>
      </c>
      <c r="B68">
        <v>7</v>
      </c>
      <c r="D68" s="4">
        <v>1.1000000000000001</v>
      </c>
      <c r="E68" s="4">
        <v>1.3</v>
      </c>
      <c r="F68" s="4">
        <v>1.5</v>
      </c>
    </row>
    <row r="69" spans="1:6" x14ac:dyDescent="0.35">
      <c r="A69">
        <v>7</v>
      </c>
      <c r="B69">
        <v>8</v>
      </c>
      <c r="D69" s="4">
        <v>0.5</v>
      </c>
      <c r="E69" s="4">
        <v>0.8</v>
      </c>
      <c r="F69" s="4">
        <v>1</v>
      </c>
    </row>
    <row r="70" spans="1:6" x14ac:dyDescent="0.35">
      <c r="A70">
        <v>7</v>
      </c>
      <c r="B70">
        <v>9</v>
      </c>
      <c r="D70" s="4">
        <v>1</v>
      </c>
      <c r="E70" s="4">
        <v>1.4</v>
      </c>
      <c r="F70" s="4">
        <v>1.8</v>
      </c>
    </row>
    <row r="71" spans="1:6" x14ac:dyDescent="0.35">
      <c r="A71">
        <v>7</v>
      </c>
      <c r="B71">
        <v>10</v>
      </c>
      <c r="D71" s="4">
        <v>15</v>
      </c>
      <c r="E71" s="4">
        <v>25</v>
      </c>
      <c r="F71" s="4">
        <v>50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76"/>
  <dimension ref="A1:H157"/>
  <sheetViews>
    <sheetView workbookViewId="0"/>
  </sheetViews>
  <sheetFormatPr defaultRowHeight="14.5" x14ac:dyDescent="0.35"/>
  <sheetData>
    <row r="1" spans="1:8" x14ac:dyDescent="0.35">
      <c r="A1" t="s">
        <v>331</v>
      </c>
    </row>
    <row r="2" spans="1:8" x14ac:dyDescent="0.35">
      <c r="A2">
        <v>1</v>
      </c>
      <c r="B2">
        <v>1</v>
      </c>
      <c r="C2" t="s">
        <v>318</v>
      </c>
      <c r="D2" s="4">
        <v>5500</v>
      </c>
      <c r="E2" s="4">
        <v>5800</v>
      </c>
      <c r="F2" s="4">
        <v>6500</v>
      </c>
      <c r="H2" s="4">
        <v>5911</v>
      </c>
    </row>
    <row r="3" spans="1:8" x14ac:dyDescent="0.35">
      <c r="A3">
        <v>1</v>
      </c>
      <c r="B3">
        <v>2</v>
      </c>
      <c r="C3" t="s">
        <v>319</v>
      </c>
      <c r="D3" s="4">
        <v>1000000</v>
      </c>
      <c r="E3" s="4">
        <v>2000000</v>
      </c>
      <c r="F3" s="4">
        <v>3000000</v>
      </c>
      <c r="H3" s="4">
        <v>2064780</v>
      </c>
    </row>
    <row r="4" spans="1:8" x14ac:dyDescent="0.35">
      <c r="A4">
        <v>1</v>
      </c>
      <c r="B4">
        <v>3</v>
      </c>
      <c r="C4" t="s">
        <v>320</v>
      </c>
      <c r="D4" s="4">
        <v>10</v>
      </c>
      <c r="E4" s="4">
        <v>50</v>
      </c>
      <c r="F4" s="4">
        <v>70</v>
      </c>
      <c r="H4" s="4">
        <v>25</v>
      </c>
    </row>
    <row r="5" spans="1:8" x14ac:dyDescent="0.35">
      <c r="A5">
        <v>1</v>
      </c>
      <c r="B5">
        <v>4</v>
      </c>
      <c r="C5" t="s">
        <v>321</v>
      </c>
      <c r="D5" s="4">
        <v>100</v>
      </c>
      <c r="E5" s="4">
        <v>1200</v>
      </c>
      <c r="F5" s="4">
        <v>4000</v>
      </c>
      <c r="H5" s="4">
        <v>837</v>
      </c>
    </row>
    <row r="6" spans="1:8" x14ac:dyDescent="0.35">
      <c r="A6">
        <v>1</v>
      </c>
      <c r="B6">
        <v>5</v>
      </c>
      <c r="C6" t="s">
        <v>322</v>
      </c>
      <c r="D6" s="4">
        <v>5</v>
      </c>
      <c r="E6" s="4">
        <v>20</v>
      </c>
      <c r="F6" s="4">
        <v>50</v>
      </c>
      <c r="H6" s="4">
        <v>27.51</v>
      </c>
    </row>
    <row r="7" spans="1:8" x14ac:dyDescent="0.35">
      <c r="A7">
        <v>1</v>
      </c>
      <c r="B7">
        <v>6</v>
      </c>
      <c r="C7" t="s">
        <v>323</v>
      </c>
      <c r="D7" s="4">
        <v>10</v>
      </c>
      <c r="E7" s="4">
        <v>100</v>
      </c>
      <c r="F7" s="4">
        <v>1000</v>
      </c>
      <c r="H7" s="4">
        <v>12</v>
      </c>
    </row>
    <row r="8" spans="1:8" x14ac:dyDescent="0.35">
      <c r="A8">
        <v>1</v>
      </c>
      <c r="B8">
        <v>7</v>
      </c>
      <c r="C8" t="s">
        <v>324</v>
      </c>
      <c r="D8" s="4">
        <v>45</v>
      </c>
      <c r="E8" s="4">
        <v>90</v>
      </c>
      <c r="F8" s="4">
        <v>135</v>
      </c>
      <c r="H8" s="4">
        <v>268</v>
      </c>
    </row>
    <row r="9" spans="1:8" x14ac:dyDescent="0.35">
      <c r="A9">
        <v>1</v>
      </c>
      <c r="B9">
        <v>8</v>
      </c>
      <c r="C9" t="s">
        <v>325</v>
      </c>
      <c r="D9" s="4">
        <v>20</v>
      </c>
      <c r="E9" s="4">
        <v>50</v>
      </c>
      <c r="F9" s="4">
        <v>80</v>
      </c>
      <c r="H9" s="4">
        <v>40</v>
      </c>
    </row>
    <row r="10" spans="1:8" x14ac:dyDescent="0.35">
      <c r="A10">
        <v>1</v>
      </c>
      <c r="B10">
        <v>9</v>
      </c>
      <c r="C10" t="s">
        <v>326</v>
      </c>
      <c r="D10" s="4">
        <v>50</v>
      </c>
      <c r="E10" s="4">
        <v>60</v>
      </c>
      <c r="F10" s="4">
        <v>80</v>
      </c>
      <c r="H10" s="4">
        <v>58.19</v>
      </c>
    </row>
    <row r="11" spans="1:8" x14ac:dyDescent="0.35">
      <c r="A11">
        <v>1</v>
      </c>
      <c r="B11">
        <v>10</v>
      </c>
      <c r="C11" t="s">
        <v>327</v>
      </c>
      <c r="D11" s="4">
        <v>10000</v>
      </c>
      <c r="E11" s="4">
        <v>100000</v>
      </c>
      <c r="F11" s="4">
        <v>1000000</v>
      </c>
      <c r="H11" s="4">
        <v>36000000</v>
      </c>
    </row>
    <row r="12" spans="1:8" x14ac:dyDescent="0.35">
      <c r="A12">
        <v>1</v>
      </c>
      <c r="B12">
        <v>11</v>
      </c>
      <c r="C12" t="s">
        <v>328</v>
      </c>
      <c r="D12" s="4">
        <v>4</v>
      </c>
      <c r="E12" s="4">
        <v>8</v>
      </c>
      <c r="F12" s="4">
        <v>12</v>
      </c>
      <c r="H12" s="4">
        <v>5.69</v>
      </c>
    </row>
    <row r="13" spans="1:8" x14ac:dyDescent="0.35">
      <c r="A13">
        <v>1</v>
      </c>
      <c r="B13">
        <v>12</v>
      </c>
      <c r="C13" t="s">
        <v>329</v>
      </c>
      <c r="D13" s="4">
        <v>1000</v>
      </c>
      <c r="E13" s="4">
        <v>5000</v>
      </c>
      <c r="F13" s="4">
        <v>10000</v>
      </c>
      <c r="H13" s="4">
        <v>2980</v>
      </c>
    </row>
    <row r="14" spans="1:8" x14ac:dyDescent="0.35">
      <c r="A14">
        <v>1</v>
      </c>
      <c r="B14">
        <v>13</v>
      </c>
      <c r="C14" t="s">
        <v>330</v>
      </c>
      <c r="D14" s="4">
        <v>30</v>
      </c>
      <c r="E14" s="4">
        <v>70</v>
      </c>
      <c r="F14" s="4">
        <v>90</v>
      </c>
      <c r="H14" s="4">
        <v>51</v>
      </c>
    </row>
    <row r="15" spans="1:8" x14ac:dyDescent="0.35">
      <c r="A15">
        <v>2</v>
      </c>
      <c r="B15">
        <v>1</v>
      </c>
      <c r="C15" t="s">
        <v>318</v>
      </c>
      <c r="D15" s="4">
        <v>3900</v>
      </c>
      <c r="E15" s="4">
        <v>5000</v>
      </c>
      <c r="F15" s="4">
        <v>6100</v>
      </c>
    </row>
    <row r="16" spans="1:8" x14ac:dyDescent="0.35">
      <c r="A16">
        <v>2</v>
      </c>
      <c r="B16">
        <v>2</v>
      </c>
      <c r="C16" t="s">
        <v>319</v>
      </c>
      <c r="D16" s="4">
        <v>1000000</v>
      </c>
      <c r="E16" s="4">
        <v>2800000</v>
      </c>
      <c r="F16" s="4">
        <v>4000000</v>
      </c>
    </row>
    <row r="17" spans="1:6" x14ac:dyDescent="0.35">
      <c r="A17">
        <v>2</v>
      </c>
      <c r="B17">
        <v>3</v>
      </c>
      <c r="C17" t="s">
        <v>320</v>
      </c>
      <c r="D17" s="4">
        <v>15</v>
      </c>
      <c r="E17" s="4">
        <v>30</v>
      </c>
      <c r="F17" s="4">
        <v>45</v>
      </c>
    </row>
    <row r="18" spans="1:6" x14ac:dyDescent="0.35">
      <c r="A18">
        <v>2</v>
      </c>
      <c r="B18">
        <v>4</v>
      </c>
      <c r="C18" t="s">
        <v>321</v>
      </c>
      <c r="D18" s="4">
        <v>250</v>
      </c>
      <c r="E18" s="4">
        <v>2500</v>
      </c>
      <c r="F18" s="4">
        <v>10000</v>
      </c>
    </row>
    <row r="19" spans="1:6" x14ac:dyDescent="0.35">
      <c r="A19">
        <v>2</v>
      </c>
      <c r="B19">
        <v>5</v>
      </c>
      <c r="C19" t="s">
        <v>322</v>
      </c>
      <c r="D19" s="4">
        <v>10</v>
      </c>
      <c r="E19" s="4">
        <v>40</v>
      </c>
      <c r="F19" s="4">
        <v>70</v>
      </c>
    </row>
    <row r="20" spans="1:6" x14ac:dyDescent="0.35">
      <c r="A20">
        <v>2</v>
      </c>
      <c r="B20">
        <v>6</v>
      </c>
      <c r="C20" t="s">
        <v>323</v>
      </c>
      <c r="D20" s="4">
        <v>2</v>
      </c>
      <c r="E20" s="4">
        <v>10</v>
      </c>
      <c r="F20" s="4">
        <v>30</v>
      </c>
    </row>
    <row r="21" spans="1:6" x14ac:dyDescent="0.35">
      <c r="A21">
        <v>2</v>
      </c>
      <c r="B21">
        <v>7</v>
      </c>
      <c r="C21" t="s">
        <v>324</v>
      </c>
      <c r="D21" s="4">
        <v>190</v>
      </c>
      <c r="E21" s="4">
        <v>270</v>
      </c>
      <c r="F21" s="4">
        <v>350</v>
      </c>
    </row>
    <row r="22" spans="1:6" x14ac:dyDescent="0.35">
      <c r="A22">
        <v>2</v>
      </c>
      <c r="B22">
        <v>8</v>
      </c>
      <c r="C22" t="s">
        <v>325</v>
      </c>
      <c r="D22" s="4">
        <v>5</v>
      </c>
      <c r="E22" s="4">
        <v>35</v>
      </c>
      <c r="F22" s="4">
        <v>55</v>
      </c>
    </row>
    <row r="23" spans="1:6" x14ac:dyDescent="0.35">
      <c r="A23">
        <v>2</v>
      </c>
      <c r="B23">
        <v>9</v>
      </c>
      <c r="C23" t="s">
        <v>326</v>
      </c>
      <c r="D23" s="4">
        <v>50</v>
      </c>
      <c r="E23" s="4">
        <v>70</v>
      </c>
      <c r="F23" s="4">
        <v>95</v>
      </c>
    </row>
    <row r="24" spans="1:6" x14ac:dyDescent="0.35">
      <c r="A24">
        <v>2</v>
      </c>
      <c r="B24">
        <v>10</v>
      </c>
      <c r="C24" t="s">
        <v>327</v>
      </c>
      <c r="D24" s="4">
        <v>500000</v>
      </c>
      <c r="E24" s="4">
        <v>10000000</v>
      </c>
      <c r="F24" s="4">
        <v>500000000</v>
      </c>
    </row>
    <row r="25" spans="1:6" x14ac:dyDescent="0.35">
      <c r="A25">
        <v>2</v>
      </c>
      <c r="B25">
        <v>11</v>
      </c>
      <c r="C25" t="s">
        <v>328</v>
      </c>
      <c r="D25" s="4">
        <v>2</v>
      </c>
      <c r="E25" s="4">
        <v>10</v>
      </c>
      <c r="F25" s="4">
        <v>20</v>
      </c>
    </row>
    <row r="26" spans="1:6" x14ac:dyDescent="0.35">
      <c r="A26">
        <v>2</v>
      </c>
      <c r="B26">
        <v>12</v>
      </c>
      <c r="C26" t="s">
        <v>329</v>
      </c>
      <c r="D26" s="4">
        <v>300</v>
      </c>
      <c r="E26" s="4">
        <v>1500</v>
      </c>
      <c r="F26" s="4">
        <v>4000</v>
      </c>
    </row>
    <row r="27" spans="1:6" x14ac:dyDescent="0.35">
      <c r="A27">
        <v>2</v>
      </c>
      <c r="B27">
        <v>13</v>
      </c>
      <c r="C27" t="s">
        <v>330</v>
      </c>
      <c r="D27" s="4">
        <v>5</v>
      </c>
      <c r="E27" s="4">
        <v>20</v>
      </c>
      <c r="F27" s="4">
        <v>60</v>
      </c>
    </row>
    <row r="28" spans="1:6" x14ac:dyDescent="0.35">
      <c r="A28">
        <v>3</v>
      </c>
      <c r="B28">
        <v>1</v>
      </c>
      <c r="C28" t="s">
        <v>318</v>
      </c>
      <c r="D28" s="4">
        <v>5950</v>
      </c>
      <c r="E28" s="4">
        <v>5983</v>
      </c>
      <c r="F28" s="4">
        <v>6000</v>
      </c>
    </row>
    <row r="29" spans="1:6" x14ac:dyDescent="0.35">
      <c r="A29">
        <v>3</v>
      </c>
      <c r="B29">
        <v>2</v>
      </c>
      <c r="C29" t="s">
        <v>319</v>
      </c>
      <c r="D29" s="4">
        <v>2500000</v>
      </c>
      <c r="E29" s="4">
        <v>3000000</v>
      </c>
      <c r="F29" s="4">
        <v>3500000</v>
      </c>
    </row>
    <row r="30" spans="1:6" x14ac:dyDescent="0.35">
      <c r="A30">
        <v>3</v>
      </c>
      <c r="B30">
        <v>3</v>
      </c>
      <c r="C30" t="s">
        <v>320</v>
      </c>
      <c r="D30" s="4">
        <v>40</v>
      </c>
      <c r="E30" s="4">
        <v>60</v>
      </c>
      <c r="F30" s="4">
        <v>80</v>
      </c>
    </row>
    <row r="31" spans="1:6" x14ac:dyDescent="0.35">
      <c r="A31">
        <v>3</v>
      </c>
      <c r="B31">
        <v>4</v>
      </c>
      <c r="C31" t="s">
        <v>321</v>
      </c>
      <c r="D31" s="4">
        <v>100</v>
      </c>
      <c r="E31" s="4">
        <v>300</v>
      </c>
      <c r="F31" s="4">
        <v>900</v>
      </c>
    </row>
    <row r="32" spans="1:6" x14ac:dyDescent="0.35">
      <c r="A32">
        <v>3</v>
      </c>
      <c r="B32">
        <v>5</v>
      </c>
      <c r="C32" t="s">
        <v>322</v>
      </c>
      <c r="D32" s="4">
        <v>5</v>
      </c>
      <c r="E32" s="4">
        <v>20</v>
      </c>
      <c r="F32" s="4">
        <v>30</v>
      </c>
    </row>
    <row r="33" spans="1:6" x14ac:dyDescent="0.35">
      <c r="A33">
        <v>3</v>
      </c>
      <c r="B33">
        <v>6</v>
      </c>
      <c r="C33" t="s">
        <v>323</v>
      </c>
      <c r="D33" s="4">
        <v>10</v>
      </c>
      <c r="E33" s="4">
        <v>12</v>
      </c>
      <c r="F33" s="4">
        <v>15</v>
      </c>
    </row>
    <row r="34" spans="1:6" x14ac:dyDescent="0.35">
      <c r="A34">
        <v>3</v>
      </c>
      <c r="B34">
        <v>7</v>
      </c>
      <c r="C34" t="s">
        <v>324</v>
      </c>
      <c r="D34" s="4">
        <v>250</v>
      </c>
      <c r="E34" s="4">
        <v>270</v>
      </c>
      <c r="F34" s="4">
        <v>290</v>
      </c>
    </row>
    <row r="35" spans="1:6" x14ac:dyDescent="0.35">
      <c r="A35">
        <v>3</v>
      </c>
      <c r="B35">
        <v>8</v>
      </c>
      <c r="C35" t="s">
        <v>325</v>
      </c>
      <c r="D35" s="4">
        <v>10</v>
      </c>
      <c r="E35" s="4">
        <v>20</v>
      </c>
      <c r="F35" s="4">
        <v>40</v>
      </c>
    </row>
    <row r="36" spans="1:6" x14ac:dyDescent="0.35">
      <c r="A36">
        <v>3</v>
      </c>
      <c r="B36">
        <v>9</v>
      </c>
      <c r="C36" t="s">
        <v>326</v>
      </c>
      <c r="D36" s="4">
        <v>70</v>
      </c>
      <c r="E36" s="4">
        <v>80</v>
      </c>
      <c r="F36" s="4">
        <v>90</v>
      </c>
    </row>
    <row r="37" spans="1:6" x14ac:dyDescent="0.35">
      <c r="A37">
        <v>3</v>
      </c>
      <c r="B37">
        <v>10</v>
      </c>
      <c r="C37" t="s">
        <v>327</v>
      </c>
      <c r="D37" s="4">
        <v>1000000</v>
      </c>
      <c r="E37" s="4">
        <v>1500000</v>
      </c>
      <c r="F37" s="4">
        <v>3000000</v>
      </c>
    </row>
    <row r="38" spans="1:6" x14ac:dyDescent="0.35">
      <c r="A38">
        <v>3</v>
      </c>
      <c r="B38">
        <v>11</v>
      </c>
      <c r="C38" t="s">
        <v>328</v>
      </c>
      <c r="D38" s="4">
        <v>3</v>
      </c>
      <c r="E38" s="4">
        <v>4.5</v>
      </c>
      <c r="F38" s="4">
        <v>6</v>
      </c>
    </row>
    <row r="39" spans="1:6" x14ac:dyDescent="0.35">
      <c r="A39">
        <v>3</v>
      </c>
      <c r="B39">
        <v>12</v>
      </c>
      <c r="C39" t="s">
        <v>329</v>
      </c>
      <c r="D39" s="4">
        <v>100</v>
      </c>
      <c r="E39" s="4">
        <v>500</v>
      </c>
      <c r="F39" s="4">
        <v>1000</v>
      </c>
    </row>
    <row r="40" spans="1:6" x14ac:dyDescent="0.35">
      <c r="A40">
        <v>3</v>
      </c>
      <c r="B40">
        <v>13</v>
      </c>
      <c r="C40" t="s">
        <v>330</v>
      </c>
      <c r="D40" s="4">
        <v>5</v>
      </c>
      <c r="E40" s="4">
        <v>20</v>
      </c>
      <c r="F40" s="4">
        <v>40</v>
      </c>
    </row>
    <row r="41" spans="1:6" x14ac:dyDescent="0.35">
      <c r="A41">
        <v>4</v>
      </c>
      <c r="B41">
        <v>1</v>
      </c>
      <c r="C41" t="s">
        <v>318</v>
      </c>
      <c r="D41" s="4">
        <v>4000</v>
      </c>
      <c r="E41" s="4">
        <v>6000</v>
      </c>
      <c r="F41" s="4">
        <v>7000</v>
      </c>
    </row>
    <row r="42" spans="1:6" x14ac:dyDescent="0.35">
      <c r="A42">
        <v>4</v>
      </c>
      <c r="B42">
        <v>2</v>
      </c>
      <c r="C42" t="s">
        <v>319</v>
      </c>
      <c r="D42" s="4">
        <v>2000000</v>
      </c>
      <c r="E42" s="4">
        <v>4000000</v>
      </c>
      <c r="F42" s="4">
        <v>9000000</v>
      </c>
    </row>
    <row r="43" spans="1:6" x14ac:dyDescent="0.35">
      <c r="A43">
        <v>4</v>
      </c>
      <c r="B43">
        <v>3</v>
      </c>
      <c r="C43" t="s">
        <v>320</v>
      </c>
      <c r="D43" s="4">
        <v>20</v>
      </c>
      <c r="E43" s="4">
        <v>40</v>
      </c>
      <c r="F43" s="4">
        <v>70</v>
      </c>
    </row>
    <row r="44" spans="1:6" x14ac:dyDescent="0.35">
      <c r="A44">
        <v>4</v>
      </c>
      <c r="B44">
        <v>4</v>
      </c>
      <c r="C44" t="s">
        <v>321</v>
      </c>
      <c r="D44" s="4">
        <v>50</v>
      </c>
      <c r="E44" s="4">
        <v>5000</v>
      </c>
      <c r="F44" s="4">
        <v>15000</v>
      </c>
    </row>
    <row r="45" spans="1:6" x14ac:dyDescent="0.35">
      <c r="A45">
        <v>4</v>
      </c>
      <c r="B45">
        <v>5</v>
      </c>
      <c r="C45" t="s">
        <v>322</v>
      </c>
      <c r="D45" s="4">
        <v>10</v>
      </c>
      <c r="E45" s="4">
        <v>40</v>
      </c>
      <c r="F45" s="4">
        <v>90</v>
      </c>
    </row>
    <row r="46" spans="1:6" x14ac:dyDescent="0.35">
      <c r="A46">
        <v>4</v>
      </c>
      <c r="B46">
        <v>6</v>
      </c>
      <c r="C46" t="s">
        <v>323</v>
      </c>
      <c r="D46" s="4">
        <v>100</v>
      </c>
      <c r="E46" s="4">
        <v>1000</v>
      </c>
      <c r="F46" s="4">
        <v>10000</v>
      </c>
    </row>
    <row r="47" spans="1:6" x14ac:dyDescent="0.35">
      <c r="A47">
        <v>4</v>
      </c>
      <c r="B47">
        <v>7</v>
      </c>
      <c r="C47" t="s">
        <v>324</v>
      </c>
      <c r="D47" s="4">
        <v>260</v>
      </c>
      <c r="E47" s="4">
        <v>300</v>
      </c>
      <c r="F47" s="4">
        <v>340</v>
      </c>
    </row>
    <row r="48" spans="1:6" x14ac:dyDescent="0.35">
      <c r="A48">
        <v>4</v>
      </c>
      <c r="B48">
        <v>8</v>
      </c>
      <c r="C48" t="s">
        <v>325</v>
      </c>
      <c r="D48" s="4">
        <v>10</v>
      </c>
      <c r="E48" s="4">
        <v>50</v>
      </c>
      <c r="F48" s="4">
        <v>90</v>
      </c>
    </row>
    <row r="49" spans="1:6" x14ac:dyDescent="0.35">
      <c r="A49">
        <v>4</v>
      </c>
      <c r="B49">
        <v>9</v>
      </c>
      <c r="C49" t="s">
        <v>326</v>
      </c>
      <c r="D49" s="4">
        <v>1</v>
      </c>
      <c r="E49" s="4">
        <v>20</v>
      </c>
      <c r="F49" s="4">
        <v>50</v>
      </c>
    </row>
    <row r="50" spans="1:6" x14ac:dyDescent="0.35">
      <c r="A50">
        <v>4</v>
      </c>
      <c r="B50">
        <v>10</v>
      </c>
      <c r="C50" t="s">
        <v>327</v>
      </c>
      <c r="D50" s="4">
        <v>1000</v>
      </c>
      <c r="E50" s="4">
        <v>50000</v>
      </c>
      <c r="F50" s="4">
        <v>100000</v>
      </c>
    </row>
    <row r="51" spans="1:6" x14ac:dyDescent="0.35">
      <c r="A51">
        <v>4</v>
      </c>
      <c r="B51">
        <v>11</v>
      </c>
      <c r="C51" t="s">
        <v>328</v>
      </c>
      <c r="D51" s="4">
        <v>0.1</v>
      </c>
      <c r="E51" s="4">
        <v>10</v>
      </c>
      <c r="F51" s="4">
        <v>30</v>
      </c>
    </row>
    <row r="52" spans="1:6" x14ac:dyDescent="0.35">
      <c r="A52">
        <v>4</v>
      </c>
      <c r="B52">
        <v>12</v>
      </c>
      <c r="C52" t="s">
        <v>329</v>
      </c>
      <c r="D52" s="4">
        <v>10</v>
      </c>
      <c r="E52" s="4">
        <v>200</v>
      </c>
      <c r="F52" s="4">
        <v>1000</v>
      </c>
    </row>
    <row r="53" spans="1:6" x14ac:dyDescent="0.35">
      <c r="A53">
        <v>4</v>
      </c>
      <c r="B53">
        <v>13</v>
      </c>
      <c r="C53" t="s">
        <v>330</v>
      </c>
      <c r="D53" s="4">
        <v>10</v>
      </c>
      <c r="E53" s="4">
        <v>30</v>
      </c>
      <c r="F53" s="4">
        <v>70</v>
      </c>
    </row>
    <row r="54" spans="1:6" x14ac:dyDescent="0.35">
      <c r="A54">
        <v>5</v>
      </c>
      <c r="B54">
        <v>1</v>
      </c>
      <c r="C54" t="s">
        <v>318</v>
      </c>
      <c r="D54" s="4">
        <v>600</v>
      </c>
      <c r="E54" s="4">
        <v>900</v>
      </c>
      <c r="F54" s="4">
        <v>1500</v>
      </c>
    </row>
    <row r="55" spans="1:6" x14ac:dyDescent="0.35">
      <c r="A55">
        <v>5</v>
      </c>
      <c r="B55">
        <v>2</v>
      </c>
      <c r="C55" t="s">
        <v>319</v>
      </c>
      <c r="D55" s="4">
        <v>1000000</v>
      </c>
      <c r="E55" s="4">
        <v>3600000</v>
      </c>
      <c r="F55" s="4">
        <v>4600000</v>
      </c>
    </row>
    <row r="56" spans="1:6" x14ac:dyDescent="0.35">
      <c r="A56">
        <v>5</v>
      </c>
      <c r="B56">
        <v>3</v>
      </c>
      <c r="C56" t="s">
        <v>320</v>
      </c>
      <c r="D56" s="4">
        <v>5</v>
      </c>
      <c r="E56" s="4">
        <v>15</v>
      </c>
      <c r="F56" s="4">
        <v>20</v>
      </c>
    </row>
    <row r="57" spans="1:6" x14ac:dyDescent="0.35">
      <c r="A57">
        <v>5</v>
      </c>
      <c r="B57">
        <v>4</v>
      </c>
      <c r="C57" t="s">
        <v>321</v>
      </c>
      <c r="D57" s="4">
        <v>500</v>
      </c>
      <c r="E57" s="4">
        <v>1500</v>
      </c>
      <c r="F57" s="4">
        <v>3000</v>
      </c>
    </row>
    <row r="58" spans="1:6" x14ac:dyDescent="0.35">
      <c r="A58">
        <v>5</v>
      </c>
      <c r="B58">
        <v>5</v>
      </c>
      <c r="C58" t="s">
        <v>322</v>
      </c>
      <c r="D58" s="4">
        <v>5</v>
      </c>
      <c r="E58" s="4">
        <v>30</v>
      </c>
      <c r="F58" s="4">
        <v>50</v>
      </c>
    </row>
    <row r="59" spans="1:6" x14ac:dyDescent="0.35">
      <c r="A59">
        <v>5</v>
      </c>
      <c r="B59">
        <v>6</v>
      </c>
      <c r="C59" t="s">
        <v>323</v>
      </c>
      <c r="D59" s="4">
        <v>800</v>
      </c>
      <c r="E59" s="4">
        <v>1500</v>
      </c>
      <c r="F59" s="4">
        <v>2500</v>
      </c>
    </row>
    <row r="60" spans="1:6" x14ac:dyDescent="0.35">
      <c r="A60">
        <v>5</v>
      </c>
      <c r="B60">
        <v>7</v>
      </c>
      <c r="C60" t="s">
        <v>324</v>
      </c>
      <c r="D60" s="4">
        <v>280</v>
      </c>
      <c r="E60" s="4">
        <v>300</v>
      </c>
      <c r="F60" s="4">
        <v>320</v>
      </c>
    </row>
    <row r="61" spans="1:6" x14ac:dyDescent="0.35">
      <c r="A61">
        <v>5</v>
      </c>
      <c r="B61">
        <v>8</v>
      </c>
      <c r="C61" t="s">
        <v>325</v>
      </c>
      <c r="D61" s="4">
        <v>20</v>
      </c>
      <c r="E61" s="4">
        <v>40</v>
      </c>
      <c r="F61" s="4">
        <v>60</v>
      </c>
    </row>
    <row r="62" spans="1:6" x14ac:dyDescent="0.35">
      <c r="A62">
        <v>5</v>
      </c>
      <c r="B62">
        <v>9</v>
      </c>
      <c r="C62" t="s">
        <v>326</v>
      </c>
      <c r="D62" s="4">
        <v>40</v>
      </c>
      <c r="E62" s="4">
        <v>70</v>
      </c>
      <c r="F62" s="4">
        <v>80</v>
      </c>
    </row>
    <row r="63" spans="1:6" x14ac:dyDescent="0.35">
      <c r="A63">
        <v>5</v>
      </c>
      <c r="B63">
        <v>10</v>
      </c>
      <c r="C63" t="s">
        <v>327</v>
      </c>
      <c r="D63" s="4">
        <v>1000</v>
      </c>
      <c r="E63" s="4">
        <v>500000</v>
      </c>
      <c r="F63" s="4">
        <v>1000000</v>
      </c>
    </row>
    <row r="64" spans="1:6" x14ac:dyDescent="0.35">
      <c r="A64">
        <v>5</v>
      </c>
      <c r="B64">
        <v>11</v>
      </c>
      <c r="C64" t="s">
        <v>328</v>
      </c>
      <c r="D64" s="4">
        <v>5</v>
      </c>
      <c r="E64" s="4">
        <v>15</v>
      </c>
      <c r="F64" s="4">
        <v>30</v>
      </c>
    </row>
    <row r="65" spans="1:6" x14ac:dyDescent="0.35">
      <c r="A65">
        <v>5</v>
      </c>
      <c r="B65">
        <v>12</v>
      </c>
      <c r="C65" t="s">
        <v>329</v>
      </c>
      <c r="D65" s="4">
        <v>8000</v>
      </c>
      <c r="E65" s="4">
        <v>10000</v>
      </c>
      <c r="F65" s="4">
        <v>15000</v>
      </c>
    </row>
    <row r="66" spans="1:6" x14ac:dyDescent="0.35">
      <c r="A66">
        <v>5</v>
      </c>
      <c r="B66">
        <v>13</v>
      </c>
      <c r="C66" t="s">
        <v>330</v>
      </c>
      <c r="D66" s="4">
        <v>10</v>
      </c>
      <c r="E66" s="4">
        <v>40</v>
      </c>
      <c r="F66" s="4">
        <v>70</v>
      </c>
    </row>
    <row r="67" spans="1:6" x14ac:dyDescent="0.35">
      <c r="A67">
        <v>6</v>
      </c>
      <c r="B67">
        <v>1</v>
      </c>
      <c r="C67" t="s">
        <v>318</v>
      </c>
      <c r="D67" s="4">
        <v>5500</v>
      </c>
      <c r="E67" s="4">
        <v>6000</v>
      </c>
      <c r="F67" s="4">
        <v>6700</v>
      </c>
    </row>
    <row r="68" spans="1:6" x14ac:dyDescent="0.35">
      <c r="A68">
        <v>6</v>
      </c>
      <c r="B68">
        <v>2</v>
      </c>
      <c r="C68" t="s">
        <v>319</v>
      </c>
      <c r="D68" s="4">
        <v>2700000</v>
      </c>
      <c r="E68" s="4">
        <v>3000000</v>
      </c>
      <c r="F68" s="4">
        <v>3500000</v>
      </c>
    </row>
    <row r="69" spans="1:6" x14ac:dyDescent="0.35">
      <c r="A69">
        <v>6</v>
      </c>
      <c r="B69">
        <v>3</v>
      </c>
      <c r="C69" t="s">
        <v>320</v>
      </c>
      <c r="D69" s="4">
        <v>15</v>
      </c>
      <c r="E69" s="4">
        <v>25</v>
      </c>
      <c r="F69" s="4">
        <v>40</v>
      </c>
    </row>
    <row r="70" spans="1:6" x14ac:dyDescent="0.35">
      <c r="A70">
        <v>6</v>
      </c>
      <c r="B70">
        <v>4</v>
      </c>
      <c r="C70" t="s">
        <v>321</v>
      </c>
      <c r="D70" s="4">
        <v>1000</v>
      </c>
      <c r="E70" s="4">
        <v>6000</v>
      </c>
      <c r="F70" s="4">
        <v>10000</v>
      </c>
    </row>
    <row r="71" spans="1:6" x14ac:dyDescent="0.35">
      <c r="A71">
        <v>6</v>
      </c>
      <c r="B71">
        <v>5</v>
      </c>
      <c r="C71" t="s">
        <v>322</v>
      </c>
      <c r="D71" s="4">
        <v>10</v>
      </c>
      <c r="E71" s="4">
        <v>30</v>
      </c>
      <c r="F71" s="4">
        <v>60</v>
      </c>
    </row>
    <row r="72" spans="1:6" x14ac:dyDescent="0.35">
      <c r="A72">
        <v>6</v>
      </c>
      <c r="B72">
        <v>6</v>
      </c>
      <c r="C72" t="s">
        <v>323</v>
      </c>
      <c r="D72" s="4">
        <v>50</v>
      </c>
      <c r="E72" s="4">
        <v>100</v>
      </c>
      <c r="F72" s="4">
        <v>1000</v>
      </c>
    </row>
    <row r="73" spans="1:6" x14ac:dyDescent="0.35">
      <c r="A73">
        <v>6</v>
      </c>
      <c r="B73">
        <v>7</v>
      </c>
      <c r="C73" t="s">
        <v>324</v>
      </c>
      <c r="D73" s="4">
        <v>230</v>
      </c>
      <c r="E73" s="4">
        <v>270</v>
      </c>
      <c r="F73" s="4">
        <v>310</v>
      </c>
    </row>
    <row r="74" spans="1:6" x14ac:dyDescent="0.35">
      <c r="A74">
        <v>6</v>
      </c>
      <c r="B74">
        <v>8</v>
      </c>
      <c r="C74" t="s">
        <v>325</v>
      </c>
      <c r="D74" s="4">
        <v>30</v>
      </c>
      <c r="E74" s="4">
        <v>50</v>
      </c>
      <c r="F74" s="4">
        <v>70</v>
      </c>
    </row>
    <row r="75" spans="1:6" x14ac:dyDescent="0.35">
      <c r="A75">
        <v>6</v>
      </c>
      <c r="B75">
        <v>9</v>
      </c>
      <c r="C75" t="s">
        <v>326</v>
      </c>
      <c r="D75" s="4">
        <v>25</v>
      </c>
      <c r="E75" s="4">
        <v>40</v>
      </c>
      <c r="F75" s="4">
        <v>50</v>
      </c>
    </row>
    <row r="76" spans="1:6" x14ac:dyDescent="0.35">
      <c r="A76">
        <v>6</v>
      </c>
      <c r="B76">
        <v>10</v>
      </c>
      <c r="C76" t="s">
        <v>327</v>
      </c>
      <c r="D76" s="4">
        <v>10000</v>
      </c>
      <c r="E76" s="4">
        <v>100000</v>
      </c>
      <c r="F76" s="4">
        <v>1000000</v>
      </c>
    </row>
    <row r="77" spans="1:6" x14ac:dyDescent="0.35">
      <c r="A77">
        <v>6</v>
      </c>
      <c r="B77">
        <v>11</v>
      </c>
      <c r="C77" t="s">
        <v>328</v>
      </c>
      <c r="D77" s="4">
        <v>5</v>
      </c>
      <c r="E77" s="4">
        <v>10</v>
      </c>
      <c r="F77" s="4">
        <v>20</v>
      </c>
    </row>
    <row r="78" spans="1:6" x14ac:dyDescent="0.35">
      <c r="A78">
        <v>6</v>
      </c>
      <c r="B78">
        <v>12</v>
      </c>
      <c r="C78" t="s">
        <v>329</v>
      </c>
      <c r="D78" s="4">
        <v>2000</v>
      </c>
      <c r="E78" s="4">
        <v>4000</v>
      </c>
      <c r="F78" s="4">
        <v>6000</v>
      </c>
    </row>
    <row r="79" spans="1:6" x14ac:dyDescent="0.35">
      <c r="A79">
        <v>6</v>
      </c>
      <c r="B79">
        <v>13</v>
      </c>
      <c r="C79" t="s">
        <v>330</v>
      </c>
      <c r="D79" s="4">
        <v>30</v>
      </c>
      <c r="E79" s="4">
        <v>50</v>
      </c>
      <c r="F79" s="4">
        <v>70</v>
      </c>
    </row>
    <row r="80" spans="1:6" x14ac:dyDescent="0.35">
      <c r="A80">
        <v>7</v>
      </c>
      <c r="B80">
        <v>1</v>
      </c>
      <c r="C80" t="s">
        <v>318</v>
      </c>
      <c r="D80" s="4">
        <v>5400</v>
      </c>
      <c r="E80" s="4">
        <v>5900</v>
      </c>
      <c r="F80" s="4">
        <v>6100</v>
      </c>
    </row>
    <row r="81" spans="1:6" x14ac:dyDescent="0.35">
      <c r="A81">
        <v>7</v>
      </c>
      <c r="B81">
        <v>2</v>
      </c>
      <c r="C81" t="s">
        <v>319</v>
      </c>
      <c r="D81" s="4">
        <v>800000</v>
      </c>
      <c r="E81" s="4">
        <v>3000000</v>
      </c>
      <c r="F81" s="4">
        <v>4000000</v>
      </c>
    </row>
    <row r="82" spans="1:6" x14ac:dyDescent="0.35">
      <c r="A82">
        <v>7</v>
      </c>
      <c r="B82">
        <v>3</v>
      </c>
      <c r="C82" t="s">
        <v>320</v>
      </c>
      <c r="D82" s="4">
        <v>5</v>
      </c>
      <c r="E82" s="4">
        <v>10</v>
      </c>
      <c r="F82" s="4">
        <v>25</v>
      </c>
    </row>
    <row r="83" spans="1:6" x14ac:dyDescent="0.35">
      <c r="A83">
        <v>7</v>
      </c>
      <c r="B83">
        <v>4</v>
      </c>
      <c r="C83" t="s">
        <v>321</v>
      </c>
      <c r="D83" s="4">
        <v>4000</v>
      </c>
      <c r="E83" s="4">
        <v>8000</v>
      </c>
      <c r="F83" s="4">
        <v>320000</v>
      </c>
    </row>
    <row r="84" spans="1:6" x14ac:dyDescent="0.35">
      <c r="A84">
        <v>7</v>
      </c>
      <c r="B84">
        <v>5</v>
      </c>
      <c r="C84" t="s">
        <v>322</v>
      </c>
      <c r="D84" s="4">
        <v>50</v>
      </c>
      <c r="E84" s="4">
        <v>100</v>
      </c>
      <c r="F84" s="4">
        <v>200</v>
      </c>
    </row>
    <row r="85" spans="1:6" x14ac:dyDescent="0.35">
      <c r="A85">
        <v>7</v>
      </c>
      <c r="B85">
        <v>6</v>
      </c>
      <c r="C85" t="s">
        <v>323</v>
      </c>
      <c r="D85" s="4">
        <v>0.1</v>
      </c>
      <c r="E85" s="4">
        <v>1</v>
      </c>
      <c r="F85" s="4">
        <v>15</v>
      </c>
    </row>
    <row r="86" spans="1:6" x14ac:dyDescent="0.35">
      <c r="A86">
        <v>7</v>
      </c>
      <c r="B86">
        <v>7</v>
      </c>
      <c r="C86" t="s">
        <v>324</v>
      </c>
      <c r="D86" s="4">
        <v>240</v>
      </c>
      <c r="E86" s="4">
        <v>300</v>
      </c>
      <c r="F86" s="4">
        <v>360</v>
      </c>
    </row>
    <row r="87" spans="1:6" x14ac:dyDescent="0.35">
      <c r="A87">
        <v>7</v>
      </c>
      <c r="B87">
        <v>8</v>
      </c>
      <c r="C87" t="s">
        <v>325</v>
      </c>
      <c r="D87" s="4">
        <v>20</v>
      </c>
      <c r="E87" s="4">
        <v>35</v>
      </c>
      <c r="F87" s="4">
        <v>60</v>
      </c>
    </row>
    <row r="88" spans="1:6" x14ac:dyDescent="0.35">
      <c r="A88">
        <v>7</v>
      </c>
      <c r="B88">
        <v>9</v>
      </c>
      <c r="C88" t="s">
        <v>326</v>
      </c>
      <c r="D88" s="4">
        <v>20</v>
      </c>
      <c r="E88" s="4">
        <v>40</v>
      </c>
      <c r="F88" s="4">
        <v>70</v>
      </c>
    </row>
    <row r="89" spans="1:6" x14ac:dyDescent="0.35">
      <c r="A89">
        <v>7</v>
      </c>
      <c r="B89">
        <v>10</v>
      </c>
      <c r="C89" t="s">
        <v>327</v>
      </c>
      <c r="D89" s="4">
        <v>100000</v>
      </c>
      <c r="E89" s="4">
        <v>1000000</v>
      </c>
      <c r="F89" s="4">
        <v>100000000</v>
      </c>
    </row>
    <row r="90" spans="1:6" x14ac:dyDescent="0.35">
      <c r="A90">
        <v>7</v>
      </c>
      <c r="B90">
        <v>11</v>
      </c>
      <c r="C90" t="s">
        <v>328</v>
      </c>
      <c r="D90" s="4">
        <v>1</v>
      </c>
      <c r="E90" s="4">
        <v>7</v>
      </c>
      <c r="F90" s="4">
        <v>12</v>
      </c>
    </row>
    <row r="91" spans="1:6" x14ac:dyDescent="0.35">
      <c r="A91">
        <v>7</v>
      </c>
      <c r="B91">
        <v>12</v>
      </c>
      <c r="C91" t="s">
        <v>329</v>
      </c>
      <c r="D91" s="4">
        <v>1000</v>
      </c>
      <c r="E91" s="4">
        <v>3000</v>
      </c>
      <c r="F91" s="4">
        <v>3500</v>
      </c>
    </row>
    <row r="92" spans="1:6" x14ac:dyDescent="0.35">
      <c r="A92">
        <v>7</v>
      </c>
      <c r="B92">
        <v>13</v>
      </c>
      <c r="C92" t="s">
        <v>330</v>
      </c>
      <c r="D92" s="4">
        <v>8</v>
      </c>
      <c r="E92" s="4">
        <v>15</v>
      </c>
      <c r="F92" s="4">
        <v>40</v>
      </c>
    </row>
    <row r="93" spans="1:6" x14ac:dyDescent="0.35">
      <c r="A93">
        <v>8</v>
      </c>
      <c r="B93">
        <v>1</v>
      </c>
      <c r="C93" t="s">
        <v>318</v>
      </c>
      <c r="D93" s="4">
        <v>4500</v>
      </c>
      <c r="E93" s="4">
        <v>5200</v>
      </c>
      <c r="F93" s="4">
        <v>6500</v>
      </c>
    </row>
    <row r="94" spans="1:6" x14ac:dyDescent="0.35">
      <c r="A94">
        <v>8</v>
      </c>
      <c r="B94">
        <v>2</v>
      </c>
      <c r="C94" t="s">
        <v>319</v>
      </c>
      <c r="D94" s="4">
        <v>1000000</v>
      </c>
      <c r="E94" s="4">
        <v>4000000</v>
      </c>
      <c r="F94" s="4">
        <v>15000000</v>
      </c>
    </row>
    <row r="95" spans="1:6" x14ac:dyDescent="0.35">
      <c r="A95">
        <v>8</v>
      </c>
      <c r="B95">
        <v>3</v>
      </c>
      <c r="C95" t="s">
        <v>320</v>
      </c>
      <c r="D95" s="4">
        <v>10</v>
      </c>
      <c r="E95" s="4">
        <v>30</v>
      </c>
      <c r="F95" s="4">
        <v>80</v>
      </c>
    </row>
    <row r="96" spans="1:6" x14ac:dyDescent="0.35">
      <c r="A96">
        <v>8</v>
      </c>
      <c r="B96">
        <v>4</v>
      </c>
      <c r="C96" t="s">
        <v>321</v>
      </c>
      <c r="D96" s="4">
        <v>1000</v>
      </c>
      <c r="E96" s="4">
        <v>2500</v>
      </c>
      <c r="F96" s="4">
        <v>12000</v>
      </c>
    </row>
    <row r="97" spans="1:6" x14ac:dyDescent="0.35">
      <c r="A97">
        <v>8</v>
      </c>
      <c r="B97">
        <v>5</v>
      </c>
      <c r="C97" t="s">
        <v>322</v>
      </c>
      <c r="D97" s="4">
        <v>5</v>
      </c>
      <c r="E97" s="4">
        <v>30</v>
      </c>
      <c r="F97" s="4">
        <v>80</v>
      </c>
    </row>
    <row r="98" spans="1:6" x14ac:dyDescent="0.35">
      <c r="A98">
        <v>8</v>
      </c>
      <c r="B98">
        <v>6</v>
      </c>
      <c r="C98" t="s">
        <v>323</v>
      </c>
      <c r="D98" s="4">
        <v>1</v>
      </c>
      <c r="E98" s="4">
        <v>30</v>
      </c>
      <c r="F98" s="4">
        <v>1000</v>
      </c>
    </row>
    <row r="99" spans="1:6" x14ac:dyDescent="0.35">
      <c r="A99">
        <v>8</v>
      </c>
      <c r="B99">
        <v>7</v>
      </c>
      <c r="C99" t="s">
        <v>324</v>
      </c>
      <c r="D99" s="4">
        <v>180</v>
      </c>
      <c r="E99" s="4">
        <v>270</v>
      </c>
      <c r="F99" s="4">
        <v>360</v>
      </c>
    </row>
    <row r="100" spans="1:6" x14ac:dyDescent="0.35">
      <c r="A100">
        <v>8</v>
      </c>
      <c r="B100">
        <v>8</v>
      </c>
      <c r="C100" t="s">
        <v>325</v>
      </c>
      <c r="D100" s="4">
        <v>5</v>
      </c>
      <c r="E100" s="4">
        <v>30</v>
      </c>
      <c r="F100" s="4">
        <v>60</v>
      </c>
    </row>
    <row r="101" spans="1:6" x14ac:dyDescent="0.35">
      <c r="A101">
        <v>8</v>
      </c>
      <c r="B101">
        <v>9</v>
      </c>
      <c r="C101" t="s">
        <v>326</v>
      </c>
      <c r="D101" s="4">
        <v>20</v>
      </c>
      <c r="E101" s="4">
        <v>50</v>
      </c>
      <c r="F101" s="4">
        <v>80</v>
      </c>
    </row>
    <row r="102" spans="1:6" x14ac:dyDescent="0.35">
      <c r="A102">
        <v>8</v>
      </c>
      <c r="B102">
        <v>10</v>
      </c>
      <c r="C102" t="s">
        <v>327</v>
      </c>
      <c r="D102" s="4">
        <v>1000000</v>
      </c>
      <c r="E102" s="4">
        <v>10000000</v>
      </c>
      <c r="F102" s="4">
        <v>100000000</v>
      </c>
    </row>
    <row r="103" spans="1:6" x14ac:dyDescent="0.35">
      <c r="A103">
        <v>8</v>
      </c>
      <c r="B103">
        <v>11</v>
      </c>
      <c r="C103" t="s">
        <v>328</v>
      </c>
      <c r="D103" s="4">
        <v>5</v>
      </c>
      <c r="E103" s="4">
        <v>20</v>
      </c>
      <c r="F103" s="4">
        <v>30</v>
      </c>
    </row>
    <row r="104" spans="1:6" x14ac:dyDescent="0.35">
      <c r="A104">
        <v>8</v>
      </c>
      <c r="B104">
        <v>12</v>
      </c>
      <c r="C104" t="s">
        <v>329</v>
      </c>
      <c r="D104" s="4">
        <v>500</v>
      </c>
      <c r="E104" s="4">
        <v>2000</v>
      </c>
      <c r="F104" s="4">
        <v>5000</v>
      </c>
    </row>
    <row r="105" spans="1:6" x14ac:dyDescent="0.35">
      <c r="A105">
        <v>8</v>
      </c>
      <c r="B105">
        <v>13</v>
      </c>
      <c r="C105" t="s">
        <v>330</v>
      </c>
      <c r="D105" s="4">
        <v>10</v>
      </c>
      <c r="E105" s="4">
        <v>50</v>
      </c>
      <c r="F105" s="4">
        <v>90</v>
      </c>
    </row>
    <row r="106" spans="1:6" x14ac:dyDescent="0.35">
      <c r="A106">
        <v>9</v>
      </c>
      <c r="B106">
        <v>1</v>
      </c>
      <c r="C106" t="s">
        <v>318</v>
      </c>
      <c r="D106" s="4">
        <v>5860</v>
      </c>
      <c r="E106" s="4">
        <v>5940</v>
      </c>
      <c r="F106" s="4">
        <v>5990</v>
      </c>
    </row>
    <row r="107" spans="1:6" x14ac:dyDescent="0.35">
      <c r="A107">
        <v>9</v>
      </c>
      <c r="B107">
        <v>2</v>
      </c>
      <c r="C107" t="s">
        <v>319</v>
      </c>
      <c r="D107" s="4">
        <v>1500000</v>
      </c>
      <c r="E107" s="4">
        <v>3000000</v>
      </c>
      <c r="F107" s="4">
        <v>7000000</v>
      </c>
    </row>
    <row r="108" spans="1:6" x14ac:dyDescent="0.35">
      <c r="A108">
        <v>9</v>
      </c>
      <c r="B108">
        <v>3</v>
      </c>
      <c r="C108" t="s">
        <v>320</v>
      </c>
      <c r="D108" s="4">
        <v>10</v>
      </c>
      <c r="E108" s="4">
        <v>25</v>
      </c>
      <c r="F108" s="4">
        <v>50</v>
      </c>
    </row>
    <row r="109" spans="1:6" x14ac:dyDescent="0.35">
      <c r="A109">
        <v>9</v>
      </c>
      <c r="B109">
        <v>4</v>
      </c>
      <c r="C109" t="s">
        <v>321</v>
      </c>
      <c r="D109" s="4">
        <v>15</v>
      </c>
      <c r="E109" s="4">
        <v>150</v>
      </c>
      <c r="F109" s="4">
        <v>350</v>
      </c>
    </row>
    <row r="110" spans="1:6" x14ac:dyDescent="0.35">
      <c r="A110">
        <v>9</v>
      </c>
      <c r="B110">
        <v>5</v>
      </c>
      <c r="C110" t="s">
        <v>322</v>
      </c>
      <c r="D110" s="4">
        <v>15</v>
      </c>
      <c r="E110" s="4">
        <v>30</v>
      </c>
      <c r="F110" s="4">
        <v>60</v>
      </c>
    </row>
    <row r="111" spans="1:6" x14ac:dyDescent="0.35">
      <c r="A111">
        <v>9</v>
      </c>
      <c r="B111">
        <v>6</v>
      </c>
      <c r="C111" t="s">
        <v>323</v>
      </c>
      <c r="D111" s="4">
        <v>1</v>
      </c>
      <c r="E111" s="4">
        <v>10</v>
      </c>
      <c r="F111" s="4">
        <v>100</v>
      </c>
    </row>
    <row r="112" spans="1:6" x14ac:dyDescent="0.35">
      <c r="A112">
        <v>9</v>
      </c>
      <c r="B112">
        <v>7</v>
      </c>
      <c r="C112" t="s">
        <v>324</v>
      </c>
      <c r="D112" s="4">
        <v>230</v>
      </c>
      <c r="E112" s="4">
        <v>270</v>
      </c>
      <c r="F112" s="4">
        <v>300</v>
      </c>
    </row>
    <row r="113" spans="1:6" x14ac:dyDescent="0.35">
      <c r="A113">
        <v>9</v>
      </c>
      <c r="B113">
        <v>8</v>
      </c>
      <c r="C113" t="s">
        <v>325</v>
      </c>
      <c r="D113" s="4">
        <v>50</v>
      </c>
      <c r="E113" s="4">
        <v>70</v>
      </c>
      <c r="F113" s="4">
        <v>85</v>
      </c>
    </row>
    <row r="114" spans="1:6" x14ac:dyDescent="0.35">
      <c r="A114">
        <v>9</v>
      </c>
      <c r="B114">
        <v>9</v>
      </c>
      <c r="C114" t="s">
        <v>326</v>
      </c>
      <c r="D114" s="4">
        <v>10</v>
      </c>
      <c r="E114" s="4">
        <v>50</v>
      </c>
      <c r="F114" s="4">
        <v>70</v>
      </c>
    </row>
    <row r="115" spans="1:6" x14ac:dyDescent="0.35">
      <c r="A115">
        <v>9</v>
      </c>
      <c r="B115">
        <v>10</v>
      </c>
      <c r="C115" t="s">
        <v>327</v>
      </c>
      <c r="D115" s="4">
        <v>100000</v>
      </c>
      <c r="E115" s="4">
        <v>5000000</v>
      </c>
      <c r="F115" s="4">
        <v>50000000</v>
      </c>
    </row>
    <row r="116" spans="1:6" x14ac:dyDescent="0.35">
      <c r="A116">
        <v>9</v>
      </c>
      <c r="B116">
        <v>11</v>
      </c>
      <c r="C116" t="s">
        <v>328</v>
      </c>
      <c r="D116" s="4">
        <v>4</v>
      </c>
      <c r="E116" s="4">
        <v>7</v>
      </c>
      <c r="F116" s="4">
        <v>9</v>
      </c>
    </row>
    <row r="117" spans="1:6" x14ac:dyDescent="0.35">
      <c r="A117">
        <v>9</v>
      </c>
      <c r="B117">
        <v>12</v>
      </c>
      <c r="C117" t="s">
        <v>329</v>
      </c>
      <c r="D117" s="4">
        <v>1000</v>
      </c>
      <c r="E117" s="4">
        <v>3000</v>
      </c>
      <c r="F117" s="4">
        <v>6000</v>
      </c>
    </row>
    <row r="118" spans="1:6" x14ac:dyDescent="0.35">
      <c r="A118">
        <v>9</v>
      </c>
      <c r="B118">
        <v>13</v>
      </c>
      <c r="C118" t="s">
        <v>330</v>
      </c>
      <c r="D118" s="4">
        <v>30</v>
      </c>
      <c r="E118" s="4">
        <v>50</v>
      </c>
      <c r="F118" s="4">
        <v>70</v>
      </c>
    </row>
    <row r="119" spans="1:6" x14ac:dyDescent="0.35">
      <c r="A119">
        <v>10</v>
      </c>
      <c r="B119">
        <v>1</v>
      </c>
      <c r="C119" t="s">
        <v>318</v>
      </c>
      <c r="D119" s="4">
        <v>5985</v>
      </c>
      <c r="E119" s="4">
        <v>5987</v>
      </c>
      <c r="F119" s="4">
        <v>5990</v>
      </c>
    </row>
    <row r="120" spans="1:6" x14ac:dyDescent="0.35">
      <c r="A120">
        <v>10</v>
      </c>
      <c r="B120">
        <v>2</v>
      </c>
      <c r="C120" t="s">
        <v>319</v>
      </c>
      <c r="D120" s="4">
        <v>2500000</v>
      </c>
      <c r="E120" s="4">
        <v>3000000</v>
      </c>
      <c r="F120" s="4">
        <v>4000000</v>
      </c>
    </row>
    <row r="121" spans="1:6" x14ac:dyDescent="0.35">
      <c r="A121">
        <v>10</v>
      </c>
      <c r="B121">
        <v>3</v>
      </c>
      <c r="C121" t="s">
        <v>320</v>
      </c>
      <c r="D121" s="4">
        <v>22</v>
      </c>
      <c r="E121" s="4">
        <v>25</v>
      </c>
      <c r="F121" s="4">
        <v>35</v>
      </c>
    </row>
    <row r="122" spans="1:6" x14ac:dyDescent="0.35">
      <c r="A122">
        <v>10</v>
      </c>
      <c r="B122">
        <v>4</v>
      </c>
      <c r="C122" t="s">
        <v>321</v>
      </c>
      <c r="D122" s="4">
        <v>80</v>
      </c>
      <c r="E122" s="4">
        <v>120</v>
      </c>
      <c r="F122" s="4">
        <v>160</v>
      </c>
    </row>
    <row r="123" spans="1:6" x14ac:dyDescent="0.35">
      <c r="A123">
        <v>10</v>
      </c>
      <c r="B123">
        <v>5</v>
      </c>
      <c r="C123" t="s">
        <v>322</v>
      </c>
      <c r="D123" s="4">
        <v>20</v>
      </c>
      <c r="E123" s="4">
        <v>60</v>
      </c>
      <c r="F123" s="4">
        <v>80</v>
      </c>
    </row>
    <row r="124" spans="1:6" x14ac:dyDescent="0.35">
      <c r="A124">
        <v>10</v>
      </c>
      <c r="B124">
        <v>6</v>
      </c>
      <c r="C124" t="s">
        <v>323</v>
      </c>
      <c r="D124" s="4">
        <v>1</v>
      </c>
      <c r="E124" s="4">
        <v>10</v>
      </c>
      <c r="F124" s="4">
        <v>20</v>
      </c>
    </row>
    <row r="125" spans="1:6" x14ac:dyDescent="0.35">
      <c r="A125">
        <v>10</v>
      </c>
      <c r="B125">
        <v>7</v>
      </c>
      <c r="C125" t="s">
        <v>324</v>
      </c>
      <c r="D125" s="4">
        <v>230</v>
      </c>
      <c r="E125" s="4">
        <v>270</v>
      </c>
      <c r="F125" s="4">
        <v>310</v>
      </c>
    </row>
    <row r="126" spans="1:6" x14ac:dyDescent="0.35">
      <c r="A126">
        <v>10</v>
      </c>
      <c r="B126">
        <v>8</v>
      </c>
      <c r="C126" t="s">
        <v>325</v>
      </c>
      <c r="D126" s="4">
        <v>50</v>
      </c>
      <c r="E126" s="4">
        <v>75</v>
      </c>
      <c r="F126" s="4">
        <v>85</v>
      </c>
    </row>
    <row r="127" spans="1:6" x14ac:dyDescent="0.35">
      <c r="A127">
        <v>10</v>
      </c>
      <c r="B127">
        <v>9</v>
      </c>
      <c r="C127" t="s">
        <v>326</v>
      </c>
      <c r="D127" s="4">
        <v>60</v>
      </c>
      <c r="E127" s="4">
        <v>70</v>
      </c>
      <c r="F127" s="4">
        <v>75</v>
      </c>
    </row>
    <row r="128" spans="1:6" x14ac:dyDescent="0.35">
      <c r="A128">
        <v>10</v>
      </c>
      <c r="B128">
        <v>10</v>
      </c>
      <c r="C128" t="s">
        <v>327</v>
      </c>
      <c r="D128" s="4">
        <v>5000000</v>
      </c>
      <c r="E128" s="4">
        <v>10000000</v>
      </c>
      <c r="F128" s="4">
        <v>30000000</v>
      </c>
    </row>
    <row r="129" spans="1:6" x14ac:dyDescent="0.35">
      <c r="A129">
        <v>10</v>
      </c>
      <c r="B129">
        <v>11</v>
      </c>
      <c r="C129" t="s">
        <v>328</v>
      </c>
      <c r="D129" s="4">
        <v>5</v>
      </c>
      <c r="E129" s="4">
        <v>6</v>
      </c>
      <c r="F129" s="4">
        <v>8</v>
      </c>
    </row>
    <row r="130" spans="1:6" x14ac:dyDescent="0.35">
      <c r="A130">
        <v>10</v>
      </c>
      <c r="B130">
        <v>12</v>
      </c>
      <c r="C130" t="s">
        <v>329</v>
      </c>
      <c r="D130" s="4">
        <v>2000</v>
      </c>
      <c r="E130" s="4">
        <v>3000</v>
      </c>
      <c r="F130" s="4">
        <v>4000</v>
      </c>
    </row>
    <row r="131" spans="1:6" x14ac:dyDescent="0.35">
      <c r="A131">
        <v>10</v>
      </c>
      <c r="B131">
        <v>13</v>
      </c>
      <c r="C131" t="s">
        <v>330</v>
      </c>
      <c r="D131" s="4">
        <v>20</v>
      </c>
      <c r="E131" s="4">
        <v>50</v>
      </c>
      <c r="F131" s="4">
        <v>70</v>
      </c>
    </row>
    <row r="132" spans="1:6" x14ac:dyDescent="0.35">
      <c r="A132">
        <v>11</v>
      </c>
      <c r="B132">
        <v>1</v>
      </c>
      <c r="C132" t="s">
        <v>318</v>
      </c>
      <c r="D132" s="4">
        <v>5000</v>
      </c>
      <c r="E132" s="4">
        <v>5500</v>
      </c>
      <c r="F132" s="4">
        <v>6000</v>
      </c>
    </row>
    <row r="133" spans="1:6" x14ac:dyDescent="0.35">
      <c r="A133">
        <v>11</v>
      </c>
      <c r="B133">
        <v>2</v>
      </c>
      <c r="C133" t="s">
        <v>319</v>
      </c>
      <c r="D133" s="4">
        <v>500000</v>
      </c>
      <c r="E133" s="4">
        <v>2000000</v>
      </c>
      <c r="F133" s="4">
        <v>5000000</v>
      </c>
    </row>
    <row r="134" spans="1:6" x14ac:dyDescent="0.35">
      <c r="A134">
        <v>11</v>
      </c>
      <c r="B134">
        <v>3</v>
      </c>
      <c r="C134" t="s">
        <v>320</v>
      </c>
      <c r="D134" s="4">
        <v>20</v>
      </c>
      <c r="E134" s="4">
        <v>35</v>
      </c>
      <c r="F134" s="4">
        <v>60</v>
      </c>
    </row>
    <row r="135" spans="1:6" x14ac:dyDescent="0.35">
      <c r="A135">
        <v>11</v>
      </c>
      <c r="B135">
        <v>4</v>
      </c>
      <c r="C135" t="s">
        <v>321</v>
      </c>
      <c r="D135" s="4">
        <v>200</v>
      </c>
      <c r="E135" s="4">
        <v>1000</v>
      </c>
      <c r="F135" s="4">
        <v>5000</v>
      </c>
    </row>
    <row r="136" spans="1:6" x14ac:dyDescent="0.35">
      <c r="A136">
        <v>11</v>
      </c>
      <c r="B136">
        <v>5</v>
      </c>
      <c r="C136" t="s">
        <v>322</v>
      </c>
      <c r="D136" s="4">
        <v>25</v>
      </c>
      <c r="E136" s="4">
        <v>50</v>
      </c>
      <c r="F136" s="4">
        <v>150</v>
      </c>
    </row>
    <row r="137" spans="1:6" x14ac:dyDescent="0.35">
      <c r="A137">
        <v>11</v>
      </c>
      <c r="B137">
        <v>6</v>
      </c>
      <c r="C137" t="s">
        <v>323</v>
      </c>
      <c r="D137" s="4">
        <v>10</v>
      </c>
      <c r="E137" s="4">
        <v>100</v>
      </c>
      <c r="F137" s="4">
        <v>10000</v>
      </c>
    </row>
    <row r="138" spans="1:6" x14ac:dyDescent="0.35">
      <c r="A138">
        <v>11</v>
      </c>
      <c r="B138">
        <v>7</v>
      </c>
      <c r="C138" t="s">
        <v>324</v>
      </c>
      <c r="D138" s="4">
        <v>180</v>
      </c>
      <c r="E138" s="4">
        <v>270</v>
      </c>
      <c r="F138" s="4">
        <v>360</v>
      </c>
    </row>
    <row r="139" spans="1:6" x14ac:dyDescent="0.35">
      <c r="A139">
        <v>11</v>
      </c>
      <c r="B139">
        <v>8</v>
      </c>
      <c r="C139" t="s">
        <v>325</v>
      </c>
      <c r="D139" s="4">
        <v>10</v>
      </c>
      <c r="E139" s="4">
        <v>20</v>
      </c>
      <c r="F139" s="4">
        <v>50</v>
      </c>
    </row>
    <row r="140" spans="1:6" x14ac:dyDescent="0.35">
      <c r="A140">
        <v>11</v>
      </c>
      <c r="B140">
        <v>9</v>
      </c>
      <c r="C140" t="s">
        <v>326</v>
      </c>
      <c r="D140" s="4">
        <v>35</v>
      </c>
      <c r="E140" s="4">
        <v>60</v>
      </c>
      <c r="F140" s="4">
        <v>75</v>
      </c>
    </row>
    <row r="141" spans="1:6" x14ac:dyDescent="0.35">
      <c r="A141">
        <v>11</v>
      </c>
      <c r="B141">
        <v>10</v>
      </c>
      <c r="C141" t="s">
        <v>327</v>
      </c>
      <c r="D141" s="4">
        <v>100000</v>
      </c>
      <c r="E141" s="4">
        <v>1000000</v>
      </c>
      <c r="F141" s="4">
        <v>10000000</v>
      </c>
    </row>
    <row r="142" spans="1:6" x14ac:dyDescent="0.35">
      <c r="A142">
        <v>11</v>
      </c>
      <c r="B142">
        <v>11</v>
      </c>
      <c r="C142" t="s">
        <v>328</v>
      </c>
      <c r="D142" s="4">
        <v>7</v>
      </c>
      <c r="E142" s="4">
        <v>15</v>
      </c>
      <c r="F142" s="4">
        <v>23</v>
      </c>
    </row>
    <row r="143" spans="1:6" x14ac:dyDescent="0.35">
      <c r="A143">
        <v>11</v>
      </c>
      <c r="B143">
        <v>12</v>
      </c>
      <c r="C143" t="s">
        <v>329</v>
      </c>
      <c r="D143" s="4">
        <v>500</v>
      </c>
      <c r="E143" s="4">
        <v>1000</v>
      </c>
      <c r="F143" s="4">
        <v>1700</v>
      </c>
    </row>
    <row r="144" spans="1:6" x14ac:dyDescent="0.35">
      <c r="A144">
        <v>11</v>
      </c>
      <c r="B144">
        <v>13</v>
      </c>
      <c r="C144" t="s">
        <v>330</v>
      </c>
      <c r="D144" s="4">
        <v>10</v>
      </c>
      <c r="E144" s="4">
        <v>30</v>
      </c>
      <c r="F144" s="4">
        <v>45</v>
      </c>
    </row>
    <row r="145" spans="1:6" x14ac:dyDescent="0.35">
      <c r="A145">
        <v>12</v>
      </c>
      <c r="B145">
        <v>1</v>
      </c>
      <c r="C145" t="s">
        <v>318</v>
      </c>
      <c r="D145" s="4">
        <v>400</v>
      </c>
      <c r="E145" s="4">
        <v>2200</v>
      </c>
      <c r="F145" s="4">
        <v>6000</v>
      </c>
    </row>
    <row r="146" spans="1:6" x14ac:dyDescent="0.35">
      <c r="A146">
        <v>12</v>
      </c>
      <c r="B146">
        <v>2</v>
      </c>
      <c r="C146" t="s">
        <v>319</v>
      </c>
      <c r="D146" s="4">
        <v>4000</v>
      </c>
      <c r="E146" s="4">
        <v>26000</v>
      </c>
      <c r="F146" s="4">
        <v>100000</v>
      </c>
    </row>
    <row r="147" spans="1:6" x14ac:dyDescent="0.35">
      <c r="A147">
        <v>12</v>
      </c>
      <c r="B147">
        <v>3</v>
      </c>
      <c r="C147" t="s">
        <v>320</v>
      </c>
      <c r="D147" s="4">
        <v>2</v>
      </c>
      <c r="E147" s="4">
        <v>8</v>
      </c>
      <c r="F147" s="4">
        <v>20</v>
      </c>
    </row>
    <row r="148" spans="1:6" x14ac:dyDescent="0.35">
      <c r="A148">
        <v>12</v>
      </c>
      <c r="B148">
        <v>4</v>
      </c>
      <c r="C148" t="s">
        <v>321</v>
      </c>
      <c r="D148" s="4">
        <v>5</v>
      </c>
      <c r="E148" s="4">
        <v>50</v>
      </c>
      <c r="F148" s="4">
        <v>250</v>
      </c>
    </row>
    <row r="149" spans="1:6" x14ac:dyDescent="0.35">
      <c r="A149">
        <v>12</v>
      </c>
      <c r="B149">
        <v>5</v>
      </c>
      <c r="C149" t="s">
        <v>322</v>
      </c>
      <c r="D149" s="4">
        <v>5</v>
      </c>
      <c r="E149" s="4">
        <v>35</v>
      </c>
      <c r="F149" s="4">
        <v>85</v>
      </c>
    </row>
    <row r="150" spans="1:6" x14ac:dyDescent="0.35">
      <c r="A150">
        <v>12</v>
      </c>
      <c r="B150">
        <v>6</v>
      </c>
      <c r="C150" t="s">
        <v>323</v>
      </c>
      <c r="D150" s="4">
        <v>10</v>
      </c>
      <c r="E150" s="4">
        <v>100</v>
      </c>
      <c r="F150" s="4">
        <v>1000</v>
      </c>
    </row>
    <row r="151" spans="1:6" x14ac:dyDescent="0.35">
      <c r="A151">
        <v>12</v>
      </c>
      <c r="B151">
        <v>7</v>
      </c>
      <c r="C151" t="s">
        <v>324</v>
      </c>
      <c r="D151" s="4">
        <v>5</v>
      </c>
      <c r="E151" s="4">
        <v>75</v>
      </c>
      <c r="F151" s="4">
        <v>355</v>
      </c>
    </row>
    <row r="152" spans="1:6" x14ac:dyDescent="0.35">
      <c r="A152">
        <v>12</v>
      </c>
      <c r="B152">
        <v>8</v>
      </c>
      <c r="C152" t="s">
        <v>325</v>
      </c>
      <c r="D152" s="4">
        <v>5</v>
      </c>
      <c r="E152" s="4">
        <v>70</v>
      </c>
      <c r="F152" s="4">
        <v>90</v>
      </c>
    </row>
    <row r="153" spans="1:6" x14ac:dyDescent="0.35">
      <c r="A153">
        <v>12</v>
      </c>
      <c r="B153">
        <v>9</v>
      </c>
      <c r="C153" t="s">
        <v>326</v>
      </c>
      <c r="D153" s="4">
        <v>3</v>
      </c>
      <c r="E153" s="4">
        <v>30</v>
      </c>
      <c r="F153" s="4">
        <v>75</v>
      </c>
    </row>
    <row r="154" spans="1:6" x14ac:dyDescent="0.35">
      <c r="A154">
        <v>12</v>
      </c>
      <c r="B154">
        <v>10</v>
      </c>
      <c r="C154" t="s">
        <v>327</v>
      </c>
      <c r="D154" s="4">
        <v>500</v>
      </c>
      <c r="E154" s="4">
        <v>50000</v>
      </c>
      <c r="F154" s="4">
        <v>50000000</v>
      </c>
    </row>
    <row r="155" spans="1:6" x14ac:dyDescent="0.35">
      <c r="A155">
        <v>12</v>
      </c>
      <c r="B155">
        <v>11</v>
      </c>
      <c r="C155" t="s">
        <v>328</v>
      </c>
      <c r="D155" s="4">
        <v>2</v>
      </c>
      <c r="E155" s="4">
        <v>25</v>
      </c>
      <c r="F155" s="4">
        <v>75</v>
      </c>
    </row>
    <row r="156" spans="1:6" x14ac:dyDescent="0.35">
      <c r="A156">
        <v>12</v>
      </c>
      <c r="B156">
        <v>12</v>
      </c>
      <c r="C156" t="s">
        <v>329</v>
      </c>
      <c r="D156" s="4">
        <v>10</v>
      </c>
      <c r="E156" s="4">
        <v>500</v>
      </c>
      <c r="F156" s="4">
        <v>1000</v>
      </c>
    </row>
    <row r="157" spans="1:6" x14ac:dyDescent="0.35">
      <c r="A157">
        <v>12</v>
      </c>
      <c r="B157">
        <v>13</v>
      </c>
      <c r="C157" t="s">
        <v>330</v>
      </c>
      <c r="D157" s="4">
        <v>0.1</v>
      </c>
      <c r="E157" s="4">
        <v>7</v>
      </c>
      <c r="F157" s="4">
        <v>33</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77"/>
  <dimension ref="A1:H105"/>
  <sheetViews>
    <sheetView workbookViewId="0"/>
  </sheetViews>
  <sheetFormatPr defaultRowHeight="14.5" x14ac:dyDescent="0.35"/>
  <sheetData>
    <row r="1" spans="1:8" x14ac:dyDescent="0.35">
      <c r="A1" t="s">
        <v>332</v>
      </c>
    </row>
    <row r="2" spans="1:8" x14ac:dyDescent="0.35">
      <c r="A2">
        <v>1</v>
      </c>
      <c r="B2">
        <v>1</v>
      </c>
      <c r="C2" t="s">
        <v>318</v>
      </c>
      <c r="D2" s="4">
        <v>5850</v>
      </c>
      <c r="E2" s="4">
        <v>5900</v>
      </c>
      <c r="F2" s="4">
        <v>5950</v>
      </c>
      <c r="H2" s="4">
        <v>5911</v>
      </c>
    </row>
    <row r="3" spans="1:8" x14ac:dyDescent="0.35">
      <c r="A3">
        <v>1</v>
      </c>
      <c r="B3">
        <v>2</v>
      </c>
      <c r="C3" t="s">
        <v>319</v>
      </c>
      <c r="D3" s="4">
        <v>1500000</v>
      </c>
      <c r="E3" s="4">
        <v>2500000</v>
      </c>
      <c r="F3" s="4">
        <v>3500000</v>
      </c>
      <c r="H3" s="4">
        <v>2064780</v>
      </c>
    </row>
    <row r="4" spans="1:8" x14ac:dyDescent="0.35">
      <c r="A4">
        <v>1</v>
      </c>
      <c r="B4">
        <v>3</v>
      </c>
      <c r="C4" t="s">
        <v>320</v>
      </c>
      <c r="D4" s="4">
        <v>30</v>
      </c>
      <c r="E4" s="4">
        <v>40</v>
      </c>
      <c r="F4" s="4">
        <v>50</v>
      </c>
      <c r="H4" s="4">
        <v>25</v>
      </c>
    </row>
    <row r="5" spans="1:8" x14ac:dyDescent="0.35">
      <c r="A5">
        <v>1</v>
      </c>
      <c r="B5">
        <v>4</v>
      </c>
      <c r="C5" t="s">
        <v>321</v>
      </c>
      <c r="D5" s="4">
        <v>500</v>
      </c>
      <c r="E5" s="4">
        <v>1000</v>
      </c>
      <c r="F5" s="4">
        <v>2000</v>
      </c>
      <c r="H5" s="4">
        <v>837</v>
      </c>
    </row>
    <row r="6" spans="1:8" x14ac:dyDescent="0.35">
      <c r="A6">
        <v>1</v>
      </c>
      <c r="B6">
        <v>5</v>
      </c>
      <c r="C6" t="s">
        <v>322</v>
      </c>
      <c r="D6" s="4">
        <v>5</v>
      </c>
      <c r="E6" s="4">
        <v>25</v>
      </c>
      <c r="F6" s="4">
        <v>90</v>
      </c>
      <c r="H6" s="4">
        <v>27.51</v>
      </c>
    </row>
    <row r="7" spans="1:8" x14ac:dyDescent="0.35">
      <c r="A7">
        <v>1</v>
      </c>
      <c r="B7">
        <v>6</v>
      </c>
      <c r="C7" t="s">
        <v>323</v>
      </c>
      <c r="D7" s="4">
        <v>10</v>
      </c>
      <c r="E7" s="4">
        <v>12</v>
      </c>
      <c r="F7" s="4">
        <v>30</v>
      </c>
      <c r="H7" s="4">
        <v>12</v>
      </c>
    </row>
    <row r="8" spans="1:8" x14ac:dyDescent="0.35">
      <c r="A8">
        <v>1</v>
      </c>
      <c r="B8">
        <v>7</v>
      </c>
      <c r="C8" t="s">
        <v>324</v>
      </c>
      <c r="D8" s="4">
        <v>250</v>
      </c>
      <c r="E8" s="4">
        <v>270</v>
      </c>
      <c r="F8" s="4">
        <v>300</v>
      </c>
      <c r="H8" s="4">
        <v>268</v>
      </c>
    </row>
    <row r="9" spans="1:8" x14ac:dyDescent="0.35">
      <c r="A9">
        <v>1</v>
      </c>
      <c r="B9">
        <v>8</v>
      </c>
      <c r="C9" t="s">
        <v>325</v>
      </c>
      <c r="D9" s="4">
        <v>10</v>
      </c>
      <c r="E9" s="4">
        <v>25</v>
      </c>
      <c r="F9" s="4">
        <v>50</v>
      </c>
      <c r="H9" s="4">
        <v>40</v>
      </c>
    </row>
    <row r="10" spans="1:8" x14ac:dyDescent="0.35">
      <c r="A10">
        <v>1</v>
      </c>
      <c r="B10">
        <v>9</v>
      </c>
      <c r="C10" t="s">
        <v>326</v>
      </c>
      <c r="D10" s="4">
        <v>40</v>
      </c>
      <c r="E10" s="4">
        <v>60</v>
      </c>
      <c r="F10" s="4">
        <v>80</v>
      </c>
      <c r="H10" s="4">
        <v>58.19</v>
      </c>
    </row>
    <row r="11" spans="1:8" x14ac:dyDescent="0.35">
      <c r="A11">
        <v>1</v>
      </c>
      <c r="B11">
        <v>10</v>
      </c>
      <c r="C11" t="s">
        <v>327</v>
      </c>
      <c r="D11" s="4">
        <v>500000000</v>
      </c>
      <c r="E11" s="4">
        <v>750000000</v>
      </c>
      <c r="F11" s="4">
        <v>1000000000</v>
      </c>
      <c r="H11" s="4">
        <v>36000000</v>
      </c>
    </row>
    <row r="12" spans="1:8" x14ac:dyDescent="0.35">
      <c r="A12">
        <v>1</v>
      </c>
      <c r="B12">
        <v>11</v>
      </c>
      <c r="C12" t="s">
        <v>328</v>
      </c>
      <c r="D12" s="4">
        <v>4</v>
      </c>
      <c r="E12" s="4">
        <v>6</v>
      </c>
      <c r="F12" s="4">
        <v>7</v>
      </c>
      <c r="H12" s="4">
        <v>5.69</v>
      </c>
    </row>
    <row r="13" spans="1:8" x14ac:dyDescent="0.35">
      <c r="A13">
        <v>1</v>
      </c>
      <c r="B13">
        <v>12</v>
      </c>
      <c r="C13" t="s">
        <v>329</v>
      </c>
      <c r="D13" s="4">
        <v>500</v>
      </c>
      <c r="E13" s="4">
        <v>2000</v>
      </c>
      <c r="F13" s="4">
        <v>5000</v>
      </c>
      <c r="H13" s="4">
        <v>2980</v>
      </c>
    </row>
    <row r="14" spans="1:8" x14ac:dyDescent="0.35">
      <c r="A14">
        <v>1</v>
      </c>
      <c r="B14">
        <v>13</v>
      </c>
      <c r="C14" t="s">
        <v>330</v>
      </c>
      <c r="D14" s="4">
        <v>1</v>
      </c>
      <c r="E14" s="4">
        <v>5</v>
      </c>
      <c r="F14" s="4">
        <v>10</v>
      </c>
      <c r="H14" s="4">
        <v>51</v>
      </c>
    </row>
    <row r="15" spans="1:8" x14ac:dyDescent="0.35">
      <c r="A15">
        <v>2</v>
      </c>
      <c r="B15">
        <v>1</v>
      </c>
      <c r="C15" t="s">
        <v>318</v>
      </c>
      <c r="D15" s="4">
        <v>5895</v>
      </c>
      <c r="E15" s="4">
        <v>5897</v>
      </c>
      <c r="F15" s="4">
        <v>5900</v>
      </c>
    </row>
    <row r="16" spans="1:8" x14ac:dyDescent="0.35">
      <c r="A16">
        <v>2</v>
      </c>
      <c r="B16">
        <v>2</v>
      </c>
      <c r="C16" t="s">
        <v>319</v>
      </c>
      <c r="D16" s="4">
        <v>2200000</v>
      </c>
      <c r="E16" s="4">
        <v>2700000</v>
      </c>
      <c r="F16" s="4">
        <v>3500000</v>
      </c>
    </row>
    <row r="17" spans="1:6" x14ac:dyDescent="0.35">
      <c r="A17">
        <v>2</v>
      </c>
      <c r="B17">
        <v>3</v>
      </c>
      <c r="C17" t="s">
        <v>320</v>
      </c>
      <c r="D17" s="4">
        <v>15</v>
      </c>
      <c r="E17" s="4">
        <v>25</v>
      </c>
      <c r="F17" s="4">
        <v>40</v>
      </c>
    </row>
    <row r="18" spans="1:6" x14ac:dyDescent="0.35">
      <c r="A18">
        <v>2</v>
      </c>
      <c r="B18">
        <v>4</v>
      </c>
      <c r="C18" t="s">
        <v>321</v>
      </c>
      <c r="D18" s="4">
        <v>800</v>
      </c>
      <c r="E18" s="4">
        <v>1200</v>
      </c>
      <c r="F18" s="4">
        <v>2500</v>
      </c>
    </row>
    <row r="19" spans="1:6" x14ac:dyDescent="0.35">
      <c r="A19">
        <v>2</v>
      </c>
      <c r="B19">
        <v>5</v>
      </c>
      <c r="C19" t="s">
        <v>322</v>
      </c>
      <c r="D19" s="4">
        <v>20</v>
      </c>
      <c r="E19" s="4">
        <v>50</v>
      </c>
      <c r="F19" s="4">
        <v>100</v>
      </c>
    </row>
    <row r="20" spans="1:6" x14ac:dyDescent="0.35">
      <c r="A20">
        <v>2</v>
      </c>
      <c r="B20">
        <v>6</v>
      </c>
      <c r="C20" t="s">
        <v>323</v>
      </c>
      <c r="D20" s="4">
        <v>20</v>
      </c>
      <c r="E20" s="4">
        <v>35</v>
      </c>
      <c r="F20" s="4">
        <v>50</v>
      </c>
    </row>
    <row r="21" spans="1:6" x14ac:dyDescent="0.35">
      <c r="A21">
        <v>2</v>
      </c>
      <c r="B21">
        <v>7</v>
      </c>
      <c r="C21" t="s">
        <v>324</v>
      </c>
      <c r="D21" s="4">
        <v>250</v>
      </c>
      <c r="E21" s="4">
        <v>300</v>
      </c>
      <c r="F21" s="4">
        <v>315</v>
      </c>
    </row>
    <row r="22" spans="1:6" x14ac:dyDescent="0.35">
      <c r="A22">
        <v>2</v>
      </c>
      <c r="B22">
        <v>8</v>
      </c>
      <c r="C22" t="s">
        <v>325</v>
      </c>
      <c r="D22" s="4">
        <v>60</v>
      </c>
      <c r="E22" s="4">
        <v>80</v>
      </c>
      <c r="F22" s="4">
        <v>90</v>
      </c>
    </row>
    <row r="23" spans="1:6" x14ac:dyDescent="0.35">
      <c r="A23">
        <v>2</v>
      </c>
      <c r="B23">
        <v>9</v>
      </c>
      <c r="C23" t="s">
        <v>326</v>
      </c>
      <c r="D23" s="4">
        <v>40</v>
      </c>
      <c r="E23" s="4">
        <v>60</v>
      </c>
      <c r="F23" s="4">
        <v>85</v>
      </c>
    </row>
    <row r="24" spans="1:6" x14ac:dyDescent="0.35">
      <c r="A24">
        <v>2</v>
      </c>
      <c r="B24">
        <v>10</v>
      </c>
      <c r="C24" t="s">
        <v>327</v>
      </c>
      <c r="D24" s="4">
        <v>30000000</v>
      </c>
      <c r="E24" s="4">
        <v>60000000</v>
      </c>
      <c r="F24" s="4">
        <v>100000000</v>
      </c>
    </row>
    <row r="25" spans="1:6" x14ac:dyDescent="0.35">
      <c r="A25">
        <v>2</v>
      </c>
      <c r="B25">
        <v>11</v>
      </c>
      <c r="C25" t="s">
        <v>328</v>
      </c>
      <c r="D25" s="4">
        <v>3</v>
      </c>
      <c r="E25" s="4">
        <v>4.5</v>
      </c>
      <c r="F25" s="4">
        <v>6.5</v>
      </c>
    </row>
    <row r="26" spans="1:6" x14ac:dyDescent="0.35">
      <c r="A26">
        <v>2</v>
      </c>
      <c r="B26">
        <v>12</v>
      </c>
      <c r="C26" t="s">
        <v>329</v>
      </c>
      <c r="D26" s="4">
        <v>1000</v>
      </c>
      <c r="E26" s="4">
        <v>2000</v>
      </c>
      <c r="F26" s="4">
        <v>4000</v>
      </c>
    </row>
    <row r="27" spans="1:6" x14ac:dyDescent="0.35">
      <c r="A27">
        <v>2</v>
      </c>
      <c r="B27">
        <v>13</v>
      </c>
      <c r="C27" t="s">
        <v>330</v>
      </c>
      <c r="D27" s="4">
        <v>15</v>
      </c>
      <c r="E27" s="4">
        <v>25</v>
      </c>
      <c r="F27" s="4">
        <v>45</v>
      </c>
    </row>
    <row r="28" spans="1:6" x14ac:dyDescent="0.35">
      <c r="A28">
        <v>3</v>
      </c>
      <c r="B28">
        <v>1</v>
      </c>
      <c r="C28" t="s">
        <v>318</v>
      </c>
      <c r="D28" s="4">
        <v>5840</v>
      </c>
      <c r="E28" s="4">
        <v>5897</v>
      </c>
      <c r="F28" s="4">
        <v>5950</v>
      </c>
    </row>
    <row r="29" spans="1:6" x14ac:dyDescent="0.35">
      <c r="A29">
        <v>3</v>
      </c>
      <c r="B29">
        <v>2</v>
      </c>
      <c r="C29" t="s">
        <v>319</v>
      </c>
      <c r="D29" s="4">
        <v>1000000</v>
      </c>
      <c r="E29" s="4">
        <v>3000000</v>
      </c>
      <c r="F29" s="4">
        <v>6000000</v>
      </c>
    </row>
    <row r="30" spans="1:6" x14ac:dyDescent="0.35">
      <c r="A30">
        <v>3</v>
      </c>
      <c r="B30">
        <v>3</v>
      </c>
      <c r="C30" t="s">
        <v>320</v>
      </c>
      <c r="D30" s="4">
        <v>30</v>
      </c>
      <c r="E30" s="4">
        <v>60</v>
      </c>
      <c r="F30" s="4">
        <v>70</v>
      </c>
    </row>
    <row r="31" spans="1:6" x14ac:dyDescent="0.35">
      <c r="A31">
        <v>3</v>
      </c>
      <c r="B31">
        <v>4</v>
      </c>
      <c r="C31" t="s">
        <v>321</v>
      </c>
      <c r="D31" s="4">
        <v>500</v>
      </c>
      <c r="E31" s="4">
        <v>3700</v>
      </c>
      <c r="F31" s="4">
        <v>8000</v>
      </c>
    </row>
    <row r="32" spans="1:6" x14ac:dyDescent="0.35">
      <c r="A32">
        <v>3</v>
      </c>
      <c r="B32">
        <v>5</v>
      </c>
      <c r="C32" t="s">
        <v>322</v>
      </c>
      <c r="D32" s="4">
        <v>5</v>
      </c>
      <c r="E32" s="4">
        <v>15</v>
      </c>
      <c r="F32" s="4">
        <v>50</v>
      </c>
    </row>
    <row r="33" spans="1:6" x14ac:dyDescent="0.35">
      <c r="A33">
        <v>3</v>
      </c>
      <c r="B33">
        <v>6</v>
      </c>
      <c r="C33" t="s">
        <v>323</v>
      </c>
      <c r="D33" s="4">
        <v>10</v>
      </c>
      <c r="E33" s="4">
        <v>12</v>
      </c>
      <c r="F33" s="4">
        <v>14</v>
      </c>
    </row>
    <row r="34" spans="1:6" x14ac:dyDescent="0.35">
      <c r="A34">
        <v>3</v>
      </c>
      <c r="B34">
        <v>7</v>
      </c>
      <c r="C34" t="s">
        <v>324</v>
      </c>
      <c r="D34" s="4">
        <v>90</v>
      </c>
      <c r="E34" s="4">
        <v>270</v>
      </c>
      <c r="F34" s="4">
        <v>360</v>
      </c>
    </row>
    <row r="35" spans="1:6" x14ac:dyDescent="0.35">
      <c r="A35">
        <v>3</v>
      </c>
      <c r="B35">
        <v>8</v>
      </c>
      <c r="C35" t="s">
        <v>325</v>
      </c>
      <c r="D35" s="4">
        <v>20</v>
      </c>
      <c r="E35" s="4">
        <v>30</v>
      </c>
      <c r="F35" s="4">
        <v>60</v>
      </c>
    </row>
    <row r="36" spans="1:6" x14ac:dyDescent="0.35">
      <c r="A36">
        <v>3</v>
      </c>
      <c r="B36">
        <v>9</v>
      </c>
      <c r="C36" t="s">
        <v>326</v>
      </c>
      <c r="D36" s="4">
        <v>5</v>
      </c>
      <c r="E36" s="4">
        <v>30</v>
      </c>
      <c r="F36" s="4">
        <v>70</v>
      </c>
    </row>
    <row r="37" spans="1:6" x14ac:dyDescent="0.35">
      <c r="A37">
        <v>3</v>
      </c>
      <c r="B37">
        <v>10</v>
      </c>
      <c r="C37" t="s">
        <v>327</v>
      </c>
      <c r="D37" s="4">
        <v>10000</v>
      </c>
      <c r="E37" s="4">
        <v>20000000</v>
      </c>
      <c r="F37" s="4">
        <v>50000000</v>
      </c>
    </row>
    <row r="38" spans="1:6" x14ac:dyDescent="0.35">
      <c r="A38">
        <v>3</v>
      </c>
      <c r="B38">
        <v>11</v>
      </c>
      <c r="C38" t="s">
        <v>328</v>
      </c>
      <c r="D38" s="4">
        <v>2</v>
      </c>
      <c r="E38" s="4">
        <v>5</v>
      </c>
      <c r="F38" s="4">
        <v>10</v>
      </c>
    </row>
    <row r="39" spans="1:6" x14ac:dyDescent="0.35">
      <c r="A39">
        <v>3</v>
      </c>
      <c r="B39">
        <v>12</v>
      </c>
      <c r="C39" t="s">
        <v>329</v>
      </c>
      <c r="D39" s="4">
        <v>200</v>
      </c>
      <c r="E39" s="4">
        <v>3000</v>
      </c>
      <c r="F39" s="4">
        <v>20000</v>
      </c>
    </row>
    <row r="40" spans="1:6" x14ac:dyDescent="0.35">
      <c r="A40">
        <v>3</v>
      </c>
      <c r="B40">
        <v>13</v>
      </c>
      <c r="C40" t="s">
        <v>330</v>
      </c>
      <c r="D40" s="4">
        <v>30</v>
      </c>
      <c r="E40" s="4">
        <v>40</v>
      </c>
      <c r="F40" s="4">
        <v>50</v>
      </c>
    </row>
    <row r="41" spans="1:6" x14ac:dyDescent="0.35">
      <c r="A41">
        <v>4</v>
      </c>
      <c r="B41">
        <v>1</v>
      </c>
      <c r="C41" t="s">
        <v>318</v>
      </c>
      <c r="D41" s="4">
        <v>5850</v>
      </c>
      <c r="E41" s="4">
        <v>5890</v>
      </c>
      <c r="F41" s="4">
        <v>5950</v>
      </c>
    </row>
    <row r="42" spans="1:6" x14ac:dyDescent="0.35">
      <c r="A42">
        <v>4</v>
      </c>
      <c r="B42">
        <v>2</v>
      </c>
      <c r="C42" t="s">
        <v>319</v>
      </c>
      <c r="D42" s="4">
        <v>2200000</v>
      </c>
      <c r="E42" s="4">
        <v>2500000</v>
      </c>
      <c r="F42" s="4">
        <v>2800000</v>
      </c>
    </row>
    <row r="43" spans="1:6" x14ac:dyDescent="0.35">
      <c r="A43">
        <v>4</v>
      </c>
      <c r="B43">
        <v>3</v>
      </c>
      <c r="C43" t="s">
        <v>320</v>
      </c>
      <c r="D43" s="4">
        <v>15</v>
      </c>
      <c r="E43" s="4">
        <v>20</v>
      </c>
      <c r="F43" s="4">
        <v>25</v>
      </c>
    </row>
    <row r="44" spans="1:6" x14ac:dyDescent="0.35">
      <c r="A44">
        <v>4</v>
      </c>
      <c r="B44">
        <v>4</v>
      </c>
      <c r="C44" t="s">
        <v>321</v>
      </c>
      <c r="D44" s="4">
        <v>10</v>
      </c>
      <c r="E44" s="4">
        <v>16</v>
      </c>
      <c r="F44" s="4">
        <v>30</v>
      </c>
    </row>
    <row r="45" spans="1:6" x14ac:dyDescent="0.35">
      <c r="A45">
        <v>4</v>
      </c>
      <c r="B45">
        <v>5</v>
      </c>
      <c r="C45" t="s">
        <v>322</v>
      </c>
      <c r="D45" s="4">
        <v>25</v>
      </c>
      <c r="E45" s="4">
        <v>62.5</v>
      </c>
      <c r="F45" s="4">
        <v>90</v>
      </c>
    </row>
    <row r="46" spans="1:6" x14ac:dyDescent="0.35">
      <c r="A46">
        <v>4</v>
      </c>
      <c r="B46">
        <v>6</v>
      </c>
      <c r="C46" t="s">
        <v>323</v>
      </c>
      <c r="D46" s="4">
        <v>12</v>
      </c>
      <c r="E46" s="4">
        <v>18</v>
      </c>
      <c r="F46" s="4">
        <v>23</v>
      </c>
    </row>
    <row r="47" spans="1:6" x14ac:dyDescent="0.35">
      <c r="A47">
        <v>4</v>
      </c>
      <c r="B47">
        <v>7</v>
      </c>
      <c r="C47" t="s">
        <v>324</v>
      </c>
      <c r="D47" s="4">
        <v>220</v>
      </c>
      <c r="E47" s="4">
        <v>275</v>
      </c>
      <c r="F47" s="4">
        <v>300</v>
      </c>
    </row>
    <row r="48" spans="1:6" x14ac:dyDescent="0.35">
      <c r="A48">
        <v>4</v>
      </c>
      <c r="B48">
        <v>8</v>
      </c>
      <c r="C48" t="s">
        <v>325</v>
      </c>
      <c r="D48" s="4">
        <v>40</v>
      </c>
      <c r="E48" s="4">
        <v>60</v>
      </c>
      <c r="F48" s="4">
        <v>80</v>
      </c>
    </row>
    <row r="49" spans="1:6" x14ac:dyDescent="0.35">
      <c r="A49">
        <v>4</v>
      </c>
      <c r="B49">
        <v>9</v>
      </c>
      <c r="C49" t="s">
        <v>326</v>
      </c>
      <c r="D49" s="4">
        <v>40</v>
      </c>
      <c r="E49" s="4">
        <v>65</v>
      </c>
      <c r="F49" s="4">
        <v>90</v>
      </c>
    </row>
    <row r="50" spans="1:6" x14ac:dyDescent="0.35">
      <c r="A50">
        <v>4</v>
      </c>
      <c r="B50">
        <v>10</v>
      </c>
      <c r="C50" t="s">
        <v>327</v>
      </c>
      <c r="D50" s="4">
        <v>20000000</v>
      </c>
      <c r="E50" s="4">
        <v>100000000</v>
      </c>
      <c r="F50" s="4">
        <v>150000000</v>
      </c>
    </row>
    <row r="51" spans="1:6" x14ac:dyDescent="0.35">
      <c r="A51">
        <v>4</v>
      </c>
      <c r="B51">
        <v>11</v>
      </c>
      <c r="C51" t="s">
        <v>328</v>
      </c>
      <c r="D51" s="4">
        <v>5</v>
      </c>
      <c r="E51" s="4">
        <v>8</v>
      </c>
      <c r="F51" s="4">
        <v>15</v>
      </c>
    </row>
    <row r="52" spans="1:6" x14ac:dyDescent="0.35">
      <c r="A52">
        <v>4</v>
      </c>
      <c r="B52">
        <v>12</v>
      </c>
      <c r="C52" t="s">
        <v>329</v>
      </c>
      <c r="D52" s="4">
        <v>1500</v>
      </c>
      <c r="E52" s="4">
        <v>2750</v>
      </c>
      <c r="F52" s="4">
        <v>5000</v>
      </c>
    </row>
    <row r="53" spans="1:6" x14ac:dyDescent="0.35">
      <c r="A53">
        <v>4</v>
      </c>
      <c r="B53">
        <v>13</v>
      </c>
      <c r="C53" t="s">
        <v>330</v>
      </c>
      <c r="D53" s="4">
        <v>10</v>
      </c>
      <c r="E53" s="4">
        <v>15</v>
      </c>
      <c r="F53" s="4">
        <v>40</v>
      </c>
    </row>
    <row r="54" spans="1:6" x14ac:dyDescent="0.35">
      <c r="A54">
        <v>5</v>
      </c>
      <c r="B54">
        <v>1</v>
      </c>
      <c r="C54" t="s">
        <v>318</v>
      </c>
      <c r="D54" s="4">
        <v>5895</v>
      </c>
      <c r="E54" s="4">
        <v>5897</v>
      </c>
      <c r="F54" s="4">
        <v>6000</v>
      </c>
    </row>
    <row r="55" spans="1:6" x14ac:dyDescent="0.35">
      <c r="A55">
        <v>5</v>
      </c>
      <c r="B55">
        <v>2</v>
      </c>
      <c r="C55" t="s">
        <v>319</v>
      </c>
      <c r="D55" s="4">
        <v>1000000</v>
      </c>
      <c r="E55" s="4">
        <v>2000000</v>
      </c>
      <c r="F55" s="4">
        <v>3000000</v>
      </c>
    </row>
    <row r="56" spans="1:6" x14ac:dyDescent="0.35">
      <c r="A56">
        <v>5</v>
      </c>
      <c r="B56">
        <v>3</v>
      </c>
      <c r="C56" t="s">
        <v>320</v>
      </c>
      <c r="D56" s="4">
        <v>1</v>
      </c>
      <c r="E56" s="4">
        <v>5</v>
      </c>
      <c r="F56" s="4">
        <v>15</v>
      </c>
    </row>
    <row r="57" spans="1:6" x14ac:dyDescent="0.35">
      <c r="A57">
        <v>5</v>
      </c>
      <c r="B57">
        <v>4</v>
      </c>
      <c r="C57" t="s">
        <v>321</v>
      </c>
      <c r="D57" s="4">
        <v>1000</v>
      </c>
      <c r="E57" s="4">
        <v>2000</v>
      </c>
      <c r="F57" s="4">
        <v>5000</v>
      </c>
    </row>
    <row r="58" spans="1:6" x14ac:dyDescent="0.35">
      <c r="A58">
        <v>5</v>
      </c>
      <c r="B58">
        <v>5</v>
      </c>
      <c r="C58" t="s">
        <v>322</v>
      </c>
      <c r="D58" s="4">
        <v>1</v>
      </c>
      <c r="E58" s="4">
        <v>20</v>
      </c>
      <c r="F58" s="4">
        <v>70</v>
      </c>
    </row>
    <row r="59" spans="1:6" x14ac:dyDescent="0.35">
      <c r="A59">
        <v>5</v>
      </c>
      <c r="B59">
        <v>6</v>
      </c>
      <c r="C59" t="s">
        <v>323</v>
      </c>
      <c r="D59" s="4">
        <v>3</v>
      </c>
      <c r="E59" s="4">
        <v>10</v>
      </c>
      <c r="F59" s="4">
        <v>50</v>
      </c>
    </row>
    <row r="60" spans="1:6" x14ac:dyDescent="0.35">
      <c r="A60">
        <v>5</v>
      </c>
      <c r="B60">
        <v>7</v>
      </c>
      <c r="C60" t="s">
        <v>324</v>
      </c>
      <c r="D60" s="4">
        <v>190</v>
      </c>
      <c r="E60" s="4">
        <v>300</v>
      </c>
      <c r="F60" s="4">
        <v>365</v>
      </c>
    </row>
    <row r="61" spans="1:6" x14ac:dyDescent="0.35">
      <c r="A61">
        <v>5</v>
      </c>
      <c r="B61">
        <v>8</v>
      </c>
      <c r="C61" t="s">
        <v>325</v>
      </c>
      <c r="D61" s="4">
        <v>10</v>
      </c>
      <c r="E61" s="4">
        <v>20</v>
      </c>
      <c r="F61" s="4">
        <v>60</v>
      </c>
    </row>
    <row r="62" spans="1:6" x14ac:dyDescent="0.35">
      <c r="A62">
        <v>5</v>
      </c>
      <c r="B62">
        <v>9</v>
      </c>
      <c r="C62" t="s">
        <v>326</v>
      </c>
      <c r="D62" s="4">
        <v>3</v>
      </c>
      <c r="E62" s="4">
        <v>25</v>
      </c>
      <c r="F62" s="4">
        <v>70</v>
      </c>
    </row>
    <row r="63" spans="1:6" x14ac:dyDescent="0.35">
      <c r="A63">
        <v>5</v>
      </c>
      <c r="B63">
        <v>10</v>
      </c>
      <c r="C63" t="s">
        <v>327</v>
      </c>
      <c r="D63" s="4">
        <v>100</v>
      </c>
      <c r="E63" s="4">
        <v>500</v>
      </c>
      <c r="F63" s="4">
        <v>3000</v>
      </c>
    </row>
    <row r="64" spans="1:6" x14ac:dyDescent="0.35">
      <c r="A64">
        <v>5</v>
      </c>
      <c r="B64">
        <v>11</v>
      </c>
      <c r="C64" t="s">
        <v>328</v>
      </c>
      <c r="D64" s="4">
        <v>1</v>
      </c>
      <c r="E64" s="4">
        <v>10</v>
      </c>
      <c r="F64" s="4">
        <v>50</v>
      </c>
    </row>
    <row r="65" spans="1:6" x14ac:dyDescent="0.35">
      <c r="A65">
        <v>5</v>
      </c>
      <c r="B65">
        <v>12</v>
      </c>
      <c r="C65" t="s">
        <v>329</v>
      </c>
      <c r="D65" s="4">
        <v>1000</v>
      </c>
      <c r="E65" s="4">
        <v>4300</v>
      </c>
      <c r="F65" s="4">
        <v>12000</v>
      </c>
    </row>
    <row r="66" spans="1:6" x14ac:dyDescent="0.35">
      <c r="A66">
        <v>5</v>
      </c>
      <c r="B66">
        <v>13</v>
      </c>
      <c r="C66" t="s">
        <v>330</v>
      </c>
      <c r="D66" s="4">
        <v>0</v>
      </c>
      <c r="E66" s="4">
        <v>15</v>
      </c>
      <c r="F66" s="4">
        <v>80</v>
      </c>
    </row>
    <row r="67" spans="1:6" x14ac:dyDescent="0.35">
      <c r="A67">
        <v>6</v>
      </c>
      <c r="B67">
        <v>1</v>
      </c>
      <c r="C67" t="s">
        <v>318</v>
      </c>
      <c r="D67" s="4">
        <v>5894</v>
      </c>
      <c r="E67" s="4">
        <v>5896</v>
      </c>
      <c r="F67" s="4">
        <v>5898</v>
      </c>
    </row>
    <row r="68" spans="1:6" x14ac:dyDescent="0.35">
      <c r="A68">
        <v>6</v>
      </c>
      <c r="B68">
        <v>2</v>
      </c>
      <c r="C68" t="s">
        <v>319</v>
      </c>
      <c r="D68" s="4">
        <v>2300000</v>
      </c>
      <c r="E68" s="4">
        <v>2500000</v>
      </c>
      <c r="F68" s="4">
        <v>3000000</v>
      </c>
    </row>
    <row r="69" spans="1:6" x14ac:dyDescent="0.35">
      <c r="A69">
        <v>6</v>
      </c>
      <c r="B69">
        <v>3</v>
      </c>
      <c r="C69" t="s">
        <v>320</v>
      </c>
      <c r="D69" s="4">
        <v>10</v>
      </c>
      <c r="E69" s="4">
        <v>15</v>
      </c>
      <c r="F69" s="4">
        <v>18</v>
      </c>
    </row>
    <row r="70" spans="1:6" x14ac:dyDescent="0.35">
      <c r="A70">
        <v>6</v>
      </c>
      <c r="B70">
        <v>4</v>
      </c>
      <c r="C70" t="s">
        <v>321</v>
      </c>
      <c r="D70" s="4">
        <v>200</v>
      </c>
      <c r="E70" s="4">
        <v>500</v>
      </c>
      <c r="F70" s="4">
        <v>800</v>
      </c>
    </row>
    <row r="71" spans="1:6" x14ac:dyDescent="0.35">
      <c r="A71">
        <v>6</v>
      </c>
      <c r="B71">
        <v>5</v>
      </c>
      <c r="C71" t="s">
        <v>322</v>
      </c>
      <c r="D71" s="4">
        <v>5</v>
      </c>
      <c r="E71" s="4">
        <v>25</v>
      </c>
      <c r="F71" s="4">
        <v>50</v>
      </c>
    </row>
    <row r="72" spans="1:6" x14ac:dyDescent="0.35">
      <c r="A72">
        <v>6</v>
      </c>
      <c r="B72">
        <v>6</v>
      </c>
      <c r="C72" t="s">
        <v>323</v>
      </c>
      <c r="D72" s="4">
        <v>29</v>
      </c>
      <c r="E72" s="4">
        <v>30</v>
      </c>
      <c r="F72" s="4">
        <v>33</v>
      </c>
    </row>
    <row r="73" spans="1:6" x14ac:dyDescent="0.35">
      <c r="A73">
        <v>6</v>
      </c>
      <c r="B73">
        <v>7</v>
      </c>
      <c r="C73" t="s">
        <v>324</v>
      </c>
      <c r="D73" s="4">
        <v>270</v>
      </c>
      <c r="E73" s="4">
        <v>280</v>
      </c>
      <c r="F73" s="4">
        <v>290</v>
      </c>
    </row>
    <row r="74" spans="1:6" x14ac:dyDescent="0.35">
      <c r="A74">
        <v>6</v>
      </c>
      <c r="B74">
        <v>8</v>
      </c>
      <c r="C74" t="s">
        <v>325</v>
      </c>
      <c r="D74" s="4">
        <v>20</v>
      </c>
      <c r="E74" s="4">
        <v>30</v>
      </c>
      <c r="F74" s="4">
        <v>50</v>
      </c>
    </row>
    <row r="75" spans="1:6" x14ac:dyDescent="0.35">
      <c r="A75">
        <v>6</v>
      </c>
      <c r="B75">
        <v>9</v>
      </c>
      <c r="C75" t="s">
        <v>326</v>
      </c>
      <c r="D75" s="4">
        <v>20</v>
      </c>
      <c r="E75" s="4">
        <v>30</v>
      </c>
      <c r="F75" s="4">
        <v>40</v>
      </c>
    </row>
    <row r="76" spans="1:6" x14ac:dyDescent="0.35">
      <c r="A76">
        <v>6</v>
      </c>
      <c r="B76">
        <v>10</v>
      </c>
      <c r="C76" t="s">
        <v>327</v>
      </c>
      <c r="D76" s="4">
        <v>25000000</v>
      </c>
      <c r="E76" s="4">
        <v>30000000</v>
      </c>
      <c r="F76" s="4">
        <v>35000000</v>
      </c>
    </row>
    <row r="77" spans="1:6" x14ac:dyDescent="0.35">
      <c r="A77">
        <v>6</v>
      </c>
      <c r="B77">
        <v>11</v>
      </c>
      <c r="C77" t="s">
        <v>328</v>
      </c>
      <c r="D77" s="4">
        <v>10</v>
      </c>
      <c r="E77" s="4">
        <v>14</v>
      </c>
      <c r="F77" s="4">
        <v>18</v>
      </c>
    </row>
    <row r="78" spans="1:6" x14ac:dyDescent="0.35">
      <c r="A78">
        <v>6</v>
      </c>
      <c r="B78">
        <v>12</v>
      </c>
      <c r="C78" t="s">
        <v>329</v>
      </c>
      <c r="D78" s="4">
        <v>8000</v>
      </c>
      <c r="E78" s="4">
        <v>10000</v>
      </c>
      <c r="F78" s="4">
        <v>13000</v>
      </c>
    </row>
    <row r="79" spans="1:6" x14ac:dyDescent="0.35">
      <c r="A79">
        <v>6</v>
      </c>
      <c r="B79">
        <v>13</v>
      </c>
      <c r="C79" t="s">
        <v>330</v>
      </c>
      <c r="D79" s="4">
        <v>0.5</v>
      </c>
      <c r="E79" s="4">
        <v>2</v>
      </c>
      <c r="F79" s="4">
        <v>4</v>
      </c>
    </row>
    <row r="80" spans="1:6" x14ac:dyDescent="0.35">
      <c r="A80">
        <v>7</v>
      </c>
      <c r="B80">
        <v>1</v>
      </c>
      <c r="C80" t="s">
        <v>318</v>
      </c>
      <c r="D80" s="4">
        <v>5664</v>
      </c>
      <c r="E80" s="4">
        <v>5864</v>
      </c>
      <c r="F80" s="4">
        <v>5964</v>
      </c>
    </row>
    <row r="81" spans="1:6" x14ac:dyDescent="0.35">
      <c r="A81">
        <v>7</v>
      </c>
      <c r="B81">
        <v>2</v>
      </c>
      <c r="C81" t="s">
        <v>319</v>
      </c>
      <c r="D81" s="4">
        <v>2000000</v>
      </c>
      <c r="E81" s="4">
        <v>3000000</v>
      </c>
      <c r="F81" s="4">
        <v>4000000</v>
      </c>
    </row>
    <row r="82" spans="1:6" x14ac:dyDescent="0.35">
      <c r="A82">
        <v>7</v>
      </c>
      <c r="B82">
        <v>3</v>
      </c>
      <c r="C82" t="s">
        <v>320</v>
      </c>
      <c r="D82" s="4">
        <v>25</v>
      </c>
      <c r="E82" s="4">
        <v>75</v>
      </c>
      <c r="F82" s="4">
        <v>80</v>
      </c>
    </row>
    <row r="83" spans="1:6" x14ac:dyDescent="0.35">
      <c r="A83">
        <v>7</v>
      </c>
      <c r="B83">
        <v>4</v>
      </c>
      <c r="C83" t="s">
        <v>321</v>
      </c>
      <c r="D83" s="4">
        <v>500</v>
      </c>
      <c r="E83" s="4">
        <v>2000</v>
      </c>
      <c r="F83" s="4">
        <v>9000</v>
      </c>
    </row>
    <row r="84" spans="1:6" x14ac:dyDescent="0.35">
      <c r="A84">
        <v>7</v>
      </c>
      <c r="B84">
        <v>5</v>
      </c>
      <c r="C84" t="s">
        <v>322</v>
      </c>
      <c r="D84" s="4">
        <v>0.5</v>
      </c>
      <c r="E84" s="4">
        <v>7</v>
      </c>
      <c r="F84" s="4">
        <v>60</v>
      </c>
    </row>
    <row r="85" spans="1:6" x14ac:dyDescent="0.35">
      <c r="A85">
        <v>7</v>
      </c>
      <c r="B85">
        <v>6</v>
      </c>
      <c r="C85" t="s">
        <v>323</v>
      </c>
      <c r="D85" s="4">
        <v>2</v>
      </c>
      <c r="E85" s="4">
        <v>400</v>
      </c>
      <c r="F85" s="4">
        <v>4000</v>
      </c>
    </row>
    <row r="86" spans="1:6" x14ac:dyDescent="0.35">
      <c r="A86">
        <v>7</v>
      </c>
      <c r="B86">
        <v>7</v>
      </c>
      <c r="C86" t="s">
        <v>324</v>
      </c>
      <c r="D86" s="4">
        <v>110</v>
      </c>
      <c r="E86" s="4">
        <v>195</v>
      </c>
      <c r="F86" s="4">
        <v>210</v>
      </c>
    </row>
    <row r="87" spans="1:6" x14ac:dyDescent="0.35">
      <c r="A87">
        <v>7</v>
      </c>
      <c r="B87">
        <v>8</v>
      </c>
      <c r="C87" t="s">
        <v>325</v>
      </c>
      <c r="D87" s="4">
        <v>50</v>
      </c>
      <c r="E87" s="4">
        <v>75</v>
      </c>
      <c r="F87" s="4">
        <v>90</v>
      </c>
    </row>
    <row r="88" spans="1:6" x14ac:dyDescent="0.35">
      <c r="A88">
        <v>7</v>
      </c>
      <c r="B88">
        <v>9</v>
      </c>
      <c r="C88" t="s">
        <v>326</v>
      </c>
      <c r="D88" s="4">
        <v>7</v>
      </c>
      <c r="E88" s="4">
        <v>12</v>
      </c>
      <c r="F88" s="4">
        <v>60</v>
      </c>
    </row>
    <row r="89" spans="1:6" x14ac:dyDescent="0.35">
      <c r="A89">
        <v>7</v>
      </c>
      <c r="B89">
        <v>10</v>
      </c>
      <c r="C89" t="s">
        <v>327</v>
      </c>
      <c r="D89" s="4">
        <v>5000000</v>
      </c>
      <c r="E89" s="4">
        <v>12000000</v>
      </c>
      <c r="F89" s="4">
        <v>25000000</v>
      </c>
    </row>
    <row r="90" spans="1:6" x14ac:dyDescent="0.35">
      <c r="A90">
        <v>7</v>
      </c>
      <c r="B90">
        <v>11</v>
      </c>
      <c r="C90" t="s">
        <v>328</v>
      </c>
      <c r="D90" s="4">
        <v>55</v>
      </c>
      <c r="E90" s="4">
        <v>66</v>
      </c>
      <c r="F90" s="4">
        <v>70</v>
      </c>
    </row>
    <row r="91" spans="1:6" x14ac:dyDescent="0.35">
      <c r="A91">
        <v>7</v>
      </c>
      <c r="B91">
        <v>12</v>
      </c>
      <c r="C91" t="s">
        <v>329</v>
      </c>
      <c r="D91" s="4">
        <v>3</v>
      </c>
      <c r="E91" s="4">
        <v>10</v>
      </c>
      <c r="F91" s="4">
        <v>100</v>
      </c>
    </row>
    <row r="92" spans="1:6" x14ac:dyDescent="0.35">
      <c r="A92">
        <v>7</v>
      </c>
      <c r="B92">
        <v>13</v>
      </c>
      <c r="C92" t="s">
        <v>330</v>
      </c>
      <c r="D92" s="4">
        <v>1</v>
      </c>
      <c r="E92" s="4">
        <v>25</v>
      </c>
      <c r="F92" s="4">
        <v>75</v>
      </c>
    </row>
    <row r="93" spans="1:6" x14ac:dyDescent="0.35">
      <c r="A93">
        <v>8</v>
      </c>
      <c r="B93">
        <v>1</v>
      </c>
      <c r="C93" t="s">
        <v>318</v>
      </c>
      <c r="D93" s="4">
        <v>5750</v>
      </c>
      <c r="E93" s="4">
        <v>5850</v>
      </c>
      <c r="F93" s="4">
        <v>5900</v>
      </c>
    </row>
    <row r="94" spans="1:6" x14ac:dyDescent="0.35">
      <c r="A94">
        <v>8</v>
      </c>
      <c r="B94">
        <v>2</v>
      </c>
      <c r="C94" t="s">
        <v>319</v>
      </c>
      <c r="D94" s="4">
        <v>2000000</v>
      </c>
      <c r="E94" s="4">
        <v>3000000</v>
      </c>
      <c r="F94" s="4">
        <v>3500000</v>
      </c>
    </row>
    <row r="95" spans="1:6" x14ac:dyDescent="0.35">
      <c r="A95">
        <v>8</v>
      </c>
      <c r="B95">
        <v>3</v>
      </c>
      <c r="C95" t="s">
        <v>320</v>
      </c>
      <c r="D95" s="4">
        <v>25</v>
      </c>
      <c r="E95" s="4">
        <v>40</v>
      </c>
      <c r="F95" s="4">
        <v>50</v>
      </c>
    </row>
    <row r="96" spans="1:6" x14ac:dyDescent="0.35">
      <c r="A96">
        <v>8</v>
      </c>
      <c r="B96">
        <v>4</v>
      </c>
      <c r="C96" t="s">
        <v>321</v>
      </c>
      <c r="D96" s="4">
        <v>4000</v>
      </c>
      <c r="E96" s="4">
        <v>6000</v>
      </c>
      <c r="F96" s="4">
        <v>7000</v>
      </c>
    </row>
    <row r="97" spans="1:6" x14ac:dyDescent="0.35">
      <c r="A97">
        <v>8</v>
      </c>
      <c r="B97">
        <v>5</v>
      </c>
      <c r="C97" t="s">
        <v>322</v>
      </c>
      <c r="D97" s="4">
        <v>5</v>
      </c>
      <c r="E97" s="4">
        <v>10</v>
      </c>
      <c r="F97" s="4">
        <v>20</v>
      </c>
    </row>
    <row r="98" spans="1:6" x14ac:dyDescent="0.35">
      <c r="A98">
        <v>8</v>
      </c>
      <c r="B98">
        <v>6</v>
      </c>
      <c r="C98" t="s">
        <v>323</v>
      </c>
      <c r="D98" s="4">
        <v>15</v>
      </c>
      <c r="E98" s="4">
        <v>30</v>
      </c>
      <c r="F98" s="4">
        <v>40</v>
      </c>
    </row>
    <row r="99" spans="1:6" x14ac:dyDescent="0.35">
      <c r="A99">
        <v>8</v>
      </c>
      <c r="B99">
        <v>7</v>
      </c>
      <c r="C99" t="s">
        <v>324</v>
      </c>
      <c r="D99" s="4">
        <v>225</v>
      </c>
      <c r="E99" s="4">
        <v>280</v>
      </c>
      <c r="F99" s="4">
        <v>315</v>
      </c>
    </row>
    <row r="100" spans="1:6" x14ac:dyDescent="0.35">
      <c r="A100">
        <v>8</v>
      </c>
      <c r="B100">
        <v>8</v>
      </c>
      <c r="C100" t="s">
        <v>325</v>
      </c>
      <c r="D100" s="4">
        <v>50</v>
      </c>
      <c r="E100" s="4">
        <v>65</v>
      </c>
      <c r="F100" s="4">
        <v>75</v>
      </c>
    </row>
    <row r="101" spans="1:6" x14ac:dyDescent="0.35">
      <c r="A101">
        <v>8</v>
      </c>
      <c r="B101">
        <v>9</v>
      </c>
      <c r="C101" t="s">
        <v>326</v>
      </c>
      <c r="D101" s="4">
        <v>20</v>
      </c>
      <c r="E101" s="4">
        <v>35</v>
      </c>
      <c r="F101" s="4">
        <v>45</v>
      </c>
    </row>
    <row r="102" spans="1:6" x14ac:dyDescent="0.35">
      <c r="A102">
        <v>8</v>
      </c>
      <c r="B102">
        <v>10</v>
      </c>
      <c r="C102" t="s">
        <v>327</v>
      </c>
      <c r="D102" s="4">
        <v>15000000</v>
      </c>
      <c r="E102" s="4">
        <v>30000000</v>
      </c>
      <c r="F102" s="4">
        <v>40000000</v>
      </c>
    </row>
    <row r="103" spans="1:6" x14ac:dyDescent="0.35">
      <c r="A103">
        <v>8</v>
      </c>
      <c r="B103">
        <v>11</v>
      </c>
      <c r="C103" t="s">
        <v>328</v>
      </c>
      <c r="D103" s="4">
        <v>15</v>
      </c>
      <c r="E103" s="4">
        <v>25</v>
      </c>
      <c r="F103" s="4">
        <v>30</v>
      </c>
    </row>
    <row r="104" spans="1:6" x14ac:dyDescent="0.35">
      <c r="A104">
        <v>8</v>
      </c>
      <c r="B104">
        <v>12</v>
      </c>
      <c r="C104" t="s">
        <v>329</v>
      </c>
      <c r="D104" s="4">
        <v>1000</v>
      </c>
      <c r="E104" s="4">
        <v>2000</v>
      </c>
      <c r="F104" s="4">
        <v>4000</v>
      </c>
    </row>
    <row r="105" spans="1:6" x14ac:dyDescent="0.35">
      <c r="A105">
        <v>8</v>
      </c>
      <c r="B105">
        <v>13</v>
      </c>
      <c r="C105" t="s">
        <v>330</v>
      </c>
      <c r="D105" s="4">
        <v>20</v>
      </c>
      <c r="E105" s="4">
        <v>30</v>
      </c>
      <c r="F105" s="4">
        <v>50</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48"/>
  <dimension ref="A1:H307"/>
  <sheetViews>
    <sheetView workbookViewId="0"/>
  </sheetViews>
  <sheetFormatPr defaultRowHeight="14.5" x14ac:dyDescent="0.35"/>
  <sheetData>
    <row r="1" spans="1:8" x14ac:dyDescent="0.35">
      <c r="A1" t="s">
        <v>175</v>
      </c>
      <c r="H1" t="s">
        <v>58</v>
      </c>
    </row>
    <row r="2" spans="1:8" x14ac:dyDescent="0.35">
      <c r="A2">
        <v>1</v>
      </c>
      <c r="B2">
        <v>1</v>
      </c>
      <c r="C2" t="s">
        <v>158</v>
      </c>
      <c r="D2" s="4">
        <v>1</v>
      </c>
      <c r="E2" s="4">
        <v>3</v>
      </c>
      <c r="F2" s="4">
        <v>7</v>
      </c>
      <c r="H2" s="4">
        <v>6</v>
      </c>
    </row>
    <row r="3" spans="1:8" x14ac:dyDescent="0.35">
      <c r="A3">
        <v>1</v>
      </c>
      <c r="B3">
        <v>2</v>
      </c>
      <c r="C3" t="s">
        <v>159</v>
      </c>
      <c r="D3" s="4">
        <v>1</v>
      </c>
      <c r="E3" s="4">
        <v>3</v>
      </c>
      <c r="F3" s="4">
        <v>10</v>
      </c>
      <c r="H3" s="4">
        <v>6</v>
      </c>
    </row>
    <row r="4" spans="1:8" x14ac:dyDescent="0.35">
      <c r="A4">
        <v>1</v>
      </c>
      <c r="B4">
        <v>3</v>
      </c>
      <c r="C4" t="s">
        <v>160</v>
      </c>
      <c r="D4" s="4">
        <v>160</v>
      </c>
      <c r="E4" s="4">
        <v>200</v>
      </c>
      <c r="F4" s="4">
        <v>250</v>
      </c>
      <c r="H4" s="4">
        <v>122</v>
      </c>
    </row>
    <row r="5" spans="1:8" x14ac:dyDescent="0.35">
      <c r="A5">
        <v>1</v>
      </c>
      <c r="B5">
        <v>4</v>
      </c>
      <c r="C5" t="s">
        <v>161</v>
      </c>
      <c r="D5" s="4">
        <v>12</v>
      </c>
      <c r="E5" s="4">
        <v>13</v>
      </c>
      <c r="F5" s="4">
        <v>16</v>
      </c>
      <c r="H5" s="4">
        <v>14.7</v>
      </c>
    </row>
    <row r="6" spans="1:8" x14ac:dyDescent="0.35">
      <c r="A6">
        <v>1</v>
      </c>
      <c r="B6">
        <v>5</v>
      </c>
      <c r="C6" t="s">
        <v>162</v>
      </c>
      <c r="D6" s="4">
        <v>20</v>
      </c>
      <c r="E6" s="4">
        <v>25</v>
      </c>
      <c r="F6" s="4">
        <v>38</v>
      </c>
      <c r="H6" s="4">
        <v>34</v>
      </c>
    </row>
    <row r="7" spans="1:8" x14ac:dyDescent="0.35">
      <c r="A7">
        <v>1</v>
      </c>
      <c r="B7">
        <v>6</v>
      </c>
      <c r="C7" t="s">
        <v>163</v>
      </c>
      <c r="D7" s="4">
        <v>2</v>
      </c>
      <c r="E7" s="4">
        <v>6</v>
      </c>
      <c r="F7" s="4">
        <v>12</v>
      </c>
      <c r="H7" s="4">
        <v>35.1</v>
      </c>
    </row>
    <row r="8" spans="1:8" x14ac:dyDescent="0.35">
      <c r="A8">
        <v>1</v>
      </c>
      <c r="B8">
        <v>7</v>
      </c>
      <c r="C8" t="s">
        <v>164</v>
      </c>
      <c r="D8" s="4">
        <v>1</v>
      </c>
      <c r="E8" s="4">
        <v>5</v>
      </c>
      <c r="F8" s="4">
        <v>20</v>
      </c>
      <c r="H8" s="4">
        <v>4.4000000000000004</v>
      </c>
    </row>
    <row r="9" spans="1:8" x14ac:dyDescent="0.35">
      <c r="A9">
        <v>1</v>
      </c>
      <c r="B9">
        <v>8</v>
      </c>
      <c r="C9" t="s">
        <v>165</v>
      </c>
      <c r="D9" s="4">
        <v>350</v>
      </c>
      <c r="E9" s="4">
        <v>400</v>
      </c>
      <c r="F9" s="4">
        <v>600</v>
      </c>
      <c r="H9" s="4">
        <v>1000</v>
      </c>
    </row>
    <row r="10" spans="1:8" x14ac:dyDescent="0.35">
      <c r="A10">
        <v>1</v>
      </c>
      <c r="B10">
        <v>9</v>
      </c>
      <c r="C10" t="s">
        <v>166</v>
      </c>
      <c r="D10" s="4">
        <v>5000</v>
      </c>
      <c r="E10" s="4">
        <v>10000</v>
      </c>
      <c r="F10" s="4">
        <v>100000</v>
      </c>
      <c r="H10" s="4">
        <v>4.5</v>
      </c>
    </row>
    <row r="11" spans="1:8" x14ac:dyDescent="0.35">
      <c r="A11">
        <v>1</v>
      </c>
      <c r="B11">
        <v>10</v>
      </c>
      <c r="C11" t="s">
        <v>167</v>
      </c>
      <c r="D11" s="4">
        <v>15</v>
      </c>
      <c r="E11" s="4">
        <v>20</v>
      </c>
      <c r="F11" s="4">
        <v>25</v>
      </c>
      <c r="H11" s="4">
        <v>20</v>
      </c>
    </row>
    <row r="12" spans="1:8" x14ac:dyDescent="0.35">
      <c r="A12">
        <v>1</v>
      </c>
      <c r="B12">
        <v>11</v>
      </c>
      <c r="C12" t="s">
        <v>168</v>
      </c>
      <c r="D12" s="4">
        <v>10</v>
      </c>
      <c r="E12" s="4">
        <v>100</v>
      </c>
      <c r="F12" s="4">
        <v>1000</v>
      </c>
      <c r="H12" s="4">
        <v>100</v>
      </c>
    </row>
    <row r="13" spans="1:8" x14ac:dyDescent="0.35">
      <c r="A13">
        <v>1</v>
      </c>
      <c r="B13">
        <v>12</v>
      </c>
      <c r="C13" t="s">
        <v>169</v>
      </c>
      <c r="D13" s="4">
        <v>5</v>
      </c>
      <c r="E13" s="4">
        <v>15</v>
      </c>
      <c r="F13" s="4">
        <v>60</v>
      </c>
      <c r="H13" s="4">
        <v>12</v>
      </c>
    </row>
    <row r="14" spans="1:8" x14ac:dyDescent="0.35">
      <c r="A14">
        <v>1</v>
      </c>
      <c r="B14">
        <v>13</v>
      </c>
      <c r="C14" t="s">
        <v>170</v>
      </c>
      <c r="D14" s="4">
        <v>5</v>
      </c>
      <c r="E14" s="4">
        <v>20</v>
      </c>
      <c r="F14" s="4">
        <v>100</v>
      </c>
      <c r="H14" s="4">
        <v>1.2</v>
      </c>
    </row>
    <row r="15" spans="1:8" x14ac:dyDescent="0.35">
      <c r="A15">
        <v>1</v>
      </c>
      <c r="B15">
        <v>14</v>
      </c>
      <c r="C15" t="s">
        <v>171</v>
      </c>
      <c r="D15" s="4">
        <v>5</v>
      </c>
      <c r="E15" s="4">
        <v>7</v>
      </c>
      <c r="F15" s="4">
        <v>20</v>
      </c>
      <c r="H15" s="4">
        <v>10.199999999999999</v>
      </c>
    </row>
    <row r="16" spans="1:8" x14ac:dyDescent="0.35">
      <c r="A16">
        <v>1</v>
      </c>
      <c r="B16">
        <v>15</v>
      </c>
      <c r="C16" t="s">
        <v>172</v>
      </c>
      <c r="D16" s="4">
        <v>0.05</v>
      </c>
      <c r="E16" s="4">
        <v>0.1</v>
      </c>
      <c r="F16" s="4">
        <v>1</v>
      </c>
      <c r="H16" s="4">
        <v>0.18</v>
      </c>
    </row>
    <row r="17" spans="1:8" x14ac:dyDescent="0.35">
      <c r="A17">
        <v>1</v>
      </c>
      <c r="B17">
        <v>16</v>
      </c>
      <c r="C17" t="s">
        <v>173</v>
      </c>
      <c r="D17" s="4">
        <v>200</v>
      </c>
      <c r="E17" s="4">
        <v>1000</v>
      </c>
      <c r="F17" s="4">
        <v>10000</v>
      </c>
      <c r="H17" s="4">
        <v>380</v>
      </c>
    </row>
    <row r="18" spans="1:8" x14ac:dyDescent="0.35">
      <c r="A18">
        <v>1</v>
      </c>
      <c r="B18">
        <v>17</v>
      </c>
      <c r="C18" t="s">
        <v>174</v>
      </c>
      <c r="D18" s="4">
        <v>5</v>
      </c>
      <c r="E18" s="4">
        <v>10</v>
      </c>
      <c r="F18" s="4">
        <v>30</v>
      </c>
      <c r="H18" s="4">
        <v>15</v>
      </c>
    </row>
    <row r="19" spans="1:8" x14ac:dyDescent="0.35">
      <c r="A19">
        <v>2</v>
      </c>
      <c r="B19">
        <v>1</v>
      </c>
      <c r="C19" t="s">
        <v>158</v>
      </c>
      <c r="D19" s="4">
        <v>0</v>
      </c>
      <c r="E19" s="4">
        <v>0.5</v>
      </c>
      <c r="F19" s="4">
        <v>2</v>
      </c>
    </row>
    <row r="20" spans="1:8" x14ac:dyDescent="0.35">
      <c r="A20">
        <v>2</v>
      </c>
      <c r="B20">
        <v>2</v>
      </c>
      <c r="C20" t="s">
        <v>159</v>
      </c>
      <c r="D20" s="4">
        <v>0.5</v>
      </c>
      <c r="E20" s="4">
        <v>7</v>
      </c>
      <c r="F20" s="4">
        <v>30</v>
      </c>
    </row>
    <row r="21" spans="1:8" x14ac:dyDescent="0.35">
      <c r="A21">
        <v>2</v>
      </c>
      <c r="B21">
        <v>3</v>
      </c>
      <c r="C21" t="s">
        <v>160</v>
      </c>
      <c r="D21" s="4">
        <v>50</v>
      </c>
      <c r="E21" s="4">
        <v>100</v>
      </c>
      <c r="F21" s="4">
        <v>1000</v>
      </c>
    </row>
    <row r="22" spans="1:8" x14ac:dyDescent="0.35">
      <c r="A22">
        <v>2</v>
      </c>
      <c r="B22">
        <v>4</v>
      </c>
      <c r="C22" t="s">
        <v>161</v>
      </c>
      <c r="D22" s="4">
        <v>1</v>
      </c>
      <c r="E22" s="4">
        <v>20</v>
      </c>
      <c r="F22" s="4">
        <v>100</v>
      </c>
    </row>
    <row r="23" spans="1:8" x14ac:dyDescent="0.35">
      <c r="A23">
        <v>2</v>
      </c>
      <c r="B23">
        <v>5</v>
      </c>
      <c r="C23" t="s">
        <v>162</v>
      </c>
      <c r="D23" s="4">
        <v>8</v>
      </c>
      <c r="E23" s="4">
        <v>12</v>
      </c>
      <c r="F23" s="4">
        <v>15</v>
      </c>
    </row>
    <row r="24" spans="1:8" x14ac:dyDescent="0.35">
      <c r="A24">
        <v>2</v>
      </c>
      <c r="B24">
        <v>6</v>
      </c>
      <c r="C24" t="s">
        <v>163</v>
      </c>
      <c r="D24" s="4">
        <v>5</v>
      </c>
      <c r="E24" s="4">
        <v>10</v>
      </c>
      <c r="F24" s="4">
        <v>72</v>
      </c>
    </row>
    <row r="25" spans="1:8" x14ac:dyDescent="0.35">
      <c r="A25">
        <v>2</v>
      </c>
      <c r="B25">
        <v>7</v>
      </c>
      <c r="C25" t="s">
        <v>164</v>
      </c>
      <c r="D25" s="4">
        <v>2</v>
      </c>
      <c r="E25" s="4">
        <v>5</v>
      </c>
      <c r="F25" s="4">
        <v>20</v>
      </c>
    </row>
    <row r="26" spans="1:8" x14ac:dyDescent="0.35">
      <c r="A26">
        <v>2</v>
      </c>
      <c r="B26">
        <v>8</v>
      </c>
      <c r="C26" t="s">
        <v>165</v>
      </c>
      <c r="D26" s="4">
        <v>20</v>
      </c>
      <c r="E26" s="4">
        <v>100</v>
      </c>
      <c r="F26" s="4">
        <v>150</v>
      </c>
    </row>
    <row r="27" spans="1:8" x14ac:dyDescent="0.35">
      <c r="A27">
        <v>2</v>
      </c>
      <c r="B27">
        <v>9</v>
      </c>
      <c r="C27" t="s">
        <v>166</v>
      </c>
      <c r="D27" s="4">
        <v>0.3</v>
      </c>
      <c r="E27" s="4">
        <v>1</v>
      </c>
      <c r="F27" s="4">
        <v>2</v>
      </c>
    </row>
    <row r="28" spans="1:8" x14ac:dyDescent="0.35">
      <c r="A28">
        <v>2</v>
      </c>
      <c r="B28">
        <v>10</v>
      </c>
      <c r="C28" t="s">
        <v>167</v>
      </c>
      <c r="D28" s="4">
        <v>20</v>
      </c>
      <c r="E28" s="4">
        <v>500</v>
      </c>
      <c r="F28" s="4">
        <v>10000</v>
      </c>
    </row>
    <row r="29" spans="1:8" x14ac:dyDescent="0.35">
      <c r="A29">
        <v>2</v>
      </c>
      <c r="B29">
        <v>11</v>
      </c>
      <c r="C29" t="s">
        <v>168</v>
      </c>
      <c r="D29" s="4">
        <v>100</v>
      </c>
      <c r="E29" s="4">
        <v>1000</v>
      </c>
      <c r="F29" s="4">
        <v>1000000</v>
      </c>
    </row>
    <row r="30" spans="1:8" x14ac:dyDescent="0.35">
      <c r="A30">
        <v>2</v>
      </c>
      <c r="B30">
        <v>12</v>
      </c>
      <c r="C30" t="s">
        <v>169</v>
      </c>
      <c r="D30" s="4">
        <v>2</v>
      </c>
      <c r="E30" s="4">
        <v>10</v>
      </c>
      <c r="F30" s="4">
        <v>50</v>
      </c>
    </row>
    <row r="31" spans="1:8" x14ac:dyDescent="0.35">
      <c r="A31">
        <v>2</v>
      </c>
      <c r="B31">
        <v>13</v>
      </c>
      <c r="C31" t="s">
        <v>170</v>
      </c>
      <c r="D31" s="4">
        <v>1</v>
      </c>
      <c r="E31" s="4">
        <v>6</v>
      </c>
      <c r="F31" s="4">
        <v>20</v>
      </c>
    </row>
    <row r="32" spans="1:8" x14ac:dyDescent="0.35">
      <c r="A32">
        <v>2</v>
      </c>
      <c r="B32">
        <v>14</v>
      </c>
      <c r="C32" t="s">
        <v>171</v>
      </c>
      <c r="D32" s="4">
        <v>5</v>
      </c>
      <c r="E32" s="4">
        <v>10</v>
      </c>
      <c r="F32" s="4">
        <v>50</v>
      </c>
    </row>
    <row r="33" spans="1:6" x14ac:dyDescent="0.35">
      <c r="A33">
        <v>2</v>
      </c>
      <c r="B33">
        <v>15</v>
      </c>
      <c r="C33" t="s">
        <v>172</v>
      </c>
      <c r="D33" s="4">
        <v>0.5</v>
      </c>
      <c r="E33" s="4">
        <v>2</v>
      </c>
      <c r="F33" s="4">
        <v>50</v>
      </c>
    </row>
    <row r="34" spans="1:6" x14ac:dyDescent="0.35">
      <c r="A34">
        <v>2</v>
      </c>
      <c r="B34">
        <v>16</v>
      </c>
      <c r="C34" t="s">
        <v>173</v>
      </c>
      <c r="D34" s="4">
        <v>500</v>
      </c>
      <c r="E34" s="4">
        <v>1000</v>
      </c>
      <c r="F34" s="4">
        <v>5000</v>
      </c>
    </row>
    <row r="35" spans="1:6" x14ac:dyDescent="0.35">
      <c r="A35">
        <v>2</v>
      </c>
      <c r="B35">
        <v>17</v>
      </c>
      <c r="C35" t="s">
        <v>174</v>
      </c>
      <c r="D35" s="4">
        <v>1</v>
      </c>
      <c r="E35" s="4">
        <v>5</v>
      </c>
      <c r="F35" s="4">
        <v>10</v>
      </c>
    </row>
    <row r="36" spans="1:6" x14ac:dyDescent="0.35">
      <c r="A36">
        <v>3</v>
      </c>
      <c r="B36">
        <v>1</v>
      </c>
      <c r="C36" t="s">
        <v>158</v>
      </c>
      <c r="D36" s="4">
        <v>0</v>
      </c>
      <c r="E36" s="4">
        <v>1</v>
      </c>
      <c r="F36" s="4">
        <v>8</v>
      </c>
    </row>
    <row r="37" spans="1:6" x14ac:dyDescent="0.35">
      <c r="A37">
        <v>3</v>
      </c>
      <c r="B37">
        <v>2</v>
      </c>
      <c r="C37" t="s">
        <v>159</v>
      </c>
      <c r="D37" s="4">
        <v>10</v>
      </c>
      <c r="E37" s="4">
        <v>50</v>
      </c>
      <c r="F37" s="4">
        <v>100</v>
      </c>
    </row>
    <row r="38" spans="1:6" x14ac:dyDescent="0.35">
      <c r="A38">
        <v>3</v>
      </c>
      <c r="B38">
        <v>3</v>
      </c>
      <c r="C38" t="s">
        <v>160</v>
      </c>
      <c r="D38" s="4">
        <v>1</v>
      </c>
      <c r="E38" s="4">
        <v>100</v>
      </c>
      <c r="F38" s="4">
        <v>1000</v>
      </c>
    </row>
    <row r="39" spans="1:6" x14ac:dyDescent="0.35">
      <c r="A39">
        <v>3</v>
      </c>
      <c r="B39">
        <v>4</v>
      </c>
      <c r="C39" t="s">
        <v>161</v>
      </c>
      <c r="D39" s="4">
        <v>0.5</v>
      </c>
      <c r="E39" s="4">
        <v>3</v>
      </c>
      <c r="F39" s="4">
        <v>10</v>
      </c>
    </row>
    <row r="40" spans="1:6" x14ac:dyDescent="0.35">
      <c r="A40">
        <v>3</v>
      </c>
      <c r="B40">
        <v>5</v>
      </c>
      <c r="C40" t="s">
        <v>162</v>
      </c>
      <c r="D40" s="4">
        <v>10</v>
      </c>
      <c r="E40" s="4">
        <v>25</v>
      </c>
      <c r="F40" s="4">
        <v>35</v>
      </c>
    </row>
    <row r="41" spans="1:6" x14ac:dyDescent="0.35">
      <c r="A41">
        <v>3</v>
      </c>
      <c r="B41">
        <v>6</v>
      </c>
      <c r="C41" t="s">
        <v>163</v>
      </c>
      <c r="D41" s="4">
        <v>12</v>
      </c>
      <c r="E41" s="4">
        <v>48</v>
      </c>
      <c r="F41" s="4">
        <v>150</v>
      </c>
    </row>
    <row r="42" spans="1:6" x14ac:dyDescent="0.35">
      <c r="A42">
        <v>3</v>
      </c>
      <c r="B42">
        <v>7</v>
      </c>
      <c r="C42" t="s">
        <v>164</v>
      </c>
      <c r="D42" s="4">
        <v>1</v>
      </c>
      <c r="E42" s="4">
        <v>5</v>
      </c>
      <c r="F42" s="4">
        <v>20</v>
      </c>
    </row>
    <row r="43" spans="1:6" x14ac:dyDescent="0.35">
      <c r="A43">
        <v>3</v>
      </c>
      <c r="B43">
        <v>8</v>
      </c>
      <c r="C43" t="s">
        <v>165</v>
      </c>
      <c r="D43" s="4">
        <v>300</v>
      </c>
      <c r="E43" s="4">
        <v>500</v>
      </c>
      <c r="F43" s="4">
        <v>1500</v>
      </c>
    </row>
    <row r="44" spans="1:6" x14ac:dyDescent="0.35">
      <c r="A44">
        <v>3</v>
      </c>
      <c r="B44">
        <v>9</v>
      </c>
      <c r="C44" t="s">
        <v>166</v>
      </c>
      <c r="D44" s="4">
        <v>2</v>
      </c>
      <c r="E44" s="4">
        <v>10</v>
      </c>
      <c r="F44" s="4">
        <v>30</v>
      </c>
    </row>
    <row r="45" spans="1:6" x14ac:dyDescent="0.35">
      <c r="A45">
        <v>3</v>
      </c>
      <c r="B45">
        <v>10</v>
      </c>
      <c r="C45" t="s">
        <v>167</v>
      </c>
      <c r="D45" s="4">
        <v>50</v>
      </c>
      <c r="E45" s="4">
        <v>640</v>
      </c>
      <c r="F45" s="4">
        <v>2000</v>
      </c>
    </row>
    <row r="46" spans="1:6" x14ac:dyDescent="0.35">
      <c r="A46">
        <v>3</v>
      </c>
      <c r="B46">
        <v>11</v>
      </c>
      <c r="C46" t="s">
        <v>168</v>
      </c>
      <c r="D46" s="4">
        <v>1</v>
      </c>
      <c r="E46" s="4">
        <v>10</v>
      </c>
      <c r="F46" s="4">
        <v>50</v>
      </c>
    </row>
    <row r="47" spans="1:6" x14ac:dyDescent="0.35">
      <c r="A47">
        <v>3</v>
      </c>
      <c r="B47">
        <v>12</v>
      </c>
      <c r="C47" t="s">
        <v>169</v>
      </c>
      <c r="D47" s="4">
        <v>30</v>
      </c>
      <c r="E47" s="4">
        <v>100</v>
      </c>
      <c r="F47" s="4">
        <v>500</v>
      </c>
    </row>
    <row r="48" spans="1:6" x14ac:dyDescent="0.35">
      <c r="A48">
        <v>3</v>
      </c>
      <c r="B48">
        <v>13</v>
      </c>
      <c r="C48" t="s">
        <v>170</v>
      </c>
      <c r="D48" s="4">
        <v>50</v>
      </c>
      <c r="E48" s="4">
        <v>500</v>
      </c>
      <c r="F48" s="4">
        <v>5000</v>
      </c>
    </row>
    <row r="49" spans="1:6" x14ac:dyDescent="0.35">
      <c r="A49">
        <v>3</v>
      </c>
      <c r="B49">
        <v>14</v>
      </c>
      <c r="C49" t="s">
        <v>171</v>
      </c>
      <c r="D49" s="4">
        <v>0.5</v>
      </c>
      <c r="E49" s="4">
        <v>2</v>
      </c>
      <c r="F49" s="4">
        <v>12</v>
      </c>
    </row>
    <row r="50" spans="1:6" x14ac:dyDescent="0.35">
      <c r="A50">
        <v>3</v>
      </c>
      <c r="B50">
        <v>15</v>
      </c>
      <c r="C50" t="s">
        <v>172</v>
      </c>
      <c r="D50" s="4">
        <v>0.05</v>
      </c>
      <c r="E50" s="4">
        <v>0.5</v>
      </c>
      <c r="F50" s="4">
        <v>10</v>
      </c>
    </row>
    <row r="51" spans="1:6" x14ac:dyDescent="0.35">
      <c r="A51">
        <v>3</v>
      </c>
      <c r="B51">
        <v>16</v>
      </c>
      <c r="C51" t="s">
        <v>173</v>
      </c>
      <c r="D51" s="4">
        <v>2</v>
      </c>
      <c r="E51" s="4">
        <v>10</v>
      </c>
      <c r="F51" s="4">
        <v>100</v>
      </c>
    </row>
    <row r="52" spans="1:6" x14ac:dyDescent="0.35">
      <c r="A52">
        <v>3</v>
      </c>
      <c r="B52">
        <v>17</v>
      </c>
      <c r="C52" t="s">
        <v>174</v>
      </c>
      <c r="D52" s="4">
        <v>2</v>
      </c>
      <c r="E52" s="4">
        <v>30</v>
      </c>
      <c r="F52" s="4">
        <v>100</v>
      </c>
    </row>
    <row r="53" spans="1:6" x14ac:dyDescent="0.35">
      <c r="A53">
        <v>4</v>
      </c>
      <c r="B53">
        <v>1</v>
      </c>
      <c r="C53" t="s">
        <v>158</v>
      </c>
      <c r="D53" s="4">
        <v>0</v>
      </c>
      <c r="E53" s="4">
        <v>0.5</v>
      </c>
      <c r="F53" s="4">
        <v>1</v>
      </c>
    </row>
    <row r="54" spans="1:6" x14ac:dyDescent="0.35">
      <c r="A54">
        <v>4</v>
      </c>
      <c r="B54">
        <v>2</v>
      </c>
      <c r="C54" t="s">
        <v>159</v>
      </c>
      <c r="D54" s="4">
        <v>2</v>
      </c>
      <c r="E54" s="4">
        <v>5</v>
      </c>
      <c r="F54" s="4">
        <v>12</v>
      </c>
    </row>
    <row r="55" spans="1:6" x14ac:dyDescent="0.35">
      <c r="A55">
        <v>4</v>
      </c>
      <c r="B55">
        <v>3</v>
      </c>
      <c r="C55" t="s">
        <v>160</v>
      </c>
      <c r="D55" s="4">
        <v>10</v>
      </c>
      <c r="E55" s="4">
        <v>100</v>
      </c>
      <c r="F55" s="4">
        <v>500</v>
      </c>
    </row>
    <row r="56" spans="1:6" x14ac:dyDescent="0.35">
      <c r="A56">
        <v>4</v>
      </c>
      <c r="B56">
        <v>4</v>
      </c>
      <c r="C56" t="s">
        <v>161</v>
      </c>
      <c r="D56" s="4">
        <v>5</v>
      </c>
      <c r="E56" s="4">
        <v>10</v>
      </c>
      <c r="F56" s="4">
        <v>50</v>
      </c>
    </row>
    <row r="57" spans="1:6" x14ac:dyDescent="0.35">
      <c r="A57">
        <v>4</v>
      </c>
      <c r="B57">
        <v>5</v>
      </c>
      <c r="C57" t="s">
        <v>162</v>
      </c>
      <c r="D57" s="4">
        <v>15</v>
      </c>
      <c r="E57" s="4">
        <v>20</v>
      </c>
      <c r="F57" s="4">
        <v>30</v>
      </c>
    </row>
    <row r="58" spans="1:6" x14ac:dyDescent="0.35">
      <c r="A58">
        <v>4</v>
      </c>
      <c r="B58">
        <v>6</v>
      </c>
      <c r="C58" t="s">
        <v>163</v>
      </c>
      <c r="D58" s="4">
        <v>1</v>
      </c>
      <c r="E58" s="4">
        <v>10</v>
      </c>
      <c r="F58" s="4">
        <v>20</v>
      </c>
    </row>
    <row r="59" spans="1:6" x14ac:dyDescent="0.35">
      <c r="A59">
        <v>4</v>
      </c>
      <c r="B59">
        <v>7</v>
      </c>
      <c r="C59" t="s">
        <v>164</v>
      </c>
      <c r="D59" s="4">
        <v>1</v>
      </c>
      <c r="E59" s="4">
        <v>10</v>
      </c>
      <c r="F59" s="4">
        <v>20</v>
      </c>
    </row>
    <row r="60" spans="1:6" x14ac:dyDescent="0.35">
      <c r="A60">
        <v>4</v>
      </c>
      <c r="B60">
        <v>8</v>
      </c>
      <c r="C60" t="s">
        <v>165</v>
      </c>
      <c r="D60" s="4">
        <v>20</v>
      </c>
      <c r="E60" s="4">
        <v>50</v>
      </c>
      <c r="F60" s="4">
        <v>200</v>
      </c>
    </row>
    <row r="61" spans="1:6" x14ac:dyDescent="0.35">
      <c r="A61">
        <v>4</v>
      </c>
      <c r="B61">
        <v>9</v>
      </c>
      <c r="C61" t="s">
        <v>166</v>
      </c>
      <c r="D61" s="4">
        <v>0.5</v>
      </c>
      <c r="E61" s="4">
        <v>2</v>
      </c>
      <c r="F61" s="4">
        <v>10</v>
      </c>
    </row>
    <row r="62" spans="1:6" x14ac:dyDescent="0.35">
      <c r="A62">
        <v>4</v>
      </c>
      <c r="B62">
        <v>10</v>
      </c>
      <c r="C62" t="s">
        <v>167</v>
      </c>
      <c r="D62" s="4">
        <v>10000</v>
      </c>
      <c r="E62" s="4">
        <v>1000000</v>
      </c>
      <c r="F62" s="4">
        <v>10000000</v>
      </c>
    </row>
    <row r="63" spans="1:6" x14ac:dyDescent="0.35">
      <c r="A63">
        <v>4</v>
      </c>
      <c r="B63">
        <v>11</v>
      </c>
      <c r="C63" t="s">
        <v>168</v>
      </c>
      <c r="D63" s="4">
        <v>2</v>
      </c>
      <c r="E63" s="4">
        <v>10</v>
      </c>
      <c r="F63" s="4">
        <v>100</v>
      </c>
    </row>
    <row r="64" spans="1:6" x14ac:dyDescent="0.35">
      <c r="A64">
        <v>4</v>
      </c>
      <c r="B64">
        <v>12</v>
      </c>
      <c r="C64" t="s">
        <v>169</v>
      </c>
      <c r="D64" s="4">
        <v>10</v>
      </c>
      <c r="E64" s="4">
        <v>30</v>
      </c>
      <c r="F64" s="4">
        <v>100</v>
      </c>
    </row>
    <row r="65" spans="1:6" x14ac:dyDescent="0.35">
      <c r="A65">
        <v>4</v>
      </c>
      <c r="B65">
        <v>13</v>
      </c>
      <c r="C65" t="s">
        <v>170</v>
      </c>
      <c r="D65" s="4">
        <v>10</v>
      </c>
      <c r="E65" s="4">
        <v>50</v>
      </c>
      <c r="F65" s="4">
        <v>200</v>
      </c>
    </row>
    <row r="66" spans="1:6" x14ac:dyDescent="0.35">
      <c r="A66">
        <v>4</v>
      </c>
      <c r="B66">
        <v>14</v>
      </c>
      <c r="C66" t="s">
        <v>171</v>
      </c>
      <c r="D66" s="4">
        <v>1</v>
      </c>
      <c r="E66" s="4">
        <v>2</v>
      </c>
      <c r="F66" s="4">
        <v>5</v>
      </c>
    </row>
    <row r="67" spans="1:6" x14ac:dyDescent="0.35">
      <c r="A67">
        <v>4</v>
      </c>
      <c r="B67">
        <v>15</v>
      </c>
      <c r="C67" t="s">
        <v>172</v>
      </c>
      <c r="D67" s="4">
        <v>10</v>
      </c>
      <c r="E67" s="4">
        <v>50</v>
      </c>
      <c r="F67" s="4">
        <v>100</v>
      </c>
    </row>
    <row r="68" spans="1:6" x14ac:dyDescent="0.35">
      <c r="A68">
        <v>4</v>
      </c>
      <c r="B68">
        <v>16</v>
      </c>
      <c r="C68" t="s">
        <v>173</v>
      </c>
      <c r="D68" s="4">
        <v>200</v>
      </c>
      <c r="E68" s="4">
        <v>1000</v>
      </c>
      <c r="F68" s="4">
        <v>100000</v>
      </c>
    </row>
    <row r="69" spans="1:6" x14ac:dyDescent="0.35">
      <c r="A69">
        <v>4</v>
      </c>
      <c r="B69">
        <v>17</v>
      </c>
      <c r="C69" t="s">
        <v>174</v>
      </c>
      <c r="D69" s="4">
        <v>1</v>
      </c>
      <c r="E69" s="4">
        <v>10</v>
      </c>
      <c r="F69" s="4">
        <v>20</v>
      </c>
    </row>
    <row r="70" spans="1:6" x14ac:dyDescent="0.35">
      <c r="A70">
        <v>5</v>
      </c>
      <c r="B70">
        <v>1</v>
      </c>
      <c r="C70" t="s">
        <v>158</v>
      </c>
      <c r="D70" s="4">
        <v>0.5</v>
      </c>
      <c r="E70" s="4">
        <v>1</v>
      </c>
      <c r="F70" s="4">
        <v>5</v>
      </c>
    </row>
    <row r="71" spans="1:6" x14ac:dyDescent="0.35">
      <c r="A71">
        <v>5</v>
      </c>
      <c r="B71">
        <v>2</v>
      </c>
      <c r="C71" t="s">
        <v>159</v>
      </c>
      <c r="D71" s="4">
        <v>0.5</v>
      </c>
      <c r="E71" s="4">
        <v>3</v>
      </c>
      <c r="F71" s="4">
        <v>5</v>
      </c>
    </row>
    <row r="72" spans="1:6" x14ac:dyDescent="0.35">
      <c r="A72">
        <v>5</v>
      </c>
      <c r="B72">
        <v>3</v>
      </c>
      <c r="C72" t="s">
        <v>160</v>
      </c>
      <c r="D72" s="4">
        <v>0.1</v>
      </c>
      <c r="E72" s="4">
        <v>0.3</v>
      </c>
      <c r="F72" s="4">
        <v>0.5</v>
      </c>
    </row>
    <row r="73" spans="1:6" x14ac:dyDescent="0.35">
      <c r="A73">
        <v>5</v>
      </c>
      <c r="B73">
        <v>4</v>
      </c>
      <c r="C73" t="s">
        <v>161</v>
      </c>
      <c r="D73" s="4">
        <v>10</v>
      </c>
      <c r="E73" s="4">
        <v>25</v>
      </c>
      <c r="F73" s="4">
        <v>50</v>
      </c>
    </row>
    <row r="74" spans="1:6" x14ac:dyDescent="0.35">
      <c r="A74">
        <v>5</v>
      </c>
      <c r="B74">
        <v>5</v>
      </c>
      <c r="C74" t="s">
        <v>162</v>
      </c>
      <c r="D74" s="4">
        <v>5</v>
      </c>
      <c r="E74" s="4">
        <v>20</v>
      </c>
      <c r="F74" s="4">
        <v>25</v>
      </c>
    </row>
    <row r="75" spans="1:6" x14ac:dyDescent="0.35">
      <c r="A75">
        <v>5</v>
      </c>
      <c r="B75">
        <v>6</v>
      </c>
      <c r="C75" t="s">
        <v>163</v>
      </c>
      <c r="D75" s="4">
        <v>5</v>
      </c>
      <c r="E75" s="4">
        <v>24</v>
      </c>
      <c r="F75" s="4">
        <v>50</v>
      </c>
    </row>
    <row r="76" spans="1:6" x14ac:dyDescent="0.35">
      <c r="A76">
        <v>5</v>
      </c>
      <c r="B76">
        <v>7</v>
      </c>
      <c r="C76" t="s">
        <v>164</v>
      </c>
      <c r="D76" s="4">
        <v>0.1</v>
      </c>
      <c r="E76" s="4">
        <v>1</v>
      </c>
      <c r="F76" s="4">
        <v>3</v>
      </c>
    </row>
    <row r="77" spans="1:6" x14ac:dyDescent="0.35">
      <c r="A77">
        <v>5</v>
      </c>
      <c r="B77">
        <v>8</v>
      </c>
      <c r="C77" t="s">
        <v>165</v>
      </c>
      <c r="D77" s="4">
        <v>30</v>
      </c>
      <c r="E77" s="4">
        <v>100</v>
      </c>
      <c r="F77" s="4">
        <v>300</v>
      </c>
    </row>
    <row r="78" spans="1:6" x14ac:dyDescent="0.35">
      <c r="A78">
        <v>5</v>
      </c>
      <c r="B78">
        <v>9</v>
      </c>
      <c r="C78" t="s">
        <v>166</v>
      </c>
      <c r="D78" s="4">
        <v>30</v>
      </c>
      <c r="E78" s="4">
        <v>100</v>
      </c>
      <c r="F78" s="4">
        <v>300</v>
      </c>
    </row>
    <row r="79" spans="1:6" x14ac:dyDescent="0.35">
      <c r="A79">
        <v>5</v>
      </c>
      <c r="B79">
        <v>10</v>
      </c>
      <c r="C79" t="s">
        <v>167</v>
      </c>
      <c r="D79" s="4">
        <v>5</v>
      </c>
      <c r="E79" s="4">
        <v>20</v>
      </c>
      <c r="F79" s="4">
        <v>40</v>
      </c>
    </row>
    <row r="80" spans="1:6" x14ac:dyDescent="0.35">
      <c r="A80">
        <v>5</v>
      </c>
      <c r="B80">
        <v>11</v>
      </c>
      <c r="C80" t="s">
        <v>168</v>
      </c>
      <c r="D80" s="4">
        <v>2</v>
      </c>
      <c r="E80" s="4">
        <v>10</v>
      </c>
      <c r="F80" s="4">
        <v>20</v>
      </c>
    </row>
    <row r="81" spans="1:6" x14ac:dyDescent="0.35">
      <c r="A81">
        <v>5</v>
      </c>
      <c r="B81">
        <v>12</v>
      </c>
      <c r="C81" t="s">
        <v>169</v>
      </c>
      <c r="D81" s="4">
        <v>5</v>
      </c>
      <c r="E81" s="4">
        <v>20</v>
      </c>
      <c r="F81" s="4">
        <v>50</v>
      </c>
    </row>
    <row r="82" spans="1:6" x14ac:dyDescent="0.35">
      <c r="A82">
        <v>5</v>
      </c>
      <c r="B82">
        <v>13</v>
      </c>
      <c r="C82" t="s">
        <v>170</v>
      </c>
      <c r="D82" s="4">
        <v>50</v>
      </c>
      <c r="E82" s="4">
        <v>300</v>
      </c>
      <c r="F82" s="4">
        <v>500</v>
      </c>
    </row>
    <row r="83" spans="1:6" x14ac:dyDescent="0.35">
      <c r="A83">
        <v>5</v>
      </c>
      <c r="B83">
        <v>14</v>
      </c>
      <c r="C83" t="s">
        <v>171</v>
      </c>
      <c r="D83" s="4">
        <v>1</v>
      </c>
      <c r="E83" s="4">
        <v>5</v>
      </c>
      <c r="F83" s="4">
        <v>10</v>
      </c>
    </row>
    <row r="84" spans="1:6" x14ac:dyDescent="0.35">
      <c r="A84">
        <v>5</v>
      </c>
      <c r="B84">
        <v>15</v>
      </c>
      <c r="C84" t="s">
        <v>172</v>
      </c>
      <c r="D84" s="4">
        <v>0.03</v>
      </c>
      <c r="E84" s="4">
        <v>0.1</v>
      </c>
      <c r="F84" s="4">
        <v>0.3</v>
      </c>
    </row>
    <row r="85" spans="1:6" x14ac:dyDescent="0.35">
      <c r="A85">
        <v>5</v>
      </c>
      <c r="B85">
        <v>16</v>
      </c>
      <c r="C85" t="s">
        <v>173</v>
      </c>
      <c r="D85" s="4">
        <v>500</v>
      </c>
      <c r="E85" s="4">
        <v>2000</v>
      </c>
      <c r="F85" s="4">
        <v>5000</v>
      </c>
    </row>
    <row r="86" spans="1:6" x14ac:dyDescent="0.35">
      <c r="A86">
        <v>5</v>
      </c>
      <c r="B86">
        <v>17</v>
      </c>
      <c r="C86" t="s">
        <v>174</v>
      </c>
      <c r="D86" s="4">
        <v>1</v>
      </c>
      <c r="E86" s="4">
        <v>5</v>
      </c>
      <c r="F86" s="4">
        <v>10</v>
      </c>
    </row>
    <row r="87" spans="1:6" x14ac:dyDescent="0.35">
      <c r="A87">
        <v>6</v>
      </c>
      <c r="B87">
        <v>1</v>
      </c>
      <c r="C87" t="s">
        <v>158</v>
      </c>
      <c r="D87" s="4">
        <v>0.5</v>
      </c>
      <c r="E87" s="4">
        <v>1</v>
      </c>
      <c r="F87" s="4">
        <v>2</v>
      </c>
    </row>
    <row r="88" spans="1:6" x14ac:dyDescent="0.35">
      <c r="A88">
        <v>6</v>
      </c>
      <c r="B88">
        <v>2</v>
      </c>
      <c r="C88" t="s">
        <v>159</v>
      </c>
      <c r="D88" s="4">
        <v>10</v>
      </c>
      <c r="E88" s="4">
        <v>50</v>
      </c>
      <c r="F88" s="4">
        <v>100</v>
      </c>
    </row>
    <row r="89" spans="1:6" x14ac:dyDescent="0.35">
      <c r="A89">
        <v>6</v>
      </c>
      <c r="B89">
        <v>3</v>
      </c>
      <c r="C89" t="s">
        <v>160</v>
      </c>
      <c r="D89" s="4">
        <v>0.5</v>
      </c>
      <c r="E89" s="4">
        <v>4</v>
      </c>
      <c r="F89" s="4">
        <v>6</v>
      </c>
    </row>
    <row r="90" spans="1:6" x14ac:dyDescent="0.35">
      <c r="A90">
        <v>6</v>
      </c>
      <c r="B90">
        <v>4</v>
      </c>
      <c r="C90" t="s">
        <v>161</v>
      </c>
      <c r="D90" s="4">
        <v>2</v>
      </c>
      <c r="E90" s="4">
        <v>5</v>
      </c>
      <c r="F90" s="4">
        <v>30</v>
      </c>
    </row>
    <row r="91" spans="1:6" x14ac:dyDescent="0.35">
      <c r="A91">
        <v>6</v>
      </c>
      <c r="B91">
        <v>5</v>
      </c>
      <c r="C91" t="s">
        <v>162</v>
      </c>
      <c r="D91" s="4">
        <v>10</v>
      </c>
      <c r="E91" s="4">
        <v>20</v>
      </c>
      <c r="F91" s="4">
        <v>25</v>
      </c>
    </row>
    <row r="92" spans="1:6" x14ac:dyDescent="0.35">
      <c r="A92">
        <v>6</v>
      </c>
      <c r="B92">
        <v>6</v>
      </c>
      <c r="C92" t="s">
        <v>163</v>
      </c>
      <c r="D92" s="4">
        <v>1</v>
      </c>
      <c r="E92" s="4">
        <v>5</v>
      </c>
      <c r="F92" s="4">
        <v>7</v>
      </c>
    </row>
    <row r="93" spans="1:6" x14ac:dyDescent="0.35">
      <c r="A93">
        <v>6</v>
      </c>
      <c r="B93">
        <v>7</v>
      </c>
      <c r="C93" t="s">
        <v>164</v>
      </c>
      <c r="D93" s="4">
        <v>0.1</v>
      </c>
      <c r="E93" s="4">
        <v>0.2</v>
      </c>
      <c r="F93" s="4">
        <v>0.5</v>
      </c>
    </row>
    <row r="94" spans="1:6" x14ac:dyDescent="0.35">
      <c r="A94">
        <v>6</v>
      </c>
      <c r="B94">
        <v>8</v>
      </c>
      <c r="C94" t="s">
        <v>165</v>
      </c>
      <c r="D94" s="4">
        <v>50</v>
      </c>
      <c r="E94" s="4">
        <v>100</v>
      </c>
      <c r="F94" s="4">
        <v>200</v>
      </c>
    </row>
    <row r="95" spans="1:6" x14ac:dyDescent="0.35">
      <c r="A95">
        <v>6</v>
      </c>
      <c r="B95">
        <v>9</v>
      </c>
      <c r="C95" t="s">
        <v>166</v>
      </c>
      <c r="D95" s="4">
        <v>5</v>
      </c>
      <c r="E95" s="4">
        <v>10</v>
      </c>
      <c r="F95" s="4">
        <v>20</v>
      </c>
    </row>
    <row r="96" spans="1:6" x14ac:dyDescent="0.35">
      <c r="A96">
        <v>6</v>
      </c>
      <c r="B96">
        <v>10</v>
      </c>
      <c r="C96" t="s">
        <v>167</v>
      </c>
      <c r="D96" s="4">
        <v>10</v>
      </c>
      <c r="E96" s="4">
        <v>50</v>
      </c>
      <c r="F96" s="4">
        <v>500</v>
      </c>
    </row>
    <row r="97" spans="1:6" x14ac:dyDescent="0.35">
      <c r="A97">
        <v>6</v>
      </c>
      <c r="B97">
        <v>11</v>
      </c>
      <c r="C97" t="s">
        <v>168</v>
      </c>
      <c r="D97" s="4">
        <v>10</v>
      </c>
      <c r="E97" s="4">
        <v>30</v>
      </c>
      <c r="F97" s="4">
        <v>50</v>
      </c>
    </row>
    <row r="98" spans="1:6" x14ac:dyDescent="0.35">
      <c r="A98">
        <v>6</v>
      </c>
      <c r="B98">
        <v>12</v>
      </c>
      <c r="C98" t="s">
        <v>169</v>
      </c>
      <c r="D98" s="4">
        <v>200</v>
      </c>
      <c r="E98" s="4">
        <v>300</v>
      </c>
      <c r="F98" s="4">
        <v>500</v>
      </c>
    </row>
    <row r="99" spans="1:6" x14ac:dyDescent="0.35">
      <c r="A99">
        <v>6</v>
      </c>
      <c r="B99">
        <v>13</v>
      </c>
      <c r="C99" t="s">
        <v>170</v>
      </c>
      <c r="D99" s="4">
        <v>10</v>
      </c>
      <c r="E99" s="4">
        <v>30</v>
      </c>
      <c r="F99" s="4">
        <v>50</v>
      </c>
    </row>
    <row r="100" spans="1:6" x14ac:dyDescent="0.35">
      <c r="A100">
        <v>6</v>
      </c>
      <c r="B100">
        <v>14</v>
      </c>
      <c r="C100" t="s">
        <v>171</v>
      </c>
      <c r="D100" s="4">
        <v>5</v>
      </c>
      <c r="E100" s="4">
        <v>6</v>
      </c>
      <c r="F100" s="4">
        <v>10</v>
      </c>
    </row>
    <row r="101" spans="1:6" x14ac:dyDescent="0.35">
      <c r="A101">
        <v>6</v>
      </c>
      <c r="B101">
        <v>15</v>
      </c>
      <c r="C101" t="s">
        <v>172</v>
      </c>
      <c r="D101" s="4">
        <v>0.2</v>
      </c>
      <c r="E101" s="4">
        <v>1.5</v>
      </c>
      <c r="F101" s="4">
        <v>2</v>
      </c>
    </row>
    <row r="102" spans="1:6" x14ac:dyDescent="0.35">
      <c r="A102">
        <v>6</v>
      </c>
      <c r="B102">
        <v>16</v>
      </c>
      <c r="C102" t="s">
        <v>173</v>
      </c>
      <c r="D102" s="4">
        <v>5</v>
      </c>
      <c r="E102" s="4">
        <v>6</v>
      </c>
      <c r="F102" s="4">
        <v>10</v>
      </c>
    </row>
    <row r="103" spans="1:6" x14ac:dyDescent="0.35">
      <c r="A103">
        <v>6</v>
      </c>
      <c r="B103">
        <v>17</v>
      </c>
      <c r="C103" t="s">
        <v>174</v>
      </c>
      <c r="D103" s="4">
        <v>4</v>
      </c>
      <c r="E103" s="4">
        <v>5</v>
      </c>
      <c r="F103" s="4">
        <v>10</v>
      </c>
    </row>
    <row r="104" spans="1:6" x14ac:dyDescent="0.35">
      <c r="A104">
        <v>7</v>
      </c>
      <c r="B104">
        <v>1</v>
      </c>
      <c r="C104" t="s">
        <v>158</v>
      </c>
      <c r="D104" s="4">
        <v>0</v>
      </c>
      <c r="E104" s="4">
        <v>0.9</v>
      </c>
      <c r="F104" s="4">
        <v>5</v>
      </c>
    </row>
    <row r="105" spans="1:6" x14ac:dyDescent="0.35">
      <c r="A105">
        <v>7</v>
      </c>
      <c r="B105">
        <v>2</v>
      </c>
      <c r="C105" t="s">
        <v>159</v>
      </c>
      <c r="D105" s="4">
        <v>4</v>
      </c>
      <c r="E105" s="4">
        <v>25</v>
      </c>
      <c r="F105" s="4">
        <v>40</v>
      </c>
    </row>
    <row r="106" spans="1:6" x14ac:dyDescent="0.35">
      <c r="A106">
        <v>7</v>
      </c>
      <c r="B106">
        <v>3</v>
      </c>
      <c r="C106" t="s">
        <v>160</v>
      </c>
      <c r="D106" s="4">
        <v>1</v>
      </c>
      <c r="E106" s="4">
        <v>10</v>
      </c>
      <c r="F106" s="4">
        <v>100</v>
      </c>
    </row>
    <row r="107" spans="1:6" x14ac:dyDescent="0.35">
      <c r="A107">
        <v>7</v>
      </c>
      <c r="B107">
        <v>4</v>
      </c>
      <c r="C107" t="s">
        <v>161</v>
      </c>
      <c r="D107" s="4">
        <v>1</v>
      </c>
      <c r="E107" s="4">
        <v>5</v>
      </c>
      <c r="F107" s="4">
        <v>10</v>
      </c>
    </row>
    <row r="108" spans="1:6" x14ac:dyDescent="0.35">
      <c r="A108">
        <v>7</v>
      </c>
      <c r="B108">
        <v>5</v>
      </c>
      <c r="C108" t="s">
        <v>162</v>
      </c>
      <c r="D108" s="4">
        <v>18</v>
      </c>
      <c r="E108" s="4">
        <v>25</v>
      </c>
      <c r="F108" s="4">
        <v>35</v>
      </c>
    </row>
    <row r="109" spans="1:6" x14ac:dyDescent="0.35">
      <c r="A109">
        <v>7</v>
      </c>
      <c r="B109">
        <v>6</v>
      </c>
      <c r="C109" t="s">
        <v>163</v>
      </c>
      <c r="D109" s="4">
        <v>2</v>
      </c>
      <c r="E109" s="4">
        <v>8</v>
      </c>
      <c r="F109" s="4">
        <v>20</v>
      </c>
    </row>
    <row r="110" spans="1:6" x14ac:dyDescent="0.35">
      <c r="A110">
        <v>7</v>
      </c>
      <c r="B110">
        <v>7</v>
      </c>
      <c r="C110" t="s">
        <v>164</v>
      </c>
      <c r="D110" s="4">
        <v>0.1</v>
      </c>
      <c r="E110" s="4">
        <v>8</v>
      </c>
      <c r="F110" s="4">
        <v>20</v>
      </c>
    </row>
    <row r="111" spans="1:6" x14ac:dyDescent="0.35">
      <c r="A111">
        <v>7</v>
      </c>
      <c r="B111">
        <v>8</v>
      </c>
      <c r="C111" t="s">
        <v>165</v>
      </c>
      <c r="D111" s="4">
        <v>400</v>
      </c>
      <c r="E111" s="4">
        <v>1000</v>
      </c>
      <c r="F111" s="4">
        <v>20000</v>
      </c>
    </row>
    <row r="112" spans="1:6" x14ac:dyDescent="0.35">
      <c r="A112">
        <v>7</v>
      </c>
      <c r="B112">
        <v>9</v>
      </c>
      <c r="C112" t="s">
        <v>166</v>
      </c>
      <c r="D112" s="4">
        <v>5</v>
      </c>
      <c r="E112" s="4">
        <v>10</v>
      </c>
      <c r="F112" s="4">
        <v>20</v>
      </c>
    </row>
    <row r="113" spans="1:6" x14ac:dyDescent="0.35">
      <c r="A113">
        <v>7</v>
      </c>
      <c r="B113">
        <v>10</v>
      </c>
      <c r="C113" t="s">
        <v>167</v>
      </c>
      <c r="D113" s="4">
        <v>1</v>
      </c>
      <c r="E113" s="4">
        <v>10</v>
      </c>
      <c r="F113" s="4">
        <v>100</v>
      </c>
    </row>
    <row r="114" spans="1:6" x14ac:dyDescent="0.35">
      <c r="A114">
        <v>7</v>
      </c>
      <c r="B114">
        <v>11</v>
      </c>
      <c r="C114" t="s">
        <v>168</v>
      </c>
      <c r="D114" s="4">
        <v>1</v>
      </c>
      <c r="E114" s="4">
        <v>5</v>
      </c>
      <c r="F114" s="4">
        <v>10</v>
      </c>
    </row>
    <row r="115" spans="1:6" x14ac:dyDescent="0.35">
      <c r="A115">
        <v>7</v>
      </c>
      <c r="B115">
        <v>12</v>
      </c>
      <c r="C115" t="s">
        <v>169</v>
      </c>
      <c r="D115" s="4">
        <v>1</v>
      </c>
      <c r="E115" s="4">
        <v>20</v>
      </c>
      <c r="F115" s="4">
        <v>100</v>
      </c>
    </row>
    <row r="116" spans="1:6" x14ac:dyDescent="0.35">
      <c r="A116">
        <v>7</v>
      </c>
      <c r="B116">
        <v>13</v>
      </c>
      <c r="C116" t="s">
        <v>170</v>
      </c>
      <c r="D116" s="4">
        <v>1</v>
      </c>
      <c r="E116" s="4">
        <v>5</v>
      </c>
      <c r="F116" s="4">
        <v>20</v>
      </c>
    </row>
    <row r="117" spans="1:6" x14ac:dyDescent="0.35">
      <c r="A117">
        <v>7</v>
      </c>
      <c r="B117">
        <v>14</v>
      </c>
      <c r="C117" t="s">
        <v>171</v>
      </c>
      <c r="D117" s="4">
        <v>1</v>
      </c>
      <c r="E117" s="4">
        <v>10</v>
      </c>
      <c r="F117" s="4">
        <v>25</v>
      </c>
    </row>
    <row r="118" spans="1:6" x14ac:dyDescent="0.35">
      <c r="A118">
        <v>7</v>
      </c>
      <c r="B118">
        <v>15</v>
      </c>
      <c r="C118" t="s">
        <v>172</v>
      </c>
      <c r="D118" s="4">
        <v>0.01</v>
      </c>
      <c r="E118" s="4">
        <v>1</v>
      </c>
      <c r="F118" s="4">
        <v>10</v>
      </c>
    </row>
    <row r="119" spans="1:6" x14ac:dyDescent="0.35">
      <c r="A119">
        <v>7</v>
      </c>
      <c r="B119">
        <v>16</v>
      </c>
      <c r="C119" t="s">
        <v>173</v>
      </c>
      <c r="D119" s="4">
        <v>500</v>
      </c>
      <c r="E119" s="4">
        <v>2000</v>
      </c>
      <c r="F119" s="4">
        <v>20000</v>
      </c>
    </row>
    <row r="120" spans="1:6" x14ac:dyDescent="0.35">
      <c r="A120">
        <v>7</v>
      </c>
      <c r="B120">
        <v>17</v>
      </c>
      <c r="C120" t="s">
        <v>174</v>
      </c>
      <c r="D120" s="4">
        <v>1</v>
      </c>
      <c r="E120" s="4">
        <v>10</v>
      </c>
      <c r="F120" s="4">
        <v>20</v>
      </c>
    </row>
    <row r="121" spans="1:6" x14ac:dyDescent="0.35">
      <c r="A121">
        <v>8</v>
      </c>
      <c r="B121">
        <v>1</v>
      </c>
      <c r="C121" t="s">
        <v>158</v>
      </c>
      <c r="D121" s="4">
        <v>1</v>
      </c>
      <c r="E121" s="4">
        <v>3</v>
      </c>
      <c r="F121" s="4">
        <v>10</v>
      </c>
    </row>
    <row r="122" spans="1:6" x14ac:dyDescent="0.35">
      <c r="A122">
        <v>8</v>
      </c>
      <c r="B122">
        <v>2</v>
      </c>
      <c r="C122" t="s">
        <v>159</v>
      </c>
      <c r="D122" s="4">
        <v>20</v>
      </c>
      <c r="E122" s="4">
        <v>30</v>
      </c>
      <c r="F122" s="4">
        <v>40</v>
      </c>
    </row>
    <row r="123" spans="1:6" x14ac:dyDescent="0.35">
      <c r="A123">
        <v>8</v>
      </c>
      <c r="B123">
        <v>3</v>
      </c>
      <c r="C123" t="s">
        <v>160</v>
      </c>
      <c r="D123" s="4">
        <v>20</v>
      </c>
      <c r="E123" s="4">
        <v>80</v>
      </c>
      <c r="F123" s="4">
        <v>200</v>
      </c>
    </row>
    <row r="124" spans="1:6" x14ac:dyDescent="0.35">
      <c r="A124">
        <v>8</v>
      </c>
      <c r="B124">
        <v>4</v>
      </c>
      <c r="C124" t="s">
        <v>161</v>
      </c>
      <c r="D124" s="4">
        <v>8</v>
      </c>
      <c r="E124" s="4">
        <v>12</v>
      </c>
      <c r="F124" s="4">
        <v>20</v>
      </c>
    </row>
    <row r="125" spans="1:6" x14ac:dyDescent="0.35">
      <c r="A125">
        <v>8</v>
      </c>
      <c r="B125">
        <v>5</v>
      </c>
      <c r="C125" t="s">
        <v>162</v>
      </c>
      <c r="D125" s="4">
        <v>2</v>
      </c>
      <c r="E125" s="4">
        <v>7</v>
      </c>
      <c r="F125" s="4">
        <v>20</v>
      </c>
    </row>
    <row r="126" spans="1:6" x14ac:dyDescent="0.35">
      <c r="A126">
        <v>8</v>
      </c>
      <c r="B126">
        <v>6</v>
      </c>
      <c r="C126" t="s">
        <v>163</v>
      </c>
      <c r="D126" s="4">
        <v>10</v>
      </c>
      <c r="E126" s="4">
        <v>25</v>
      </c>
      <c r="F126" s="4">
        <v>40</v>
      </c>
    </row>
    <row r="127" spans="1:6" x14ac:dyDescent="0.35">
      <c r="A127">
        <v>8</v>
      </c>
      <c r="B127">
        <v>7</v>
      </c>
      <c r="C127" t="s">
        <v>164</v>
      </c>
      <c r="D127" s="4">
        <v>40</v>
      </c>
      <c r="E127" s="4">
        <v>100</v>
      </c>
      <c r="F127" s="4">
        <v>160</v>
      </c>
    </row>
    <row r="128" spans="1:6" x14ac:dyDescent="0.35">
      <c r="A128">
        <v>8</v>
      </c>
      <c r="B128">
        <v>8</v>
      </c>
      <c r="C128" t="s">
        <v>165</v>
      </c>
      <c r="D128" s="4">
        <v>200</v>
      </c>
      <c r="E128" s="4">
        <v>300</v>
      </c>
      <c r="F128" s="4">
        <v>400</v>
      </c>
    </row>
    <row r="129" spans="1:6" x14ac:dyDescent="0.35">
      <c r="A129">
        <v>8</v>
      </c>
      <c r="B129">
        <v>9</v>
      </c>
      <c r="C129" t="s">
        <v>166</v>
      </c>
      <c r="D129" s="4">
        <v>5</v>
      </c>
      <c r="E129" s="4">
        <v>10</v>
      </c>
      <c r="F129" s="4">
        <v>30</v>
      </c>
    </row>
    <row r="130" spans="1:6" x14ac:dyDescent="0.35">
      <c r="A130">
        <v>8</v>
      </c>
      <c r="B130">
        <v>10</v>
      </c>
      <c r="C130" t="s">
        <v>167</v>
      </c>
      <c r="D130" s="4">
        <v>20</v>
      </c>
      <c r="E130" s="4">
        <v>40</v>
      </c>
      <c r="F130" s="4">
        <v>200</v>
      </c>
    </row>
    <row r="131" spans="1:6" x14ac:dyDescent="0.35">
      <c r="A131">
        <v>8</v>
      </c>
      <c r="B131">
        <v>11</v>
      </c>
      <c r="C131" t="s">
        <v>168</v>
      </c>
      <c r="D131" s="4">
        <v>10</v>
      </c>
      <c r="E131" s="4">
        <v>25</v>
      </c>
      <c r="F131" s="4">
        <v>40</v>
      </c>
    </row>
    <row r="132" spans="1:6" x14ac:dyDescent="0.35">
      <c r="A132">
        <v>8</v>
      </c>
      <c r="B132">
        <v>12</v>
      </c>
      <c r="C132" t="s">
        <v>169</v>
      </c>
      <c r="D132" s="4">
        <v>2</v>
      </c>
      <c r="E132" s="4">
        <v>10</v>
      </c>
      <c r="F132" s="4">
        <v>50</v>
      </c>
    </row>
    <row r="133" spans="1:6" x14ac:dyDescent="0.35">
      <c r="A133">
        <v>8</v>
      </c>
      <c r="B133">
        <v>13</v>
      </c>
      <c r="C133" t="s">
        <v>170</v>
      </c>
      <c r="D133" s="4">
        <v>40</v>
      </c>
      <c r="E133" s="4">
        <v>150</v>
      </c>
      <c r="F133" s="4">
        <v>200</v>
      </c>
    </row>
    <row r="134" spans="1:6" x14ac:dyDescent="0.35">
      <c r="A134">
        <v>8</v>
      </c>
      <c r="B134">
        <v>14</v>
      </c>
      <c r="C134" t="s">
        <v>171</v>
      </c>
      <c r="D134" s="4">
        <v>2</v>
      </c>
      <c r="E134" s="4">
        <v>4</v>
      </c>
      <c r="F134" s="4">
        <v>10</v>
      </c>
    </row>
    <row r="135" spans="1:6" x14ac:dyDescent="0.35">
      <c r="A135">
        <v>8</v>
      </c>
      <c r="B135">
        <v>15</v>
      </c>
      <c r="C135" t="s">
        <v>172</v>
      </c>
      <c r="D135" s="4">
        <v>20</v>
      </c>
      <c r="E135" s="4">
        <v>60</v>
      </c>
      <c r="F135" s="4">
        <v>100</v>
      </c>
    </row>
    <row r="136" spans="1:6" x14ac:dyDescent="0.35">
      <c r="A136">
        <v>8</v>
      </c>
      <c r="B136">
        <v>16</v>
      </c>
      <c r="C136" t="s">
        <v>173</v>
      </c>
      <c r="D136" s="4">
        <v>10</v>
      </c>
      <c r="E136" s="4">
        <v>50</v>
      </c>
      <c r="F136" s="4">
        <v>100</v>
      </c>
    </row>
    <row r="137" spans="1:6" x14ac:dyDescent="0.35">
      <c r="A137">
        <v>8</v>
      </c>
      <c r="B137">
        <v>17</v>
      </c>
      <c r="C137" t="s">
        <v>174</v>
      </c>
      <c r="D137" s="4">
        <v>5</v>
      </c>
      <c r="E137" s="4">
        <v>20</v>
      </c>
      <c r="F137" s="4">
        <v>50</v>
      </c>
    </row>
    <row r="138" spans="1:6" x14ac:dyDescent="0.35">
      <c r="A138">
        <v>9</v>
      </c>
      <c r="B138">
        <v>1</v>
      </c>
      <c r="C138" t="s">
        <v>158</v>
      </c>
      <c r="D138" s="4">
        <v>1</v>
      </c>
      <c r="E138" s="4">
        <v>5</v>
      </c>
      <c r="F138" s="4">
        <v>10</v>
      </c>
    </row>
    <row r="139" spans="1:6" x14ac:dyDescent="0.35">
      <c r="A139">
        <v>9</v>
      </c>
      <c r="B139">
        <v>2</v>
      </c>
      <c r="C139" t="s">
        <v>159</v>
      </c>
      <c r="D139" s="4">
        <v>1</v>
      </c>
      <c r="E139" s="4">
        <v>2</v>
      </c>
      <c r="F139" s="4">
        <v>5</v>
      </c>
    </row>
    <row r="140" spans="1:6" x14ac:dyDescent="0.35">
      <c r="A140">
        <v>9</v>
      </c>
      <c r="B140">
        <v>3</v>
      </c>
      <c r="C140" t="s">
        <v>160</v>
      </c>
      <c r="D140" s="4">
        <v>10</v>
      </c>
      <c r="E140" s="4">
        <v>50</v>
      </c>
      <c r="F140" s="4">
        <v>100</v>
      </c>
    </row>
    <row r="141" spans="1:6" x14ac:dyDescent="0.35">
      <c r="A141">
        <v>9</v>
      </c>
      <c r="B141">
        <v>4</v>
      </c>
      <c r="C141" t="s">
        <v>161</v>
      </c>
      <c r="D141" s="4">
        <v>0.1</v>
      </c>
      <c r="E141" s="4">
        <v>0.5</v>
      </c>
      <c r="F141" s="4">
        <v>1</v>
      </c>
    </row>
    <row r="142" spans="1:6" x14ac:dyDescent="0.35">
      <c r="A142">
        <v>9</v>
      </c>
      <c r="B142">
        <v>5</v>
      </c>
      <c r="C142" t="s">
        <v>162</v>
      </c>
      <c r="D142" s="4">
        <v>10</v>
      </c>
      <c r="E142" s="4">
        <v>14</v>
      </c>
      <c r="F142" s="4">
        <v>20</v>
      </c>
    </row>
    <row r="143" spans="1:6" x14ac:dyDescent="0.35">
      <c r="A143">
        <v>9</v>
      </c>
      <c r="B143">
        <v>6</v>
      </c>
      <c r="C143" t="s">
        <v>163</v>
      </c>
      <c r="D143" s="4">
        <v>3</v>
      </c>
      <c r="E143" s="4">
        <v>10</v>
      </c>
      <c r="F143" s="4">
        <v>20</v>
      </c>
    </row>
    <row r="144" spans="1:6" x14ac:dyDescent="0.35">
      <c r="A144">
        <v>9</v>
      </c>
      <c r="B144">
        <v>7</v>
      </c>
      <c r="C144" t="s">
        <v>164</v>
      </c>
      <c r="D144" s="4">
        <v>3</v>
      </c>
      <c r="E144" s="4">
        <v>10</v>
      </c>
      <c r="F144" s="4">
        <v>30</v>
      </c>
    </row>
    <row r="145" spans="1:6" x14ac:dyDescent="0.35">
      <c r="A145">
        <v>9</v>
      </c>
      <c r="B145">
        <v>8</v>
      </c>
      <c r="C145" t="s">
        <v>165</v>
      </c>
      <c r="D145" s="4">
        <v>1</v>
      </c>
      <c r="E145" s="4">
        <v>5</v>
      </c>
      <c r="F145" s="4">
        <v>7</v>
      </c>
    </row>
    <row r="146" spans="1:6" x14ac:dyDescent="0.35">
      <c r="A146">
        <v>9</v>
      </c>
      <c r="B146">
        <v>9</v>
      </c>
      <c r="C146" t="s">
        <v>166</v>
      </c>
      <c r="D146" s="4">
        <v>3</v>
      </c>
      <c r="E146" s="4">
        <v>10</v>
      </c>
      <c r="F146" s="4">
        <v>30</v>
      </c>
    </row>
    <row r="147" spans="1:6" x14ac:dyDescent="0.35">
      <c r="A147">
        <v>9</v>
      </c>
      <c r="B147">
        <v>10</v>
      </c>
      <c r="C147" t="s">
        <v>167</v>
      </c>
      <c r="D147" s="4">
        <v>100</v>
      </c>
      <c r="E147" s="4">
        <v>1000</v>
      </c>
      <c r="F147" s="4">
        <v>5000</v>
      </c>
    </row>
    <row r="148" spans="1:6" x14ac:dyDescent="0.35">
      <c r="A148">
        <v>9</v>
      </c>
      <c r="B148">
        <v>11</v>
      </c>
      <c r="C148" t="s">
        <v>168</v>
      </c>
      <c r="D148" s="4">
        <v>2</v>
      </c>
      <c r="E148" s="4">
        <v>5</v>
      </c>
      <c r="F148" s="4">
        <v>10</v>
      </c>
    </row>
    <row r="149" spans="1:6" x14ac:dyDescent="0.35">
      <c r="A149">
        <v>9</v>
      </c>
      <c r="B149">
        <v>12</v>
      </c>
      <c r="C149" t="s">
        <v>169</v>
      </c>
      <c r="D149" s="4">
        <v>2</v>
      </c>
      <c r="E149" s="4">
        <v>10</v>
      </c>
      <c r="F149" s="4">
        <v>30</v>
      </c>
    </row>
    <row r="150" spans="1:6" x14ac:dyDescent="0.35">
      <c r="A150">
        <v>9</v>
      </c>
      <c r="B150">
        <v>13</v>
      </c>
      <c r="C150" t="s">
        <v>170</v>
      </c>
      <c r="D150" s="4">
        <v>3</v>
      </c>
      <c r="E150" s="4">
        <v>10</v>
      </c>
      <c r="F150" s="4">
        <v>30</v>
      </c>
    </row>
    <row r="151" spans="1:6" x14ac:dyDescent="0.35">
      <c r="A151">
        <v>9</v>
      </c>
      <c r="B151">
        <v>14</v>
      </c>
      <c r="C151" t="s">
        <v>171</v>
      </c>
      <c r="D151" s="4">
        <v>2</v>
      </c>
      <c r="E151" s="4">
        <v>5</v>
      </c>
      <c r="F151" s="4">
        <v>10</v>
      </c>
    </row>
    <row r="152" spans="1:6" x14ac:dyDescent="0.35">
      <c r="A152">
        <v>9</v>
      </c>
      <c r="B152">
        <v>15</v>
      </c>
      <c r="C152" t="s">
        <v>172</v>
      </c>
      <c r="D152" s="4">
        <v>0.5</v>
      </c>
      <c r="E152" s="4">
        <v>2</v>
      </c>
      <c r="F152" s="4">
        <v>5</v>
      </c>
    </row>
    <row r="153" spans="1:6" x14ac:dyDescent="0.35">
      <c r="A153">
        <v>9</v>
      </c>
      <c r="B153">
        <v>16</v>
      </c>
      <c r="C153" t="s">
        <v>173</v>
      </c>
      <c r="D153" s="4">
        <v>10</v>
      </c>
      <c r="E153" s="4">
        <v>1000</v>
      </c>
      <c r="F153" s="4">
        <v>10000</v>
      </c>
    </row>
    <row r="154" spans="1:6" x14ac:dyDescent="0.35">
      <c r="A154">
        <v>9</v>
      </c>
      <c r="B154">
        <v>17</v>
      </c>
      <c r="C154" t="s">
        <v>174</v>
      </c>
      <c r="D154" s="4">
        <v>1</v>
      </c>
      <c r="E154" s="4">
        <v>5</v>
      </c>
      <c r="F154" s="4">
        <v>10</v>
      </c>
    </row>
    <row r="155" spans="1:6" x14ac:dyDescent="0.35">
      <c r="A155">
        <v>10</v>
      </c>
      <c r="B155">
        <v>1</v>
      </c>
      <c r="C155" t="s">
        <v>158</v>
      </c>
      <c r="D155" s="4">
        <v>0.9</v>
      </c>
      <c r="E155" s="4">
        <v>1.5</v>
      </c>
      <c r="F155" s="4">
        <v>4</v>
      </c>
    </row>
    <row r="156" spans="1:6" x14ac:dyDescent="0.35">
      <c r="A156">
        <v>10</v>
      </c>
      <c r="B156">
        <v>2</v>
      </c>
      <c r="C156" t="s">
        <v>159</v>
      </c>
      <c r="D156" s="4">
        <v>3.5</v>
      </c>
      <c r="E156" s="4">
        <v>5</v>
      </c>
      <c r="F156" s="4">
        <v>8</v>
      </c>
    </row>
    <row r="157" spans="1:6" x14ac:dyDescent="0.35">
      <c r="A157">
        <v>10</v>
      </c>
      <c r="B157">
        <v>3</v>
      </c>
      <c r="C157" t="s">
        <v>160</v>
      </c>
      <c r="D157" s="4">
        <v>115</v>
      </c>
      <c r="E157" s="4">
        <v>120</v>
      </c>
      <c r="F157" s="4">
        <v>125</v>
      </c>
    </row>
    <row r="158" spans="1:6" x14ac:dyDescent="0.35">
      <c r="A158">
        <v>10</v>
      </c>
      <c r="B158">
        <v>4</v>
      </c>
      <c r="C158" t="s">
        <v>161</v>
      </c>
      <c r="D158" s="4">
        <v>10</v>
      </c>
      <c r="E158" s="4">
        <v>14</v>
      </c>
      <c r="F158" s="4">
        <v>16</v>
      </c>
    </row>
    <row r="159" spans="1:6" x14ac:dyDescent="0.35">
      <c r="A159">
        <v>10</v>
      </c>
      <c r="B159">
        <v>5</v>
      </c>
      <c r="C159" t="s">
        <v>162</v>
      </c>
      <c r="D159" s="4">
        <v>25</v>
      </c>
      <c r="E159" s="4">
        <v>32</v>
      </c>
      <c r="F159" s="4">
        <v>35</v>
      </c>
    </row>
    <row r="160" spans="1:6" x14ac:dyDescent="0.35">
      <c r="A160">
        <v>10</v>
      </c>
      <c r="B160">
        <v>6</v>
      </c>
      <c r="C160" t="s">
        <v>163</v>
      </c>
      <c r="D160" s="4">
        <v>24</v>
      </c>
      <c r="E160" s="4">
        <v>36</v>
      </c>
      <c r="F160" s="4">
        <v>72</v>
      </c>
    </row>
    <row r="161" spans="1:6" x14ac:dyDescent="0.35">
      <c r="A161">
        <v>10</v>
      </c>
      <c r="B161">
        <v>7</v>
      </c>
      <c r="C161" t="s">
        <v>164</v>
      </c>
      <c r="D161" s="4">
        <v>5</v>
      </c>
      <c r="E161" s="4">
        <v>8</v>
      </c>
      <c r="F161" s="4">
        <v>12</v>
      </c>
    </row>
    <row r="162" spans="1:6" x14ac:dyDescent="0.35">
      <c r="A162">
        <v>10</v>
      </c>
      <c r="B162">
        <v>8</v>
      </c>
      <c r="C162" t="s">
        <v>165</v>
      </c>
      <c r="D162" s="4">
        <v>150</v>
      </c>
      <c r="E162" s="4">
        <v>200</v>
      </c>
      <c r="F162" s="4">
        <v>450</v>
      </c>
    </row>
    <row r="163" spans="1:6" x14ac:dyDescent="0.35">
      <c r="A163">
        <v>10</v>
      </c>
      <c r="B163">
        <v>9</v>
      </c>
      <c r="C163" t="s">
        <v>166</v>
      </c>
      <c r="D163" s="4">
        <v>6</v>
      </c>
      <c r="E163" s="4">
        <v>8</v>
      </c>
      <c r="F163" s="4">
        <v>15</v>
      </c>
    </row>
    <row r="164" spans="1:6" x14ac:dyDescent="0.35">
      <c r="A164">
        <v>10</v>
      </c>
      <c r="B164">
        <v>10</v>
      </c>
      <c r="C164" t="s">
        <v>167</v>
      </c>
      <c r="D164" s="4">
        <v>10</v>
      </c>
      <c r="E164" s="4">
        <v>20</v>
      </c>
      <c r="F164" s="4">
        <v>40</v>
      </c>
    </row>
    <row r="165" spans="1:6" x14ac:dyDescent="0.35">
      <c r="A165">
        <v>10</v>
      </c>
      <c r="B165">
        <v>11</v>
      </c>
      <c r="C165" t="s">
        <v>168</v>
      </c>
      <c r="D165" s="4">
        <v>0.3</v>
      </c>
      <c r="E165" s="4">
        <v>0.5</v>
      </c>
      <c r="F165" s="4">
        <v>1.5</v>
      </c>
    </row>
    <row r="166" spans="1:6" x14ac:dyDescent="0.35">
      <c r="A166">
        <v>10</v>
      </c>
      <c r="B166">
        <v>12</v>
      </c>
      <c r="C166" t="s">
        <v>169</v>
      </c>
      <c r="D166" s="4">
        <v>3</v>
      </c>
      <c r="E166" s="4">
        <v>6</v>
      </c>
      <c r="F166" s="4">
        <v>10</v>
      </c>
    </row>
    <row r="167" spans="1:6" x14ac:dyDescent="0.35">
      <c r="A167">
        <v>10</v>
      </c>
      <c r="B167">
        <v>13</v>
      </c>
      <c r="C167" t="s">
        <v>170</v>
      </c>
      <c r="D167" s="4">
        <v>2</v>
      </c>
      <c r="E167" s="4">
        <v>8</v>
      </c>
      <c r="F167" s="4">
        <v>12</v>
      </c>
    </row>
    <row r="168" spans="1:6" x14ac:dyDescent="0.35">
      <c r="A168">
        <v>10</v>
      </c>
      <c r="B168">
        <v>14</v>
      </c>
      <c r="C168" t="s">
        <v>171</v>
      </c>
      <c r="D168" s="4">
        <v>1.5</v>
      </c>
      <c r="E168" s="4">
        <v>3</v>
      </c>
      <c r="F168" s="4">
        <v>5</v>
      </c>
    </row>
    <row r="169" spans="1:6" x14ac:dyDescent="0.35">
      <c r="A169">
        <v>10</v>
      </c>
      <c r="B169">
        <v>15</v>
      </c>
      <c r="C169" t="s">
        <v>172</v>
      </c>
      <c r="D169" s="4">
        <v>0.4</v>
      </c>
      <c r="E169" s="4">
        <v>0.6</v>
      </c>
      <c r="F169" s="4">
        <v>1.5</v>
      </c>
    </row>
    <row r="170" spans="1:6" x14ac:dyDescent="0.35">
      <c r="A170">
        <v>10</v>
      </c>
      <c r="B170">
        <v>16</v>
      </c>
      <c r="C170" t="s">
        <v>173</v>
      </c>
      <c r="D170" s="4">
        <v>10</v>
      </c>
      <c r="E170" s="4">
        <v>60</v>
      </c>
      <c r="F170" s="4">
        <v>200</v>
      </c>
    </row>
    <row r="171" spans="1:6" x14ac:dyDescent="0.35">
      <c r="A171">
        <v>10</v>
      </c>
      <c r="B171">
        <v>17</v>
      </c>
      <c r="C171" t="s">
        <v>174</v>
      </c>
      <c r="D171" s="4">
        <v>4</v>
      </c>
      <c r="E171" s="4">
        <v>6</v>
      </c>
      <c r="F171" s="4">
        <v>9</v>
      </c>
    </row>
    <row r="172" spans="1:6" x14ac:dyDescent="0.35">
      <c r="A172">
        <v>11</v>
      </c>
      <c r="B172">
        <v>1</v>
      </c>
      <c r="C172" t="s">
        <v>158</v>
      </c>
      <c r="D172" s="4">
        <v>2</v>
      </c>
      <c r="E172" s="4">
        <v>4</v>
      </c>
      <c r="F172" s="4">
        <v>10</v>
      </c>
    </row>
    <row r="173" spans="1:6" x14ac:dyDescent="0.35">
      <c r="A173">
        <v>11</v>
      </c>
      <c r="B173">
        <v>2</v>
      </c>
      <c r="C173" t="s">
        <v>159</v>
      </c>
      <c r="D173" s="4">
        <v>5</v>
      </c>
      <c r="E173" s="4">
        <v>15</v>
      </c>
      <c r="F173" s="4">
        <v>30</v>
      </c>
    </row>
    <row r="174" spans="1:6" x14ac:dyDescent="0.35">
      <c r="A174">
        <v>11</v>
      </c>
      <c r="B174">
        <v>3</v>
      </c>
      <c r="C174" t="s">
        <v>160</v>
      </c>
      <c r="D174" s="4">
        <v>0.2</v>
      </c>
      <c r="E174" s="4">
        <v>10</v>
      </c>
      <c r="F174" s="4">
        <v>100</v>
      </c>
    </row>
    <row r="175" spans="1:6" x14ac:dyDescent="0.35">
      <c r="A175">
        <v>11</v>
      </c>
      <c r="B175">
        <v>4</v>
      </c>
      <c r="C175" t="s">
        <v>161</v>
      </c>
      <c r="D175" s="4">
        <v>10</v>
      </c>
      <c r="E175" s="4">
        <v>12</v>
      </c>
      <c r="F175" s="4">
        <v>18</v>
      </c>
    </row>
    <row r="176" spans="1:6" x14ac:dyDescent="0.35">
      <c r="A176">
        <v>11</v>
      </c>
      <c r="B176">
        <v>5</v>
      </c>
      <c r="C176" t="s">
        <v>162</v>
      </c>
      <c r="D176" s="4">
        <v>15</v>
      </c>
      <c r="E176" s="4">
        <v>22</v>
      </c>
      <c r="F176" s="4">
        <v>30</v>
      </c>
    </row>
    <row r="177" spans="1:6" x14ac:dyDescent="0.35">
      <c r="A177">
        <v>11</v>
      </c>
      <c r="B177">
        <v>6</v>
      </c>
      <c r="C177" t="s">
        <v>163</v>
      </c>
      <c r="D177" s="4">
        <v>5</v>
      </c>
      <c r="E177" s="4">
        <v>15</v>
      </c>
      <c r="F177" s="4">
        <v>20</v>
      </c>
    </row>
    <row r="178" spans="1:6" x14ac:dyDescent="0.35">
      <c r="A178">
        <v>11</v>
      </c>
      <c r="B178">
        <v>7</v>
      </c>
      <c r="C178" t="s">
        <v>164</v>
      </c>
      <c r="D178" s="4">
        <v>0.1</v>
      </c>
      <c r="E178" s="4">
        <v>5</v>
      </c>
      <c r="F178" s="4">
        <v>15</v>
      </c>
    </row>
    <row r="179" spans="1:6" x14ac:dyDescent="0.35">
      <c r="A179">
        <v>11</v>
      </c>
      <c r="B179">
        <v>8</v>
      </c>
      <c r="C179" t="s">
        <v>165</v>
      </c>
      <c r="D179" s="4">
        <v>150</v>
      </c>
      <c r="E179" s="4">
        <v>200</v>
      </c>
      <c r="F179" s="4">
        <v>300</v>
      </c>
    </row>
    <row r="180" spans="1:6" x14ac:dyDescent="0.35">
      <c r="A180">
        <v>11</v>
      </c>
      <c r="B180">
        <v>9</v>
      </c>
      <c r="C180" t="s">
        <v>166</v>
      </c>
      <c r="D180" s="4">
        <v>1</v>
      </c>
      <c r="E180" s="4">
        <v>10</v>
      </c>
      <c r="F180" s="4">
        <v>100</v>
      </c>
    </row>
    <row r="181" spans="1:6" x14ac:dyDescent="0.35">
      <c r="A181">
        <v>11</v>
      </c>
      <c r="B181">
        <v>10</v>
      </c>
      <c r="C181" t="s">
        <v>167</v>
      </c>
      <c r="D181" s="4">
        <v>1</v>
      </c>
      <c r="E181" s="4">
        <v>10</v>
      </c>
      <c r="F181" s="4">
        <v>100</v>
      </c>
    </row>
    <row r="182" spans="1:6" x14ac:dyDescent="0.35">
      <c r="A182">
        <v>11</v>
      </c>
      <c r="B182">
        <v>11</v>
      </c>
      <c r="C182" t="s">
        <v>168</v>
      </c>
      <c r="D182" s="4">
        <v>10</v>
      </c>
      <c r="E182" s="4">
        <v>50</v>
      </c>
      <c r="F182" s="4">
        <v>125</v>
      </c>
    </row>
    <row r="183" spans="1:6" x14ac:dyDescent="0.35">
      <c r="A183">
        <v>11</v>
      </c>
      <c r="B183">
        <v>12</v>
      </c>
      <c r="C183" t="s">
        <v>169</v>
      </c>
      <c r="D183" s="4">
        <v>5</v>
      </c>
      <c r="E183" s="4">
        <v>10</v>
      </c>
      <c r="F183" s="4">
        <v>20</v>
      </c>
    </row>
    <row r="184" spans="1:6" x14ac:dyDescent="0.35">
      <c r="A184">
        <v>11</v>
      </c>
      <c r="B184">
        <v>13</v>
      </c>
      <c r="C184" t="s">
        <v>170</v>
      </c>
      <c r="D184" s="4">
        <v>2</v>
      </c>
      <c r="E184" s="4">
        <v>5</v>
      </c>
      <c r="F184" s="4">
        <v>20</v>
      </c>
    </row>
    <row r="185" spans="1:6" x14ac:dyDescent="0.35">
      <c r="A185">
        <v>11</v>
      </c>
      <c r="B185">
        <v>14</v>
      </c>
      <c r="C185" t="s">
        <v>171</v>
      </c>
      <c r="D185" s="4">
        <v>5</v>
      </c>
      <c r="E185" s="4">
        <v>10</v>
      </c>
      <c r="F185" s="4">
        <v>25</v>
      </c>
    </row>
    <row r="186" spans="1:6" x14ac:dyDescent="0.35">
      <c r="A186">
        <v>11</v>
      </c>
      <c r="B186">
        <v>15</v>
      </c>
      <c r="C186" t="s">
        <v>172</v>
      </c>
      <c r="D186" s="4">
        <v>0.2</v>
      </c>
      <c r="E186" s="4">
        <v>1</v>
      </c>
      <c r="F186" s="4">
        <v>2</v>
      </c>
    </row>
    <row r="187" spans="1:6" x14ac:dyDescent="0.35">
      <c r="A187">
        <v>11</v>
      </c>
      <c r="B187">
        <v>16</v>
      </c>
      <c r="C187" t="s">
        <v>173</v>
      </c>
      <c r="D187" s="4">
        <v>10</v>
      </c>
      <c r="E187" s="4">
        <v>1000</v>
      </c>
      <c r="F187" s="4">
        <v>10000</v>
      </c>
    </row>
    <row r="188" spans="1:6" x14ac:dyDescent="0.35">
      <c r="A188">
        <v>11</v>
      </c>
      <c r="B188">
        <v>17</v>
      </c>
      <c r="C188" t="s">
        <v>174</v>
      </c>
      <c r="D188" s="4">
        <v>5</v>
      </c>
      <c r="E188" s="4">
        <v>15</v>
      </c>
      <c r="F188" s="4">
        <v>30</v>
      </c>
    </row>
    <row r="189" spans="1:6" x14ac:dyDescent="0.35">
      <c r="A189">
        <v>12</v>
      </c>
      <c r="B189">
        <v>1</v>
      </c>
      <c r="C189" t="s">
        <v>158</v>
      </c>
      <c r="D189" s="4">
        <v>0</v>
      </c>
      <c r="E189" s="4">
        <v>2</v>
      </c>
      <c r="F189" s="4">
        <v>5</v>
      </c>
    </row>
    <row r="190" spans="1:6" x14ac:dyDescent="0.35">
      <c r="A190">
        <v>12</v>
      </c>
      <c r="B190">
        <v>2</v>
      </c>
      <c r="C190" t="s">
        <v>159</v>
      </c>
      <c r="D190" s="4">
        <v>20</v>
      </c>
      <c r="E190" s="4">
        <v>40</v>
      </c>
      <c r="F190" s="4">
        <v>100</v>
      </c>
    </row>
    <row r="191" spans="1:6" x14ac:dyDescent="0.35">
      <c r="A191">
        <v>12</v>
      </c>
      <c r="B191">
        <v>3</v>
      </c>
      <c r="C191" t="s">
        <v>160</v>
      </c>
      <c r="D191" s="4">
        <v>5</v>
      </c>
      <c r="E191" s="4">
        <v>100</v>
      </c>
      <c r="F191" s="4">
        <v>500</v>
      </c>
    </row>
    <row r="192" spans="1:6" x14ac:dyDescent="0.35">
      <c r="A192">
        <v>12</v>
      </c>
      <c r="B192">
        <v>4</v>
      </c>
      <c r="C192" t="s">
        <v>161</v>
      </c>
      <c r="D192" s="4">
        <v>50</v>
      </c>
      <c r="E192" s="4">
        <v>55</v>
      </c>
      <c r="F192" s="4">
        <v>150</v>
      </c>
    </row>
    <row r="193" spans="1:6" x14ac:dyDescent="0.35">
      <c r="A193">
        <v>12</v>
      </c>
      <c r="B193">
        <v>5</v>
      </c>
      <c r="C193" t="s">
        <v>162</v>
      </c>
      <c r="D193" s="4">
        <v>10</v>
      </c>
      <c r="E193" s="4">
        <v>20</v>
      </c>
      <c r="F193" s="4">
        <v>30</v>
      </c>
    </row>
    <row r="194" spans="1:6" x14ac:dyDescent="0.35">
      <c r="A194">
        <v>12</v>
      </c>
      <c r="B194">
        <v>6</v>
      </c>
      <c r="C194" t="s">
        <v>163</v>
      </c>
      <c r="D194" s="4">
        <v>5</v>
      </c>
      <c r="E194" s="4">
        <v>18</v>
      </c>
      <c r="F194" s="4">
        <v>36</v>
      </c>
    </row>
    <row r="195" spans="1:6" x14ac:dyDescent="0.35">
      <c r="A195">
        <v>12</v>
      </c>
      <c r="B195">
        <v>7</v>
      </c>
      <c r="C195" t="s">
        <v>164</v>
      </c>
      <c r="D195" s="4">
        <v>0.2</v>
      </c>
      <c r="E195" s="4">
        <v>0.5</v>
      </c>
      <c r="F195" s="4">
        <v>10</v>
      </c>
    </row>
    <row r="196" spans="1:6" x14ac:dyDescent="0.35">
      <c r="A196">
        <v>12</v>
      </c>
      <c r="B196">
        <v>8</v>
      </c>
      <c r="C196" t="s">
        <v>165</v>
      </c>
      <c r="D196" s="4">
        <v>20</v>
      </c>
      <c r="E196" s="4">
        <v>30</v>
      </c>
      <c r="F196" s="4">
        <v>100</v>
      </c>
    </row>
    <row r="197" spans="1:6" x14ac:dyDescent="0.35">
      <c r="A197">
        <v>12</v>
      </c>
      <c r="B197">
        <v>9</v>
      </c>
      <c r="C197" t="s">
        <v>166</v>
      </c>
      <c r="D197" s="4">
        <v>1</v>
      </c>
      <c r="E197" s="4">
        <v>2</v>
      </c>
      <c r="F197" s="4">
        <v>50</v>
      </c>
    </row>
    <row r="198" spans="1:6" x14ac:dyDescent="0.35">
      <c r="A198">
        <v>12</v>
      </c>
      <c r="B198">
        <v>10</v>
      </c>
      <c r="C198" t="s">
        <v>167</v>
      </c>
      <c r="D198" s="4">
        <v>5000</v>
      </c>
      <c r="E198" s="4">
        <v>100000</v>
      </c>
      <c r="F198" s="4">
        <v>500000</v>
      </c>
    </row>
    <row r="199" spans="1:6" x14ac:dyDescent="0.35">
      <c r="A199">
        <v>12</v>
      </c>
      <c r="B199">
        <v>11</v>
      </c>
      <c r="C199" t="s">
        <v>168</v>
      </c>
      <c r="D199" s="4">
        <v>80</v>
      </c>
      <c r="E199" s="4">
        <v>150</v>
      </c>
      <c r="F199" s="4">
        <v>500</v>
      </c>
    </row>
    <row r="200" spans="1:6" x14ac:dyDescent="0.35">
      <c r="A200">
        <v>12</v>
      </c>
      <c r="B200">
        <v>12</v>
      </c>
      <c r="C200" t="s">
        <v>169</v>
      </c>
      <c r="D200" s="4">
        <v>1</v>
      </c>
      <c r="E200" s="4">
        <v>2</v>
      </c>
      <c r="F200" s="4">
        <v>5</v>
      </c>
    </row>
    <row r="201" spans="1:6" x14ac:dyDescent="0.35">
      <c r="A201">
        <v>12</v>
      </c>
      <c r="B201">
        <v>13</v>
      </c>
      <c r="C201" t="s">
        <v>170</v>
      </c>
      <c r="D201" s="4">
        <v>2</v>
      </c>
      <c r="E201" s="4">
        <v>4</v>
      </c>
      <c r="F201" s="4">
        <v>15</v>
      </c>
    </row>
    <row r="202" spans="1:6" x14ac:dyDescent="0.35">
      <c r="A202">
        <v>12</v>
      </c>
      <c r="B202">
        <v>14</v>
      </c>
      <c r="C202" t="s">
        <v>171</v>
      </c>
      <c r="D202" s="4">
        <v>5</v>
      </c>
      <c r="E202" s="4">
        <v>20</v>
      </c>
      <c r="F202" s="4">
        <v>30</v>
      </c>
    </row>
    <row r="203" spans="1:6" x14ac:dyDescent="0.35">
      <c r="A203">
        <v>12</v>
      </c>
      <c r="B203">
        <v>15</v>
      </c>
      <c r="C203" t="s">
        <v>172</v>
      </c>
      <c r="D203" s="4">
        <v>100</v>
      </c>
      <c r="E203" s="4">
        <v>1000</v>
      </c>
      <c r="F203" s="4">
        <v>3000</v>
      </c>
    </row>
    <row r="204" spans="1:6" x14ac:dyDescent="0.35">
      <c r="A204">
        <v>12</v>
      </c>
      <c r="B204">
        <v>16</v>
      </c>
      <c r="C204" t="s">
        <v>173</v>
      </c>
      <c r="D204" s="4">
        <v>20</v>
      </c>
      <c r="E204" s="4">
        <v>50</v>
      </c>
      <c r="F204" s="4">
        <v>100</v>
      </c>
    </row>
    <row r="205" spans="1:6" x14ac:dyDescent="0.35">
      <c r="A205">
        <v>12</v>
      </c>
      <c r="B205">
        <v>17</v>
      </c>
      <c r="C205" t="s">
        <v>174</v>
      </c>
      <c r="D205" s="4">
        <v>30</v>
      </c>
      <c r="E205" s="4">
        <v>50</v>
      </c>
      <c r="F205" s="4">
        <v>100</v>
      </c>
    </row>
    <row r="206" spans="1:6" x14ac:dyDescent="0.35">
      <c r="A206">
        <v>13</v>
      </c>
      <c r="B206">
        <v>1</v>
      </c>
      <c r="C206" t="s">
        <v>158</v>
      </c>
      <c r="D206" s="4">
        <v>0.9</v>
      </c>
      <c r="E206" s="4">
        <v>2.5</v>
      </c>
      <c r="F206" s="4">
        <v>5</v>
      </c>
    </row>
    <row r="207" spans="1:6" x14ac:dyDescent="0.35">
      <c r="A207">
        <v>13</v>
      </c>
      <c r="B207">
        <v>2</v>
      </c>
      <c r="C207" t="s">
        <v>159</v>
      </c>
      <c r="D207" s="4">
        <v>3</v>
      </c>
      <c r="E207" s="4">
        <v>7</v>
      </c>
      <c r="F207" s="4">
        <v>20</v>
      </c>
    </row>
    <row r="208" spans="1:6" x14ac:dyDescent="0.35">
      <c r="A208">
        <v>13</v>
      </c>
      <c r="B208">
        <v>3</v>
      </c>
      <c r="C208" t="s">
        <v>160</v>
      </c>
      <c r="D208" s="4">
        <v>200</v>
      </c>
      <c r="E208" s="4">
        <v>900</v>
      </c>
      <c r="F208" s="4">
        <v>2000</v>
      </c>
    </row>
    <row r="209" spans="1:6" x14ac:dyDescent="0.35">
      <c r="A209">
        <v>13</v>
      </c>
      <c r="B209">
        <v>4</v>
      </c>
      <c r="C209" t="s">
        <v>161</v>
      </c>
      <c r="D209" s="4">
        <v>1</v>
      </c>
      <c r="E209" s="4">
        <v>15</v>
      </c>
      <c r="F209" s="4">
        <v>80</v>
      </c>
    </row>
    <row r="210" spans="1:6" x14ac:dyDescent="0.35">
      <c r="A210">
        <v>13</v>
      </c>
      <c r="B210">
        <v>5</v>
      </c>
      <c r="C210" t="s">
        <v>162</v>
      </c>
      <c r="D210" s="4">
        <v>15</v>
      </c>
      <c r="E210" s="4">
        <v>22</v>
      </c>
      <c r="F210" s="4">
        <v>35</v>
      </c>
    </row>
    <row r="211" spans="1:6" x14ac:dyDescent="0.35">
      <c r="A211">
        <v>13</v>
      </c>
      <c r="B211">
        <v>6</v>
      </c>
      <c r="C211" t="s">
        <v>163</v>
      </c>
      <c r="D211" s="4">
        <v>10</v>
      </c>
      <c r="E211" s="4">
        <v>15</v>
      </c>
      <c r="F211" s="4">
        <v>30</v>
      </c>
    </row>
    <row r="212" spans="1:6" x14ac:dyDescent="0.35">
      <c r="A212">
        <v>13</v>
      </c>
      <c r="B212">
        <v>7</v>
      </c>
      <c r="C212" t="s">
        <v>164</v>
      </c>
      <c r="D212" s="4">
        <v>0.2</v>
      </c>
      <c r="E212" s="4">
        <v>6</v>
      </c>
      <c r="F212" s="4">
        <v>20</v>
      </c>
    </row>
    <row r="213" spans="1:6" x14ac:dyDescent="0.35">
      <c r="A213">
        <v>13</v>
      </c>
      <c r="B213">
        <v>8</v>
      </c>
      <c r="C213" t="s">
        <v>165</v>
      </c>
      <c r="D213" s="4">
        <v>1500</v>
      </c>
      <c r="E213" s="4">
        <v>2000</v>
      </c>
      <c r="F213" s="4">
        <v>3500</v>
      </c>
    </row>
    <row r="214" spans="1:6" x14ac:dyDescent="0.35">
      <c r="A214">
        <v>13</v>
      </c>
      <c r="B214">
        <v>9</v>
      </c>
      <c r="C214" t="s">
        <v>166</v>
      </c>
      <c r="D214" s="4">
        <v>1</v>
      </c>
      <c r="E214" s="4">
        <v>5</v>
      </c>
      <c r="F214" s="4">
        <v>30</v>
      </c>
    </row>
    <row r="215" spans="1:6" x14ac:dyDescent="0.35">
      <c r="A215">
        <v>13</v>
      </c>
      <c r="B215">
        <v>10</v>
      </c>
      <c r="C215" t="s">
        <v>167</v>
      </c>
      <c r="D215" s="4">
        <v>2000</v>
      </c>
      <c r="E215" s="4">
        <v>10000</v>
      </c>
      <c r="F215" s="4">
        <v>40000</v>
      </c>
    </row>
    <row r="216" spans="1:6" x14ac:dyDescent="0.35">
      <c r="A216">
        <v>13</v>
      </c>
      <c r="B216">
        <v>11</v>
      </c>
      <c r="C216" t="s">
        <v>168</v>
      </c>
      <c r="D216" s="4">
        <v>50</v>
      </c>
      <c r="E216" s="4">
        <v>150</v>
      </c>
      <c r="F216" s="4">
        <v>300</v>
      </c>
    </row>
    <row r="217" spans="1:6" x14ac:dyDescent="0.35">
      <c r="A217">
        <v>13</v>
      </c>
      <c r="B217">
        <v>12</v>
      </c>
      <c r="C217" t="s">
        <v>169</v>
      </c>
      <c r="D217" s="4">
        <v>50</v>
      </c>
      <c r="E217" s="4">
        <v>100</v>
      </c>
      <c r="F217" s="4">
        <v>250</v>
      </c>
    </row>
    <row r="218" spans="1:6" x14ac:dyDescent="0.35">
      <c r="A218">
        <v>13</v>
      </c>
      <c r="B218">
        <v>13</v>
      </c>
      <c r="C218" t="s">
        <v>170</v>
      </c>
      <c r="D218" s="4">
        <v>1</v>
      </c>
      <c r="E218" s="4">
        <v>30</v>
      </c>
      <c r="F218" s="4">
        <v>100</v>
      </c>
    </row>
    <row r="219" spans="1:6" x14ac:dyDescent="0.35">
      <c r="A219">
        <v>13</v>
      </c>
      <c r="B219">
        <v>14</v>
      </c>
      <c r="C219" t="s">
        <v>171</v>
      </c>
      <c r="D219" s="4">
        <v>0.3</v>
      </c>
      <c r="E219" s="4">
        <v>3</v>
      </c>
      <c r="F219" s="4">
        <v>6</v>
      </c>
    </row>
    <row r="220" spans="1:6" x14ac:dyDescent="0.35">
      <c r="A220">
        <v>13</v>
      </c>
      <c r="B220">
        <v>15</v>
      </c>
      <c r="C220" t="s">
        <v>172</v>
      </c>
      <c r="D220" s="4">
        <v>5</v>
      </c>
      <c r="E220" s="4">
        <v>20</v>
      </c>
      <c r="F220" s="4">
        <v>100</v>
      </c>
    </row>
    <row r="221" spans="1:6" x14ac:dyDescent="0.35">
      <c r="A221">
        <v>13</v>
      </c>
      <c r="B221">
        <v>16</v>
      </c>
      <c r="C221" t="s">
        <v>173</v>
      </c>
      <c r="D221" s="4">
        <v>50</v>
      </c>
      <c r="E221" s="4">
        <v>300</v>
      </c>
      <c r="F221" s="4">
        <v>900</v>
      </c>
    </row>
    <row r="222" spans="1:6" x14ac:dyDescent="0.35">
      <c r="A222">
        <v>13</v>
      </c>
      <c r="B222">
        <v>17</v>
      </c>
      <c r="C222" t="s">
        <v>174</v>
      </c>
      <c r="D222" s="4">
        <v>4</v>
      </c>
      <c r="E222" s="4">
        <v>10</v>
      </c>
      <c r="F222" s="4">
        <v>25</v>
      </c>
    </row>
    <row r="223" spans="1:6" x14ac:dyDescent="0.35">
      <c r="A223">
        <v>14</v>
      </c>
      <c r="B223">
        <v>1</v>
      </c>
      <c r="C223" t="s">
        <v>158</v>
      </c>
      <c r="D223" s="4">
        <v>1.5</v>
      </c>
      <c r="E223" s="4">
        <v>3.5</v>
      </c>
      <c r="F223" s="4">
        <v>6</v>
      </c>
    </row>
    <row r="224" spans="1:6" x14ac:dyDescent="0.35">
      <c r="A224">
        <v>14</v>
      </c>
      <c r="B224">
        <v>2</v>
      </c>
      <c r="C224" t="s">
        <v>159</v>
      </c>
      <c r="D224" s="4">
        <v>4</v>
      </c>
      <c r="E224" s="4">
        <v>12</v>
      </c>
      <c r="F224" s="4">
        <v>23</v>
      </c>
    </row>
    <row r="225" spans="1:6" x14ac:dyDescent="0.35">
      <c r="A225">
        <v>14</v>
      </c>
      <c r="B225">
        <v>3</v>
      </c>
      <c r="C225" t="s">
        <v>160</v>
      </c>
      <c r="D225" s="4">
        <v>20</v>
      </c>
      <c r="E225" s="4">
        <v>70</v>
      </c>
      <c r="F225" s="4">
        <v>150</v>
      </c>
    </row>
    <row r="226" spans="1:6" x14ac:dyDescent="0.35">
      <c r="A226">
        <v>14</v>
      </c>
      <c r="B226">
        <v>4</v>
      </c>
      <c r="C226" t="s">
        <v>161</v>
      </c>
      <c r="D226" s="4">
        <v>10</v>
      </c>
      <c r="E226" s="4">
        <v>12</v>
      </c>
      <c r="F226" s="4">
        <v>18</v>
      </c>
    </row>
    <row r="227" spans="1:6" x14ac:dyDescent="0.35">
      <c r="A227">
        <v>14</v>
      </c>
      <c r="B227">
        <v>5</v>
      </c>
      <c r="C227" t="s">
        <v>162</v>
      </c>
      <c r="D227" s="4">
        <v>27</v>
      </c>
      <c r="E227" s="4">
        <v>35</v>
      </c>
      <c r="F227" s="4">
        <v>42</v>
      </c>
    </row>
    <row r="228" spans="1:6" x14ac:dyDescent="0.35">
      <c r="A228">
        <v>14</v>
      </c>
      <c r="B228">
        <v>6</v>
      </c>
      <c r="C228" t="s">
        <v>163</v>
      </c>
      <c r="D228" s="4">
        <v>5</v>
      </c>
      <c r="E228" s="4">
        <v>24</v>
      </c>
      <c r="F228" s="4">
        <v>50</v>
      </c>
    </row>
    <row r="229" spans="1:6" x14ac:dyDescent="0.35">
      <c r="A229">
        <v>14</v>
      </c>
      <c r="B229">
        <v>7</v>
      </c>
      <c r="C229" t="s">
        <v>164</v>
      </c>
      <c r="D229" s="4">
        <v>1</v>
      </c>
      <c r="E229" s="4">
        <v>10</v>
      </c>
      <c r="F229" s="4">
        <v>30</v>
      </c>
    </row>
    <row r="230" spans="1:6" x14ac:dyDescent="0.35">
      <c r="A230">
        <v>14</v>
      </c>
      <c r="B230">
        <v>8</v>
      </c>
      <c r="C230" t="s">
        <v>165</v>
      </c>
      <c r="D230" s="4">
        <v>200</v>
      </c>
      <c r="E230" s="4">
        <v>1000</v>
      </c>
      <c r="F230" s="4">
        <v>3000</v>
      </c>
    </row>
    <row r="231" spans="1:6" x14ac:dyDescent="0.35">
      <c r="A231">
        <v>14</v>
      </c>
      <c r="B231">
        <v>9</v>
      </c>
      <c r="C231" t="s">
        <v>166</v>
      </c>
      <c r="D231" s="4">
        <v>1.5</v>
      </c>
      <c r="E231" s="4">
        <v>3</v>
      </c>
      <c r="F231" s="4">
        <v>8</v>
      </c>
    </row>
    <row r="232" spans="1:6" x14ac:dyDescent="0.35">
      <c r="A232">
        <v>14</v>
      </c>
      <c r="B232">
        <v>10</v>
      </c>
      <c r="C232" t="s">
        <v>167</v>
      </c>
      <c r="D232" s="4">
        <v>2</v>
      </c>
      <c r="E232" s="4">
        <v>10</v>
      </c>
      <c r="F232" s="4">
        <v>30</v>
      </c>
    </row>
    <row r="233" spans="1:6" x14ac:dyDescent="0.35">
      <c r="A233">
        <v>14</v>
      </c>
      <c r="B233">
        <v>11</v>
      </c>
      <c r="C233" t="s">
        <v>168</v>
      </c>
      <c r="D233" s="4">
        <v>20</v>
      </c>
      <c r="E233" s="4">
        <v>200</v>
      </c>
      <c r="F233" s="4">
        <v>1000</v>
      </c>
    </row>
    <row r="234" spans="1:6" x14ac:dyDescent="0.35">
      <c r="A234">
        <v>14</v>
      </c>
      <c r="B234">
        <v>12</v>
      </c>
      <c r="C234" t="s">
        <v>169</v>
      </c>
      <c r="D234" s="4">
        <v>3</v>
      </c>
      <c r="E234" s="4">
        <v>8</v>
      </c>
      <c r="F234" s="4">
        <v>150</v>
      </c>
    </row>
    <row r="235" spans="1:6" x14ac:dyDescent="0.35">
      <c r="A235">
        <v>14</v>
      </c>
      <c r="B235">
        <v>13</v>
      </c>
      <c r="C235" t="s">
        <v>170</v>
      </c>
      <c r="D235" s="4">
        <v>1</v>
      </c>
      <c r="E235" s="4">
        <v>30</v>
      </c>
      <c r="F235" s="4">
        <v>500</v>
      </c>
    </row>
    <row r="236" spans="1:6" x14ac:dyDescent="0.35">
      <c r="A236">
        <v>14</v>
      </c>
      <c r="B236">
        <v>14</v>
      </c>
      <c r="C236" t="s">
        <v>171</v>
      </c>
      <c r="D236" s="4">
        <v>11</v>
      </c>
      <c r="E236" s="4">
        <v>14</v>
      </c>
      <c r="F236" s="4">
        <v>18</v>
      </c>
    </row>
    <row r="237" spans="1:6" x14ac:dyDescent="0.35">
      <c r="A237">
        <v>14</v>
      </c>
      <c r="B237">
        <v>15</v>
      </c>
      <c r="C237" t="s">
        <v>172</v>
      </c>
      <c r="D237" s="4">
        <v>0.05</v>
      </c>
      <c r="E237" s="4">
        <v>0.3</v>
      </c>
      <c r="F237" s="4">
        <v>1</v>
      </c>
    </row>
    <row r="238" spans="1:6" x14ac:dyDescent="0.35">
      <c r="A238">
        <v>14</v>
      </c>
      <c r="B238">
        <v>16</v>
      </c>
      <c r="C238" t="s">
        <v>173</v>
      </c>
      <c r="D238" s="4">
        <v>100</v>
      </c>
      <c r="E238" s="4">
        <v>5000</v>
      </c>
      <c r="F238" s="4">
        <v>30000</v>
      </c>
    </row>
    <row r="239" spans="1:6" x14ac:dyDescent="0.35">
      <c r="A239">
        <v>14</v>
      </c>
      <c r="B239">
        <v>17</v>
      </c>
      <c r="C239" t="s">
        <v>174</v>
      </c>
      <c r="D239" s="4">
        <v>1.5</v>
      </c>
      <c r="E239" s="4">
        <v>5</v>
      </c>
      <c r="F239" s="4">
        <v>10</v>
      </c>
    </row>
    <row r="240" spans="1:6" x14ac:dyDescent="0.35">
      <c r="A240">
        <v>15</v>
      </c>
      <c r="B240">
        <v>1</v>
      </c>
      <c r="C240" t="s">
        <v>158</v>
      </c>
      <c r="D240" s="4">
        <v>1</v>
      </c>
      <c r="E240" s="4">
        <v>2</v>
      </c>
      <c r="F240" s="4">
        <v>4</v>
      </c>
    </row>
    <row r="241" spans="1:6" x14ac:dyDescent="0.35">
      <c r="A241">
        <v>15</v>
      </c>
      <c r="B241">
        <v>2</v>
      </c>
      <c r="C241" t="s">
        <v>159</v>
      </c>
      <c r="D241" s="4">
        <v>2</v>
      </c>
      <c r="E241" s="4">
        <v>4</v>
      </c>
      <c r="F241" s="4">
        <v>8</v>
      </c>
    </row>
    <row r="242" spans="1:6" x14ac:dyDescent="0.35">
      <c r="A242">
        <v>15</v>
      </c>
      <c r="B242">
        <v>3</v>
      </c>
      <c r="C242" t="s">
        <v>160</v>
      </c>
      <c r="D242" s="4">
        <v>10</v>
      </c>
      <c r="E242" s="4">
        <v>100</v>
      </c>
      <c r="F242" s="4">
        <v>1000</v>
      </c>
    </row>
    <row r="243" spans="1:6" x14ac:dyDescent="0.35">
      <c r="A243">
        <v>15</v>
      </c>
      <c r="B243">
        <v>4</v>
      </c>
      <c r="C243" t="s">
        <v>161</v>
      </c>
      <c r="D243" s="4">
        <v>50</v>
      </c>
      <c r="E243" s="4">
        <v>100</v>
      </c>
      <c r="F243" s="4">
        <v>300</v>
      </c>
    </row>
    <row r="244" spans="1:6" x14ac:dyDescent="0.35">
      <c r="A244">
        <v>15</v>
      </c>
      <c r="B244">
        <v>5</v>
      </c>
      <c r="C244" t="s">
        <v>162</v>
      </c>
      <c r="D244" s="4">
        <v>10</v>
      </c>
      <c r="E244" s="4">
        <v>30</v>
      </c>
      <c r="F244" s="4">
        <v>40</v>
      </c>
    </row>
    <row r="245" spans="1:6" x14ac:dyDescent="0.35">
      <c r="A245">
        <v>15</v>
      </c>
      <c r="B245">
        <v>6</v>
      </c>
      <c r="C245" t="s">
        <v>163</v>
      </c>
      <c r="D245" s="4">
        <v>5</v>
      </c>
      <c r="E245" s="4">
        <v>10</v>
      </c>
      <c r="F245" s="4">
        <v>20</v>
      </c>
    </row>
    <row r="246" spans="1:6" x14ac:dyDescent="0.35">
      <c r="A246">
        <v>15</v>
      </c>
      <c r="B246">
        <v>7</v>
      </c>
      <c r="C246" t="s">
        <v>164</v>
      </c>
      <c r="D246" s="4">
        <v>0.05</v>
      </c>
      <c r="E246" s="4">
        <v>1</v>
      </c>
      <c r="F246" s="4">
        <v>5</v>
      </c>
    </row>
    <row r="247" spans="1:6" x14ac:dyDescent="0.35">
      <c r="A247">
        <v>15</v>
      </c>
      <c r="B247">
        <v>8</v>
      </c>
      <c r="C247" t="s">
        <v>165</v>
      </c>
      <c r="D247" s="4">
        <v>100</v>
      </c>
      <c r="E247" s="4">
        <v>500</v>
      </c>
      <c r="F247" s="4">
        <v>2000</v>
      </c>
    </row>
    <row r="248" spans="1:6" x14ac:dyDescent="0.35">
      <c r="A248">
        <v>15</v>
      </c>
      <c r="B248">
        <v>9</v>
      </c>
      <c r="C248" t="s">
        <v>166</v>
      </c>
      <c r="D248" s="4">
        <v>50</v>
      </c>
      <c r="E248" s="4">
        <v>500</v>
      </c>
      <c r="F248" s="4">
        <v>2000</v>
      </c>
    </row>
    <row r="249" spans="1:6" x14ac:dyDescent="0.35">
      <c r="A249">
        <v>15</v>
      </c>
      <c r="B249">
        <v>10</v>
      </c>
      <c r="C249" t="s">
        <v>167</v>
      </c>
      <c r="D249" s="4">
        <v>5</v>
      </c>
      <c r="E249" s="4">
        <v>50</v>
      </c>
      <c r="F249" s="4">
        <v>100</v>
      </c>
    </row>
    <row r="250" spans="1:6" x14ac:dyDescent="0.35">
      <c r="A250">
        <v>15</v>
      </c>
      <c r="B250">
        <v>11</v>
      </c>
      <c r="C250" t="s">
        <v>168</v>
      </c>
      <c r="D250" s="4">
        <v>5</v>
      </c>
      <c r="E250" s="4">
        <v>20</v>
      </c>
      <c r="F250" s="4">
        <v>100</v>
      </c>
    </row>
    <row r="251" spans="1:6" x14ac:dyDescent="0.35">
      <c r="A251">
        <v>15</v>
      </c>
      <c r="B251">
        <v>12</v>
      </c>
      <c r="C251" t="s">
        <v>169</v>
      </c>
      <c r="D251" s="4">
        <v>1</v>
      </c>
      <c r="E251" s="4">
        <v>5</v>
      </c>
      <c r="F251" s="4">
        <v>10</v>
      </c>
    </row>
    <row r="252" spans="1:6" x14ac:dyDescent="0.35">
      <c r="A252">
        <v>15</v>
      </c>
      <c r="B252">
        <v>13</v>
      </c>
      <c r="C252" t="s">
        <v>170</v>
      </c>
      <c r="D252" s="4">
        <v>0.1</v>
      </c>
      <c r="E252" s="4">
        <v>2</v>
      </c>
      <c r="F252" s="4">
        <v>20</v>
      </c>
    </row>
    <row r="253" spans="1:6" x14ac:dyDescent="0.35">
      <c r="A253">
        <v>15</v>
      </c>
      <c r="B253">
        <v>14</v>
      </c>
      <c r="C253" t="s">
        <v>171</v>
      </c>
      <c r="D253" s="4">
        <v>2</v>
      </c>
      <c r="E253" s="4">
        <v>5</v>
      </c>
      <c r="F253" s="4">
        <v>15</v>
      </c>
    </row>
    <row r="254" spans="1:6" x14ac:dyDescent="0.35">
      <c r="A254">
        <v>15</v>
      </c>
      <c r="B254">
        <v>15</v>
      </c>
      <c r="C254" t="s">
        <v>172</v>
      </c>
      <c r="D254" s="4">
        <v>0.01</v>
      </c>
      <c r="E254" s="4">
        <v>0.1</v>
      </c>
      <c r="F254" s="4">
        <v>5</v>
      </c>
    </row>
    <row r="255" spans="1:6" x14ac:dyDescent="0.35">
      <c r="A255">
        <v>15</v>
      </c>
      <c r="B255">
        <v>16</v>
      </c>
      <c r="C255" t="s">
        <v>173</v>
      </c>
      <c r="D255" s="4">
        <v>10</v>
      </c>
      <c r="E255" s="4">
        <v>50</v>
      </c>
      <c r="F255" s="4">
        <v>200</v>
      </c>
    </row>
    <row r="256" spans="1:6" x14ac:dyDescent="0.35">
      <c r="A256">
        <v>15</v>
      </c>
      <c r="B256">
        <v>17</v>
      </c>
      <c r="C256" t="s">
        <v>174</v>
      </c>
      <c r="D256" s="4">
        <v>2</v>
      </c>
      <c r="E256" s="4">
        <v>10</v>
      </c>
      <c r="F256" s="4">
        <v>15</v>
      </c>
    </row>
    <row r="257" spans="1:6" x14ac:dyDescent="0.35">
      <c r="A257">
        <v>16</v>
      </c>
      <c r="B257">
        <v>1</v>
      </c>
      <c r="C257" t="s">
        <v>158</v>
      </c>
      <c r="D257" s="4">
        <v>1</v>
      </c>
      <c r="E257" s="4">
        <v>6</v>
      </c>
      <c r="F257" s="4">
        <v>10</v>
      </c>
    </row>
    <row r="258" spans="1:6" x14ac:dyDescent="0.35">
      <c r="A258">
        <v>16</v>
      </c>
      <c r="B258">
        <v>2</v>
      </c>
      <c r="C258" t="s">
        <v>159</v>
      </c>
      <c r="D258" s="4">
        <v>3.5</v>
      </c>
      <c r="E258" s="4">
        <v>7</v>
      </c>
      <c r="F258" s="4">
        <v>35</v>
      </c>
    </row>
    <row r="259" spans="1:6" x14ac:dyDescent="0.35">
      <c r="A259">
        <v>16</v>
      </c>
      <c r="B259">
        <v>3</v>
      </c>
      <c r="C259" t="s">
        <v>160</v>
      </c>
      <c r="D259" s="4">
        <v>2.5</v>
      </c>
      <c r="E259" s="4">
        <v>50</v>
      </c>
      <c r="F259" s="4">
        <v>5000</v>
      </c>
    </row>
    <row r="260" spans="1:6" x14ac:dyDescent="0.35">
      <c r="A260">
        <v>16</v>
      </c>
      <c r="B260">
        <v>4</v>
      </c>
      <c r="C260" t="s">
        <v>161</v>
      </c>
      <c r="D260" s="4">
        <v>1</v>
      </c>
      <c r="E260" s="4">
        <v>10</v>
      </c>
      <c r="F260" s="4">
        <v>100</v>
      </c>
    </row>
    <row r="261" spans="1:6" x14ac:dyDescent="0.35">
      <c r="A261">
        <v>16</v>
      </c>
      <c r="B261">
        <v>5</v>
      </c>
      <c r="C261" t="s">
        <v>162</v>
      </c>
      <c r="D261" s="4">
        <v>8</v>
      </c>
      <c r="E261" s="4">
        <v>16</v>
      </c>
      <c r="F261" s="4">
        <v>25</v>
      </c>
    </row>
    <row r="262" spans="1:6" x14ac:dyDescent="0.35">
      <c r="A262">
        <v>16</v>
      </c>
      <c r="B262">
        <v>6</v>
      </c>
      <c r="C262" t="s">
        <v>163</v>
      </c>
      <c r="D262" s="4">
        <v>1</v>
      </c>
      <c r="E262" s="4">
        <v>4</v>
      </c>
      <c r="F262" s="4">
        <v>36</v>
      </c>
    </row>
    <row r="263" spans="1:6" x14ac:dyDescent="0.35">
      <c r="A263">
        <v>16</v>
      </c>
      <c r="B263">
        <v>7</v>
      </c>
      <c r="C263" t="s">
        <v>164</v>
      </c>
      <c r="D263" s="4">
        <v>0.25</v>
      </c>
      <c r="E263" s="4">
        <v>15</v>
      </c>
      <c r="F263" s="4">
        <v>150</v>
      </c>
    </row>
    <row r="264" spans="1:6" x14ac:dyDescent="0.35">
      <c r="A264">
        <v>16</v>
      </c>
      <c r="B264">
        <v>8</v>
      </c>
      <c r="C264" t="s">
        <v>165</v>
      </c>
      <c r="D264" s="4">
        <v>25</v>
      </c>
      <c r="E264" s="4">
        <v>500</v>
      </c>
      <c r="F264" s="4">
        <v>2500</v>
      </c>
    </row>
    <row r="265" spans="1:6" x14ac:dyDescent="0.35">
      <c r="A265">
        <v>16</v>
      </c>
      <c r="B265">
        <v>9</v>
      </c>
      <c r="C265" t="s">
        <v>166</v>
      </c>
      <c r="D265" s="4">
        <v>3</v>
      </c>
      <c r="E265" s="4">
        <v>30</v>
      </c>
      <c r="F265" s="4">
        <v>3000</v>
      </c>
    </row>
    <row r="266" spans="1:6" x14ac:dyDescent="0.35">
      <c r="A266">
        <v>16</v>
      </c>
      <c r="B266">
        <v>10</v>
      </c>
      <c r="C266" t="s">
        <v>167</v>
      </c>
      <c r="D266" s="4">
        <v>50</v>
      </c>
      <c r="E266" s="4">
        <v>500</v>
      </c>
      <c r="F266" s="4">
        <v>50000</v>
      </c>
    </row>
    <row r="267" spans="1:6" x14ac:dyDescent="0.35">
      <c r="A267">
        <v>16</v>
      </c>
      <c r="B267">
        <v>11</v>
      </c>
      <c r="C267" t="s">
        <v>168</v>
      </c>
      <c r="D267" s="4">
        <v>0.02</v>
      </c>
      <c r="E267" s="4">
        <v>2</v>
      </c>
      <c r="F267" s="4">
        <v>2500</v>
      </c>
    </row>
    <row r="268" spans="1:6" x14ac:dyDescent="0.35">
      <c r="A268">
        <v>16</v>
      </c>
      <c r="B268">
        <v>12</v>
      </c>
      <c r="C268" t="s">
        <v>169</v>
      </c>
      <c r="D268" s="4">
        <v>2.8</v>
      </c>
      <c r="E268" s="4">
        <v>5</v>
      </c>
      <c r="F268" s="4">
        <v>100</v>
      </c>
    </row>
    <row r="269" spans="1:6" x14ac:dyDescent="0.35">
      <c r="A269">
        <v>16</v>
      </c>
      <c r="B269">
        <v>13</v>
      </c>
      <c r="C269" t="s">
        <v>170</v>
      </c>
      <c r="D269" s="4">
        <v>0.01</v>
      </c>
      <c r="E269" s="4">
        <v>0.2</v>
      </c>
      <c r="F269" s="4">
        <v>5</v>
      </c>
    </row>
    <row r="270" spans="1:6" x14ac:dyDescent="0.35">
      <c r="A270">
        <v>16</v>
      </c>
      <c r="B270">
        <v>14</v>
      </c>
      <c r="C270" t="s">
        <v>171</v>
      </c>
      <c r="D270" s="4">
        <v>2.5</v>
      </c>
      <c r="E270" s="4">
        <v>25</v>
      </c>
      <c r="F270" s="4">
        <v>100</v>
      </c>
    </row>
    <row r="271" spans="1:6" x14ac:dyDescent="0.35">
      <c r="A271">
        <v>16</v>
      </c>
      <c r="B271">
        <v>15</v>
      </c>
      <c r="C271" t="s">
        <v>172</v>
      </c>
      <c r="D271" s="4">
        <v>1</v>
      </c>
      <c r="E271" s="4">
        <v>10</v>
      </c>
      <c r="F271" s="4">
        <v>1000</v>
      </c>
    </row>
    <row r="272" spans="1:6" x14ac:dyDescent="0.35">
      <c r="A272">
        <v>16</v>
      </c>
      <c r="B272">
        <v>16</v>
      </c>
      <c r="C272" t="s">
        <v>173</v>
      </c>
      <c r="D272" s="4">
        <v>2</v>
      </c>
      <c r="E272" s="4">
        <v>200</v>
      </c>
      <c r="F272" s="4">
        <v>2000</v>
      </c>
    </row>
    <row r="273" spans="1:6" x14ac:dyDescent="0.35">
      <c r="A273">
        <v>16</v>
      </c>
      <c r="B273">
        <v>17</v>
      </c>
      <c r="C273" t="s">
        <v>174</v>
      </c>
      <c r="D273" s="4">
        <v>2</v>
      </c>
      <c r="E273" s="4">
        <v>15</v>
      </c>
      <c r="F273" s="4">
        <v>35</v>
      </c>
    </row>
    <row r="274" spans="1:6" x14ac:dyDescent="0.35">
      <c r="A274">
        <v>17</v>
      </c>
      <c r="B274">
        <v>1</v>
      </c>
      <c r="C274" t="s">
        <v>158</v>
      </c>
      <c r="D274" s="4">
        <v>4</v>
      </c>
      <c r="E274" s="4">
        <v>5</v>
      </c>
      <c r="F274" s="4">
        <v>8</v>
      </c>
    </row>
    <row r="275" spans="1:6" x14ac:dyDescent="0.35">
      <c r="A275">
        <v>17</v>
      </c>
      <c r="B275">
        <v>2</v>
      </c>
      <c r="C275" t="s">
        <v>159</v>
      </c>
      <c r="D275" s="4">
        <v>6</v>
      </c>
      <c r="E275" s="4">
        <v>10</v>
      </c>
      <c r="F275" s="4">
        <v>15</v>
      </c>
    </row>
    <row r="276" spans="1:6" x14ac:dyDescent="0.35">
      <c r="A276">
        <v>17</v>
      </c>
      <c r="B276">
        <v>3</v>
      </c>
      <c r="C276" t="s">
        <v>160</v>
      </c>
      <c r="D276" s="4">
        <v>10</v>
      </c>
      <c r="E276" s="4">
        <v>25</v>
      </c>
      <c r="F276" s="4">
        <v>50</v>
      </c>
    </row>
    <row r="277" spans="1:6" x14ac:dyDescent="0.35">
      <c r="A277">
        <v>17</v>
      </c>
      <c r="B277">
        <v>4</v>
      </c>
      <c r="C277" t="s">
        <v>161</v>
      </c>
      <c r="D277" s="4">
        <v>10</v>
      </c>
      <c r="E277" s="4">
        <v>15</v>
      </c>
      <c r="F277" s="4">
        <v>50</v>
      </c>
    </row>
    <row r="278" spans="1:6" x14ac:dyDescent="0.35">
      <c r="A278">
        <v>17</v>
      </c>
      <c r="B278">
        <v>5</v>
      </c>
      <c r="C278" t="s">
        <v>162</v>
      </c>
      <c r="D278" s="4">
        <v>20</v>
      </c>
      <c r="E278" s="4">
        <v>30</v>
      </c>
      <c r="F278" s="4">
        <v>50</v>
      </c>
    </row>
    <row r="279" spans="1:6" x14ac:dyDescent="0.35">
      <c r="A279">
        <v>17</v>
      </c>
      <c r="B279">
        <v>6</v>
      </c>
      <c r="C279" t="s">
        <v>163</v>
      </c>
      <c r="D279" s="4">
        <v>3</v>
      </c>
      <c r="E279" s="4">
        <v>4</v>
      </c>
      <c r="F279" s="4">
        <v>6</v>
      </c>
    </row>
    <row r="280" spans="1:6" x14ac:dyDescent="0.35">
      <c r="A280">
        <v>17</v>
      </c>
      <c r="B280">
        <v>7</v>
      </c>
      <c r="C280" t="s">
        <v>164</v>
      </c>
      <c r="D280" s="4">
        <v>10</v>
      </c>
      <c r="E280" s="4">
        <v>12</v>
      </c>
      <c r="F280" s="4">
        <v>20</v>
      </c>
    </row>
    <row r="281" spans="1:6" x14ac:dyDescent="0.35">
      <c r="A281">
        <v>17</v>
      </c>
      <c r="B281">
        <v>8</v>
      </c>
      <c r="C281" t="s">
        <v>165</v>
      </c>
      <c r="D281" s="4">
        <v>180</v>
      </c>
      <c r="E281" s="4">
        <v>280</v>
      </c>
      <c r="F281" s="4">
        <v>300</v>
      </c>
    </row>
    <row r="282" spans="1:6" x14ac:dyDescent="0.35">
      <c r="A282">
        <v>17</v>
      </c>
      <c r="B282">
        <v>9</v>
      </c>
      <c r="C282" t="s">
        <v>166</v>
      </c>
      <c r="D282" s="4">
        <v>3</v>
      </c>
      <c r="E282" s="4">
        <v>10</v>
      </c>
      <c r="F282" s="4">
        <v>55</v>
      </c>
    </row>
    <row r="283" spans="1:6" x14ac:dyDescent="0.35">
      <c r="A283">
        <v>17</v>
      </c>
      <c r="B283">
        <v>10</v>
      </c>
      <c r="C283" t="s">
        <v>167</v>
      </c>
      <c r="D283" s="4">
        <v>100</v>
      </c>
      <c r="E283" s="4">
        <v>250</v>
      </c>
      <c r="F283" s="4">
        <v>1000</v>
      </c>
    </row>
    <row r="284" spans="1:6" x14ac:dyDescent="0.35">
      <c r="A284">
        <v>17</v>
      </c>
      <c r="B284">
        <v>11</v>
      </c>
      <c r="C284" t="s">
        <v>168</v>
      </c>
      <c r="D284" s="4">
        <v>5</v>
      </c>
      <c r="E284" s="4">
        <v>8</v>
      </c>
      <c r="F284" s="4">
        <v>40</v>
      </c>
    </row>
    <row r="285" spans="1:6" x14ac:dyDescent="0.35">
      <c r="A285">
        <v>17</v>
      </c>
      <c r="B285">
        <v>12</v>
      </c>
      <c r="C285" t="s">
        <v>169</v>
      </c>
      <c r="D285" s="4">
        <v>2</v>
      </c>
      <c r="E285" s="4">
        <v>3</v>
      </c>
      <c r="F285" s="4">
        <v>10</v>
      </c>
    </row>
    <row r="286" spans="1:6" x14ac:dyDescent="0.35">
      <c r="A286">
        <v>17</v>
      </c>
      <c r="B286">
        <v>13</v>
      </c>
      <c r="C286" t="s">
        <v>170</v>
      </c>
      <c r="D286" s="4">
        <v>5</v>
      </c>
      <c r="E286" s="4">
        <v>7</v>
      </c>
      <c r="F286" s="4">
        <v>12</v>
      </c>
    </row>
    <row r="287" spans="1:6" x14ac:dyDescent="0.35">
      <c r="A287">
        <v>17</v>
      </c>
      <c r="B287">
        <v>14</v>
      </c>
      <c r="C287" t="s">
        <v>171</v>
      </c>
      <c r="D287" s="4">
        <v>4</v>
      </c>
      <c r="E287" s="4">
        <v>7</v>
      </c>
      <c r="F287" s="4">
        <v>12</v>
      </c>
    </row>
    <row r="288" spans="1:6" x14ac:dyDescent="0.35">
      <c r="A288">
        <v>17</v>
      </c>
      <c r="B288">
        <v>15</v>
      </c>
      <c r="C288" t="s">
        <v>172</v>
      </c>
      <c r="D288" s="4">
        <v>50</v>
      </c>
      <c r="E288" s="4">
        <v>100</v>
      </c>
      <c r="F288" s="4">
        <v>250</v>
      </c>
    </row>
    <row r="289" spans="1:6" x14ac:dyDescent="0.35">
      <c r="A289">
        <v>17</v>
      </c>
      <c r="B289">
        <v>16</v>
      </c>
      <c r="C289" t="s">
        <v>173</v>
      </c>
      <c r="D289" s="4">
        <v>3500</v>
      </c>
      <c r="E289" s="4">
        <v>5000</v>
      </c>
      <c r="F289" s="4">
        <v>10000</v>
      </c>
    </row>
    <row r="290" spans="1:6" x14ac:dyDescent="0.35">
      <c r="A290">
        <v>17</v>
      </c>
      <c r="B290">
        <v>17</v>
      </c>
      <c r="C290" t="s">
        <v>174</v>
      </c>
      <c r="D290" s="4">
        <v>3</v>
      </c>
      <c r="E290" s="4">
        <v>5</v>
      </c>
      <c r="F290" s="4">
        <v>7</v>
      </c>
    </row>
    <row r="291" spans="1:6" x14ac:dyDescent="0.35">
      <c r="A291">
        <v>18</v>
      </c>
      <c r="B291">
        <v>1</v>
      </c>
      <c r="C291" t="s">
        <v>158</v>
      </c>
      <c r="D291" s="4">
        <v>6</v>
      </c>
      <c r="E291" s="4">
        <v>9</v>
      </c>
      <c r="F291" s="4">
        <v>15</v>
      </c>
    </row>
    <row r="292" spans="1:6" x14ac:dyDescent="0.35">
      <c r="A292">
        <v>18</v>
      </c>
      <c r="B292">
        <v>2</v>
      </c>
      <c r="C292" t="s">
        <v>159</v>
      </c>
      <c r="D292" s="4">
        <v>10</v>
      </c>
      <c r="E292" s="4">
        <v>20</v>
      </c>
      <c r="F292" s="4">
        <v>35</v>
      </c>
    </row>
    <row r="293" spans="1:6" x14ac:dyDescent="0.35">
      <c r="A293">
        <v>18</v>
      </c>
      <c r="B293">
        <v>3</v>
      </c>
      <c r="C293" t="s">
        <v>160</v>
      </c>
      <c r="D293" s="4">
        <v>3</v>
      </c>
      <c r="E293" s="4">
        <v>12</v>
      </c>
      <c r="F293" s="4">
        <v>35</v>
      </c>
    </row>
    <row r="294" spans="1:6" x14ac:dyDescent="0.35">
      <c r="A294">
        <v>18</v>
      </c>
      <c r="B294">
        <v>4</v>
      </c>
      <c r="C294" t="s">
        <v>161</v>
      </c>
      <c r="D294" s="4">
        <v>10</v>
      </c>
      <c r="E294" s="4">
        <v>20</v>
      </c>
      <c r="F294" s="4">
        <v>30</v>
      </c>
    </row>
    <row r="295" spans="1:6" x14ac:dyDescent="0.35">
      <c r="A295">
        <v>18</v>
      </c>
      <c r="B295">
        <v>5</v>
      </c>
      <c r="C295" t="s">
        <v>162</v>
      </c>
      <c r="D295" s="4">
        <v>25</v>
      </c>
      <c r="E295" s="4">
        <v>35</v>
      </c>
      <c r="F295" s="4">
        <v>45</v>
      </c>
    </row>
    <row r="296" spans="1:6" x14ac:dyDescent="0.35">
      <c r="A296">
        <v>18</v>
      </c>
      <c r="B296">
        <v>6</v>
      </c>
      <c r="C296" t="s">
        <v>163</v>
      </c>
      <c r="D296" s="4">
        <v>6</v>
      </c>
      <c r="E296" s="4">
        <v>36</v>
      </c>
      <c r="F296" s="4">
        <v>60</v>
      </c>
    </row>
    <row r="297" spans="1:6" x14ac:dyDescent="0.35">
      <c r="A297">
        <v>18</v>
      </c>
      <c r="B297">
        <v>7</v>
      </c>
      <c r="C297" t="s">
        <v>164</v>
      </c>
      <c r="D297" s="4">
        <v>2</v>
      </c>
      <c r="E297" s="4">
        <v>6</v>
      </c>
      <c r="F297" s="4">
        <v>15</v>
      </c>
    </row>
    <row r="298" spans="1:6" x14ac:dyDescent="0.35">
      <c r="A298">
        <v>18</v>
      </c>
      <c r="B298">
        <v>8</v>
      </c>
      <c r="C298" t="s">
        <v>165</v>
      </c>
      <c r="D298" s="4">
        <v>100</v>
      </c>
      <c r="E298" s="4">
        <v>250</v>
      </c>
      <c r="F298" s="4">
        <v>400</v>
      </c>
    </row>
    <row r="299" spans="1:6" x14ac:dyDescent="0.35">
      <c r="A299">
        <v>18</v>
      </c>
      <c r="B299">
        <v>9</v>
      </c>
      <c r="C299" t="s">
        <v>166</v>
      </c>
      <c r="D299" s="4">
        <v>15</v>
      </c>
      <c r="E299" s="4">
        <v>30</v>
      </c>
      <c r="F299" s="4">
        <v>100</v>
      </c>
    </row>
    <row r="300" spans="1:6" x14ac:dyDescent="0.35">
      <c r="A300">
        <v>18</v>
      </c>
      <c r="B300">
        <v>10</v>
      </c>
      <c r="C300" t="s">
        <v>167</v>
      </c>
      <c r="D300" s="4">
        <v>100</v>
      </c>
      <c r="E300" s="4">
        <v>300</v>
      </c>
      <c r="F300" s="4">
        <v>1000</v>
      </c>
    </row>
    <row r="301" spans="1:6" x14ac:dyDescent="0.35">
      <c r="A301">
        <v>18</v>
      </c>
      <c r="B301">
        <v>11</v>
      </c>
      <c r="C301" t="s">
        <v>168</v>
      </c>
      <c r="D301" s="4">
        <v>10</v>
      </c>
      <c r="E301" s="4">
        <v>30</v>
      </c>
      <c r="F301" s="4">
        <v>90</v>
      </c>
    </row>
    <row r="302" spans="1:6" x14ac:dyDescent="0.35">
      <c r="A302">
        <v>18</v>
      </c>
      <c r="B302">
        <v>12</v>
      </c>
      <c r="C302" t="s">
        <v>169</v>
      </c>
      <c r="D302" s="4">
        <v>6</v>
      </c>
      <c r="E302" s="4">
        <v>15</v>
      </c>
      <c r="F302" s="4">
        <v>45</v>
      </c>
    </row>
    <row r="303" spans="1:6" x14ac:dyDescent="0.35">
      <c r="A303">
        <v>18</v>
      </c>
      <c r="B303">
        <v>13</v>
      </c>
      <c r="C303" t="s">
        <v>170</v>
      </c>
      <c r="D303" s="4">
        <v>5</v>
      </c>
      <c r="E303" s="4">
        <v>15</v>
      </c>
      <c r="F303" s="4">
        <v>35</v>
      </c>
    </row>
    <row r="304" spans="1:6" x14ac:dyDescent="0.35">
      <c r="A304">
        <v>18</v>
      </c>
      <c r="B304">
        <v>14</v>
      </c>
      <c r="C304" t="s">
        <v>171</v>
      </c>
      <c r="D304" s="4">
        <v>7</v>
      </c>
      <c r="E304" s="4">
        <v>10</v>
      </c>
      <c r="F304" s="4">
        <v>16</v>
      </c>
    </row>
    <row r="305" spans="1:6" x14ac:dyDescent="0.35">
      <c r="A305">
        <v>18</v>
      </c>
      <c r="B305">
        <v>15</v>
      </c>
      <c r="C305" t="s">
        <v>172</v>
      </c>
      <c r="D305" s="4">
        <v>0.1</v>
      </c>
      <c r="E305" s="4">
        <v>0.5</v>
      </c>
      <c r="F305" s="4">
        <v>5</v>
      </c>
    </row>
    <row r="306" spans="1:6" x14ac:dyDescent="0.35">
      <c r="A306">
        <v>18</v>
      </c>
      <c r="B306">
        <v>16</v>
      </c>
      <c r="C306" t="s">
        <v>173</v>
      </c>
      <c r="D306" s="4">
        <v>100</v>
      </c>
      <c r="E306" s="4">
        <v>400</v>
      </c>
      <c r="F306" s="4">
        <v>1000</v>
      </c>
    </row>
    <row r="307" spans="1:6" x14ac:dyDescent="0.35">
      <c r="A307">
        <v>18</v>
      </c>
      <c r="B307">
        <v>17</v>
      </c>
      <c r="C307" t="s">
        <v>174</v>
      </c>
      <c r="D307" s="4">
        <v>9</v>
      </c>
      <c r="E307" s="4">
        <v>18</v>
      </c>
      <c r="F307" s="4">
        <v>35</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46"/>
  <dimension ref="A1:H337"/>
  <sheetViews>
    <sheetView workbookViewId="0"/>
  </sheetViews>
  <sheetFormatPr defaultRowHeight="14.5" x14ac:dyDescent="0.35"/>
  <sheetData>
    <row r="1" spans="1:8" x14ac:dyDescent="0.35">
      <c r="A1" t="s">
        <v>192</v>
      </c>
      <c r="H1" t="s">
        <v>58</v>
      </c>
    </row>
    <row r="2" spans="1:8" x14ac:dyDescent="0.35">
      <c r="A2">
        <v>1</v>
      </c>
      <c r="B2">
        <v>1</v>
      </c>
      <c r="C2" t="s">
        <v>176</v>
      </c>
      <c r="D2" s="4">
        <v>9</v>
      </c>
      <c r="E2" s="4">
        <v>15</v>
      </c>
      <c r="F2" s="4">
        <v>30</v>
      </c>
      <c r="H2" s="4">
        <v>10</v>
      </c>
    </row>
    <row r="3" spans="1:8" x14ac:dyDescent="0.35">
      <c r="A3">
        <v>1</v>
      </c>
      <c r="B3">
        <v>2</v>
      </c>
      <c r="C3" t="s">
        <v>177</v>
      </c>
      <c r="D3" s="4">
        <v>0.1</v>
      </c>
      <c r="E3" s="4">
        <v>3</v>
      </c>
      <c r="F3" s="4">
        <v>10</v>
      </c>
      <c r="H3" s="4">
        <v>100</v>
      </c>
    </row>
    <row r="4" spans="1:8" x14ac:dyDescent="0.35">
      <c r="A4">
        <v>1</v>
      </c>
      <c r="B4">
        <v>3</v>
      </c>
      <c r="C4" t="s">
        <v>178</v>
      </c>
      <c r="D4" s="4">
        <v>15</v>
      </c>
      <c r="E4" s="4">
        <v>30</v>
      </c>
      <c r="F4" s="4">
        <v>40</v>
      </c>
      <c r="H4" s="4">
        <v>15.9</v>
      </c>
    </row>
    <row r="5" spans="1:8" x14ac:dyDescent="0.35">
      <c r="A5">
        <v>1</v>
      </c>
      <c r="B5">
        <v>4</v>
      </c>
      <c r="C5" t="s">
        <v>179</v>
      </c>
      <c r="D5" s="4">
        <v>8760</v>
      </c>
      <c r="E5" s="4">
        <v>15520</v>
      </c>
      <c r="F5" s="4">
        <v>35040</v>
      </c>
      <c r="H5" s="4">
        <v>6.5</v>
      </c>
    </row>
    <row r="6" spans="1:8" x14ac:dyDescent="0.35">
      <c r="A6">
        <v>1</v>
      </c>
      <c r="B6">
        <v>5</v>
      </c>
      <c r="C6" t="s">
        <v>180</v>
      </c>
      <c r="D6" s="4">
        <v>3</v>
      </c>
      <c r="E6" s="4">
        <v>10</v>
      </c>
      <c r="F6" s="4">
        <v>20</v>
      </c>
      <c r="H6" s="4">
        <v>0.66</v>
      </c>
    </row>
    <row r="7" spans="1:8" x14ac:dyDescent="0.35">
      <c r="A7">
        <v>1</v>
      </c>
      <c r="B7">
        <v>6</v>
      </c>
      <c r="C7" t="s">
        <v>181</v>
      </c>
      <c r="D7" s="4">
        <v>0.1</v>
      </c>
      <c r="E7" s="4">
        <v>1</v>
      </c>
      <c r="F7" s="4">
        <v>10</v>
      </c>
      <c r="H7" s="4">
        <v>11.4</v>
      </c>
    </row>
    <row r="8" spans="1:8" x14ac:dyDescent="0.35">
      <c r="A8">
        <v>1</v>
      </c>
      <c r="B8">
        <v>7</v>
      </c>
      <c r="C8" t="s">
        <v>182</v>
      </c>
      <c r="D8" s="4">
        <v>20</v>
      </c>
      <c r="E8" s="4">
        <v>50</v>
      </c>
      <c r="F8" s="4">
        <v>200</v>
      </c>
      <c r="H8" s="4">
        <v>62</v>
      </c>
    </row>
    <row r="9" spans="1:8" x14ac:dyDescent="0.35">
      <c r="A9">
        <v>1</v>
      </c>
      <c r="B9">
        <v>8</v>
      </c>
      <c r="C9" t="s">
        <v>183</v>
      </c>
      <c r="D9" s="4">
        <v>5</v>
      </c>
      <c r="E9" s="4">
        <v>20</v>
      </c>
      <c r="F9" s="4">
        <v>40</v>
      </c>
      <c r="H9" s="4">
        <v>9</v>
      </c>
    </row>
    <row r="10" spans="1:8" x14ac:dyDescent="0.35">
      <c r="A10">
        <v>1</v>
      </c>
      <c r="B10">
        <v>9</v>
      </c>
      <c r="C10" t="s">
        <v>184</v>
      </c>
      <c r="D10" s="4">
        <v>10</v>
      </c>
      <c r="E10" s="4">
        <v>20</v>
      </c>
      <c r="F10" s="4">
        <v>50</v>
      </c>
      <c r="H10" s="4">
        <v>83.8</v>
      </c>
    </row>
    <row r="11" spans="1:8" x14ac:dyDescent="0.35">
      <c r="A11">
        <v>1</v>
      </c>
      <c r="B11">
        <v>10</v>
      </c>
      <c r="C11" t="s">
        <v>185</v>
      </c>
      <c r="D11" s="4">
        <v>3</v>
      </c>
      <c r="E11" s="4">
        <v>10</v>
      </c>
      <c r="F11" s="4">
        <v>20</v>
      </c>
      <c r="H11" s="4">
        <v>18.2</v>
      </c>
    </row>
    <row r="12" spans="1:8" x14ac:dyDescent="0.35">
      <c r="A12">
        <v>1</v>
      </c>
      <c r="B12">
        <v>11</v>
      </c>
      <c r="C12" t="s">
        <v>186</v>
      </c>
      <c r="D12" s="4">
        <v>5000</v>
      </c>
      <c r="E12" s="4">
        <v>10000</v>
      </c>
      <c r="F12" s="4">
        <v>30000</v>
      </c>
      <c r="H12" s="4">
        <v>6000</v>
      </c>
    </row>
    <row r="13" spans="1:8" x14ac:dyDescent="0.35">
      <c r="A13">
        <v>1</v>
      </c>
      <c r="B13">
        <v>12</v>
      </c>
      <c r="C13" t="s">
        <v>187</v>
      </c>
      <c r="D13" s="4">
        <v>1</v>
      </c>
      <c r="E13" s="4">
        <v>10</v>
      </c>
      <c r="F13" s="4">
        <v>30</v>
      </c>
      <c r="H13" s="4">
        <v>35</v>
      </c>
    </row>
    <row r="14" spans="1:8" x14ac:dyDescent="0.35">
      <c r="A14">
        <v>1</v>
      </c>
      <c r="B14">
        <v>13</v>
      </c>
      <c r="C14" t="s">
        <v>188</v>
      </c>
      <c r="D14" s="4">
        <v>4</v>
      </c>
      <c r="E14" s="4">
        <v>5</v>
      </c>
      <c r="F14" s="4">
        <v>6.1</v>
      </c>
      <c r="H14" s="4">
        <v>6</v>
      </c>
    </row>
    <row r="15" spans="1:8" x14ac:dyDescent="0.35">
      <c r="A15">
        <v>1</v>
      </c>
      <c r="B15">
        <v>14</v>
      </c>
      <c r="C15" t="s">
        <v>189</v>
      </c>
      <c r="D15" s="4">
        <v>90</v>
      </c>
      <c r="E15" s="4">
        <v>100</v>
      </c>
      <c r="F15" s="4">
        <v>200</v>
      </c>
      <c r="H15" s="4">
        <v>98</v>
      </c>
    </row>
    <row r="16" spans="1:8" x14ac:dyDescent="0.35">
      <c r="A16">
        <v>1</v>
      </c>
      <c r="B16">
        <v>15</v>
      </c>
      <c r="C16" t="s">
        <v>190</v>
      </c>
      <c r="D16" s="4">
        <v>5</v>
      </c>
      <c r="E16" s="4">
        <v>10</v>
      </c>
      <c r="F16" s="4">
        <v>20</v>
      </c>
      <c r="H16" s="4">
        <v>-6.5</v>
      </c>
    </row>
    <row r="17" spans="1:8" x14ac:dyDescent="0.35">
      <c r="A17">
        <v>1</v>
      </c>
      <c r="B17">
        <v>16</v>
      </c>
      <c r="C17" t="s">
        <v>191</v>
      </c>
      <c r="D17" s="4">
        <v>0.1</v>
      </c>
      <c r="E17" s="4">
        <v>1</v>
      </c>
      <c r="F17" s="4">
        <v>5</v>
      </c>
      <c r="H17" s="4">
        <v>250</v>
      </c>
    </row>
    <row r="18" spans="1:8" x14ac:dyDescent="0.35">
      <c r="A18">
        <v>2</v>
      </c>
      <c r="B18">
        <v>1</v>
      </c>
      <c r="C18" t="s">
        <v>176</v>
      </c>
      <c r="D18" s="4">
        <v>3</v>
      </c>
      <c r="E18" s="4">
        <v>6</v>
      </c>
      <c r="F18" s="4">
        <v>12</v>
      </c>
    </row>
    <row r="19" spans="1:8" x14ac:dyDescent="0.35">
      <c r="A19">
        <v>2</v>
      </c>
      <c r="B19">
        <v>2</v>
      </c>
      <c r="C19" t="s">
        <v>177</v>
      </c>
      <c r="D19" s="4">
        <v>2000</v>
      </c>
      <c r="E19" s="4">
        <v>15000</v>
      </c>
      <c r="F19" s="4">
        <v>65000</v>
      </c>
    </row>
    <row r="20" spans="1:8" x14ac:dyDescent="0.35">
      <c r="A20">
        <v>2</v>
      </c>
      <c r="B20">
        <v>3</v>
      </c>
      <c r="C20" t="s">
        <v>178</v>
      </c>
      <c r="D20" s="4">
        <v>5</v>
      </c>
      <c r="E20" s="4">
        <v>10</v>
      </c>
      <c r="F20" s="4">
        <v>15</v>
      </c>
    </row>
    <row r="21" spans="1:8" x14ac:dyDescent="0.35">
      <c r="A21">
        <v>2</v>
      </c>
      <c r="B21">
        <v>4</v>
      </c>
      <c r="C21" t="s">
        <v>179</v>
      </c>
      <c r="D21" s="4">
        <v>720</v>
      </c>
      <c r="E21" s="4">
        <v>2160</v>
      </c>
      <c r="F21" s="4">
        <v>4320</v>
      </c>
    </row>
    <row r="22" spans="1:8" x14ac:dyDescent="0.35">
      <c r="A22">
        <v>2</v>
      </c>
      <c r="B22">
        <v>5</v>
      </c>
      <c r="C22" t="s">
        <v>180</v>
      </c>
      <c r="D22" s="4">
        <v>0.5</v>
      </c>
      <c r="E22" s="4">
        <v>0.66</v>
      </c>
      <c r="F22" s="4">
        <v>1</v>
      </c>
    </row>
    <row r="23" spans="1:8" x14ac:dyDescent="0.35">
      <c r="A23">
        <v>2</v>
      </c>
      <c r="B23">
        <v>6</v>
      </c>
      <c r="C23" t="s">
        <v>181</v>
      </c>
      <c r="D23" s="4">
        <v>0.1</v>
      </c>
      <c r="E23" s="4">
        <v>5</v>
      </c>
      <c r="F23" s="4">
        <v>10</v>
      </c>
    </row>
    <row r="24" spans="1:8" x14ac:dyDescent="0.35">
      <c r="A24">
        <v>2</v>
      </c>
      <c r="B24">
        <v>7</v>
      </c>
      <c r="C24" t="s">
        <v>182</v>
      </c>
      <c r="D24" s="4">
        <v>2</v>
      </c>
      <c r="E24" s="4">
        <v>10</v>
      </c>
      <c r="F24" s="4">
        <v>20</v>
      </c>
    </row>
    <row r="25" spans="1:8" x14ac:dyDescent="0.35">
      <c r="A25">
        <v>2</v>
      </c>
      <c r="B25">
        <v>8</v>
      </c>
      <c r="C25" t="s">
        <v>183</v>
      </c>
      <c r="D25" s="4">
        <v>200</v>
      </c>
      <c r="E25" s="4">
        <v>350</v>
      </c>
      <c r="F25" s="4">
        <v>500</v>
      </c>
    </row>
    <row r="26" spans="1:8" x14ac:dyDescent="0.35">
      <c r="A26">
        <v>2</v>
      </c>
      <c r="B26">
        <v>9</v>
      </c>
      <c r="C26" t="s">
        <v>184</v>
      </c>
      <c r="D26" s="4">
        <v>9.9999999999999995E-7</v>
      </c>
      <c r="E26" s="4">
        <v>30</v>
      </c>
      <c r="F26" s="4">
        <v>100</v>
      </c>
    </row>
    <row r="27" spans="1:8" x14ac:dyDescent="0.35">
      <c r="A27">
        <v>2</v>
      </c>
      <c r="B27">
        <v>10</v>
      </c>
      <c r="C27" t="s">
        <v>185</v>
      </c>
      <c r="D27" s="4">
        <v>1</v>
      </c>
      <c r="E27" s="4">
        <v>2</v>
      </c>
      <c r="F27" s="4">
        <v>5</v>
      </c>
    </row>
    <row r="28" spans="1:8" x14ac:dyDescent="0.35">
      <c r="A28">
        <v>2</v>
      </c>
      <c r="B28">
        <v>11</v>
      </c>
      <c r="C28" t="s">
        <v>186</v>
      </c>
      <c r="D28" s="4">
        <v>0.01</v>
      </c>
      <c r="E28" s="4">
        <v>0.1</v>
      </c>
      <c r="F28" s="4">
        <v>1</v>
      </c>
    </row>
    <row r="29" spans="1:8" x14ac:dyDescent="0.35">
      <c r="A29">
        <v>2</v>
      </c>
      <c r="B29">
        <v>12</v>
      </c>
      <c r="C29" t="s">
        <v>187</v>
      </c>
      <c r="D29" s="4">
        <v>10</v>
      </c>
      <c r="E29" s="4">
        <v>30</v>
      </c>
      <c r="F29" s="4">
        <v>50</v>
      </c>
    </row>
    <row r="30" spans="1:8" x14ac:dyDescent="0.35">
      <c r="A30">
        <v>2</v>
      </c>
      <c r="B30">
        <v>13</v>
      </c>
      <c r="C30" t="s">
        <v>188</v>
      </c>
      <c r="D30" s="4">
        <v>2</v>
      </c>
      <c r="E30" s="4">
        <v>4</v>
      </c>
      <c r="F30" s="4">
        <v>6.1</v>
      </c>
    </row>
    <row r="31" spans="1:8" x14ac:dyDescent="0.35">
      <c r="A31">
        <v>2</v>
      </c>
      <c r="B31">
        <v>14</v>
      </c>
      <c r="C31" t="s">
        <v>189</v>
      </c>
      <c r="D31" s="4">
        <v>20</v>
      </c>
      <c r="E31" s="4">
        <v>86</v>
      </c>
      <c r="F31" s="4">
        <v>100</v>
      </c>
    </row>
    <row r="32" spans="1:8" x14ac:dyDescent="0.35">
      <c r="A32">
        <v>2</v>
      </c>
      <c r="B32">
        <v>15</v>
      </c>
      <c r="C32" t="s">
        <v>190</v>
      </c>
      <c r="D32" s="4">
        <v>-10</v>
      </c>
      <c r="E32" s="4">
        <v>-5</v>
      </c>
      <c r="F32" s="4">
        <v>-3</v>
      </c>
    </row>
    <row r="33" spans="1:6" x14ac:dyDescent="0.35">
      <c r="A33">
        <v>2</v>
      </c>
      <c r="B33">
        <v>16</v>
      </c>
      <c r="C33" t="s">
        <v>191</v>
      </c>
      <c r="D33" s="4">
        <v>1000</v>
      </c>
      <c r="E33" s="4">
        <v>2000</v>
      </c>
      <c r="F33" s="4">
        <v>3000</v>
      </c>
    </row>
    <row r="34" spans="1:6" x14ac:dyDescent="0.35">
      <c r="A34">
        <v>3</v>
      </c>
      <c r="B34">
        <v>1</v>
      </c>
      <c r="C34" t="s">
        <v>176</v>
      </c>
      <c r="D34" s="4">
        <v>5</v>
      </c>
      <c r="E34" s="4">
        <v>20</v>
      </c>
      <c r="F34" s="4">
        <v>30</v>
      </c>
    </row>
    <row r="35" spans="1:6" x14ac:dyDescent="0.35">
      <c r="A35">
        <v>3</v>
      </c>
      <c r="B35">
        <v>2</v>
      </c>
      <c r="C35" t="s">
        <v>177</v>
      </c>
      <c r="D35" s="4">
        <v>40</v>
      </c>
      <c r="E35" s="4">
        <v>80</v>
      </c>
      <c r="F35" s="4">
        <v>101</v>
      </c>
    </row>
    <row r="36" spans="1:6" x14ac:dyDescent="0.35">
      <c r="A36">
        <v>3</v>
      </c>
      <c r="B36">
        <v>3</v>
      </c>
      <c r="C36" t="s">
        <v>178</v>
      </c>
      <c r="D36" s="4">
        <v>10</v>
      </c>
      <c r="E36" s="4">
        <v>20</v>
      </c>
      <c r="F36" s="4">
        <v>40</v>
      </c>
    </row>
    <row r="37" spans="1:6" x14ac:dyDescent="0.35">
      <c r="A37">
        <v>3</v>
      </c>
      <c r="B37">
        <v>4</v>
      </c>
      <c r="C37" t="s">
        <v>179</v>
      </c>
      <c r="D37" s="4">
        <v>48</v>
      </c>
      <c r="E37" s="4">
        <v>336</v>
      </c>
      <c r="F37" s="4">
        <v>17520</v>
      </c>
    </row>
    <row r="38" spans="1:6" x14ac:dyDescent="0.35">
      <c r="A38">
        <v>3</v>
      </c>
      <c r="B38">
        <v>5</v>
      </c>
      <c r="C38" t="s">
        <v>180</v>
      </c>
      <c r="D38" s="4">
        <v>1</v>
      </c>
      <c r="E38" s="4">
        <v>3</v>
      </c>
      <c r="F38" s="4">
        <v>5</v>
      </c>
    </row>
    <row r="39" spans="1:6" x14ac:dyDescent="0.35">
      <c r="A39">
        <v>3</v>
      </c>
      <c r="B39">
        <v>6</v>
      </c>
      <c r="C39" t="s">
        <v>181</v>
      </c>
      <c r="D39" s="4">
        <v>5</v>
      </c>
      <c r="E39" s="4">
        <v>10</v>
      </c>
      <c r="F39" s="4">
        <v>100</v>
      </c>
    </row>
    <row r="40" spans="1:6" x14ac:dyDescent="0.35">
      <c r="A40">
        <v>3</v>
      </c>
      <c r="B40">
        <v>7</v>
      </c>
      <c r="C40" t="s">
        <v>182</v>
      </c>
      <c r="D40" s="4">
        <v>100</v>
      </c>
      <c r="E40" s="4">
        <v>150</v>
      </c>
      <c r="F40" s="4">
        <v>300</v>
      </c>
    </row>
    <row r="41" spans="1:6" x14ac:dyDescent="0.35">
      <c r="A41">
        <v>3</v>
      </c>
      <c r="B41">
        <v>8</v>
      </c>
      <c r="C41" t="s">
        <v>183</v>
      </c>
      <c r="D41" s="4">
        <v>2</v>
      </c>
      <c r="E41" s="4">
        <v>3</v>
      </c>
      <c r="F41" s="4">
        <v>4</v>
      </c>
    </row>
    <row r="42" spans="1:6" x14ac:dyDescent="0.35">
      <c r="A42">
        <v>3</v>
      </c>
      <c r="B42">
        <v>9</v>
      </c>
      <c r="C42" t="s">
        <v>184</v>
      </c>
      <c r="D42" s="4">
        <v>10</v>
      </c>
      <c r="E42" s="4">
        <v>50</v>
      </c>
      <c r="F42" s="4">
        <v>100</v>
      </c>
    </row>
    <row r="43" spans="1:6" x14ac:dyDescent="0.35">
      <c r="A43">
        <v>3</v>
      </c>
      <c r="B43">
        <v>10</v>
      </c>
      <c r="C43" t="s">
        <v>185</v>
      </c>
      <c r="D43" s="4">
        <v>20</v>
      </c>
      <c r="E43" s="4">
        <v>200</v>
      </c>
      <c r="F43" s="4">
        <v>2000</v>
      </c>
    </row>
    <row r="44" spans="1:6" x14ac:dyDescent="0.35">
      <c r="A44">
        <v>3</v>
      </c>
      <c r="B44">
        <v>11</v>
      </c>
      <c r="C44" t="s">
        <v>186</v>
      </c>
      <c r="D44" s="4">
        <v>200</v>
      </c>
      <c r="E44" s="4">
        <v>2000</v>
      </c>
      <c r="F44" s="4">
        <v>20000</v>
      </c>
    </row>
    <row r="45" spans="1:6" x14ac:dyDescent="0.35">
      <c r="A45">
        <v>3</v>
      </c>
      <c r="B45">
        <v>12</v>
      </c>
      <c r="C45" t="s">
        <v>187</v>
      </c>
      <c r="D45" s="4">
        <v>40</v>
      </c>
      <c r="E45" s="4">
        <v>80</v>
      </c>
      <c r="F45" s="4">
        <v>100</v>
      </c>
    </row>
    <row r="46" spans="1:6" x14ac:dyDescent="0.35">
      <c r="A46">
        <v>3</v>
      </c>
      <c r="B46">
        <v>13</v>
      </c>
      <c r="C46" t="s">
        <v>188</v>
      </c>
      <c r="D46" s="4">
        <v>4</v>
      </c>
      <c r="E46" s="4">
        <v>6</v>
      </c>
      <c r="F46" s="4">
        <v>10</v>
      </c>
    </row>
    <row r="47" spans="1:6" x14ac:dyDescent="0.35">
      <c r="A47">
        <v>3</v>
      </c>
      <c r="B47">
        <v>14</v>
      </c>
      <c r="C47" t="s">
        <v>189</v>
      </c>
      <c r="D47" s="4">
        <v>180</v>
      </c>
      <c r="E47" s="4">
        <v>200</v>
      </c>
      <c r="F47" s="4">
        <v>500</v>
      </c>
    </row>
    <row r="48" spans="1:6" x14ac:dyDescent="0.35">
      <c r="A48">
        <v>3</v>
      </c>
      <c r="B48">
        <v>15</v>
      </c>
      <c r="C48" t="s">
        <v>190</v>
      </c>
      <c r="D48" s="4">
        <v>1</v>
      </c>
      <c r="E48" s="4">
        <v>2</v>
      </c>
      <c r="F48" s="4">
        <v>3</v>
      </c>
    </row>
    <row r="49" spans="1:6" x14ac:dyDescent="0.35">
      <c r="A49">
        <v>3</v>
      </c>
      <c r="B49">
        <v>16</v>
      </c>
      <c r="C49" t="s">
        <v>191</v>
      </c>
      <c r="D49" s="4">
        <v>10</v>
      </c>
      <c r="E49" s="4">
        <v>100</v>
      </c>
      <c r="F49" s="4">
        <v>1000</v>
      </c>
    </row>
    <row r="50" spans="1:6" x14ac:dyDescent="0.35">
      <c r="A50">
        <v>4</v>
      </c>
      <c r="B50">
        <v>1</v>
      </c>
      <c r="C50" t="s">
        <v>176</v>
      </c>
      <c r="D50" s="4">
        <v>20</v>
      </c>
      <c r="E50" s="4">
        <v>50</v>
      </c>
      <c r="F50" s="4">
        <v>70</v>
      </c>
    </row>
    <row r="51" spans="1:6" x14ac:dyDescent="0.35">
      <c r="A51">
        <v>4</v>
      </c>
      <c r="B51">
        <v>2</v>
      </c>
      <c r="C51" t="s">
        <v>177</v>
      </c>
      <c r="D51" s="4">
        <v>99</v>
      </c>
      <c r="E51" s="4">
        <v>1000</v>
      </c>
      <c r="F51" s="4">
        <v>5000</v>
      </c>
    </row>
    <row r="52" spans="1:6" x14ac:dyDescent="0.35">
      <c r="A52">
        <v>4</v>
      </c>
      <c r="B52">
        <v>3</v>
      </c>
      <c r="C52" t="s">
        <v>178</v>
      </c>
      <c r="D52" s="4">
        <v>3</v>
      </c>
      <c r="E52" s="4">
        <v>10</v>
      </c>
      <c r="F52" s="4">
        <v>20</v>
      </c>
    </row>
    <row r="53" spans="1:6" x14ac:dyDescent="0.35">
      <c r="A53">
        <v>4</v>
      </c>
      <c r="B53">
        <v>4</v>
      </c>
      <c r="C53" t="s">
        <v>179</v>
      </c>
      <c r="D53" s="4">
        <v>4380</v>
      </c>
      <c r="E53" s="4">
        <v>8760</v>
      </c>
      <c r="F53" s="4">
        <v>17520</v>
      </c>
    </row>
    <row r="54" spans="1:6" x14ac:dyDescent="0.35">
      <c r="A54">
        <v>4</v>
      </c>
      <c r="B54">
        <v>5</v>
      </c>
      <c r="C54" t="s">
        <v>180</v>
      </c>
      <c r="D54" s="4">
        <v>0.5</v>
      </c>
      <c r="E54" s="4">
        <v>1</v>
      </c>
      <c r="F54" s="4">
        <v>2</v>
      </c>
    </row>
    <row r="55" spans="1:6" x14ac:dyDescent="0.35">
      <c r="A55">
        <v>4</v>
      </c>
      <c r="B55">
        <v>6</v>
      </c>
      <c r="C55" t="s">
        <v>181</v>
      </c>
      <c r="D55" s="4">
        <v>1E-3</v>
      </c>
      <c r="E55" s="4">
        <v>0.01</v>
      </c>
      <c r="F55" s="4">
        <v>0.1</v>
      </c>
    </row>
    <row r="56" spans="1:6" x14ac:dyDescent="0.35">
      <c r="A56">
        <v>4</v>
      </c>
      <c r="B56">
        <v>7</v>
      </c>
      <c r="C56" t="s">
        <v>182</v>
      </c>
      <c r="D56" s="4">
        <v>10</v>
      </c>
      <c r="E56" s="4">
        <v>30</v>
      </c>
      <c r="F56" s="4">
        <v>50</v>
      </c>
    </row>
    <row r="57" spans="1:6" x14ac:dyDescent="0.35">
      <c r="A57">
        <v>4</v>
      </c>
      <c r="B57">
        <v>8</v>
      </c>
      <c r="C57" t="s">
        <v>183</v>
      </c>
      <c r="D57" s="4">
        <v>5</v>
      </c>
      <c r="E57" s="4">
        <v>20</v>
      </c>
      <c r="F57" s="4">
        <v>100</v>
      </c>
    </row>
    <row r="58" spans="1:6" x14ac:dyDescent="0.35">
      <c r="A58">
        <v>4</v>
      </c>
      <c r="B58">
        <v>9</v>
      </c>
      <c r="C58" t="s">
        <v>184</v>
      </c>
      <c r="D58" s="4">
        <v>10</v>
      </c>
      <c r="E58" s="4">
        <v>30</v>
      </c>
      <c r="F58" s="4">
        <v>50</v>
      </c>
    </row>
    <row r="59" spans="1:6" x14ac:dyDescent="0.35">
      <c r="A59">
        <v>4</v>
      </c>
      <c r="B59">
        <v>10</v>
      </c>
      <c r="C59" t="s">
        <v>185</v>
      </c>
      <c r="D59" s="4">
        <v>0.1</v>
      </c>
      <c r="E59" s="4">
        <v>0.5</v>
      </c>
      <c r="F59" s="4">
        <v>1</v>
      </c>
    </row>
    <row r="60" spans="1:6" x14ac:dyDescent="0.35">
      <c r="A60">
        <v>4</v>
      </c>
      <c r="B60">
        <v>11</v>
      </c>
      <c r="C60" t="s">
        <v>186</v>
      </c>
      <c r="D60" s="4">
        <v>50</v>
      </c>
      <c r="E60" s="4">
        <v>100</v>
      </c>
      <c r="F60" s="4">
        <v>1000</v>
      </c>
    </row>
    <row r="61" spans="1:6" x14ac:dyDescent="0.35">
      <c r="A61">
        <v>4</v>
      </c>
      <c r="B61">
        <v>12</v>
      </c>
      <c r="C61" t="s">
        <v>187</v>
      </c>
      <c r="D61" s="4">
        <v>30</v>
      </c>
      <c r="E61" s="4">
        <v>50</v>
      </c>
      <c r="F61" s="4">
        <v>70</v>
      </c>
    </row>
    <row r="62" spans="1:6" x14ac:dyDescent="0.35">
      <c r="A62">
        <v>4</v>
      </c>
      <c r="B62">
        <v>13</v>
      </c>
      <c r="C62" t="s">
        <v>188</v>
      </c>
      <c r="D62" s="4">
        <v>5</v>
      </c>
      <c r="E62" s="4">
        <v>10</v>
      </c>
      <c r="F62" s="4">
        <v>20</v>
      </c>
    </row>
    <row r="63" spans="1:6" x14ac:dyDescent="0.35">
      <c r="A63">
        <v>4</v>
      </c>
      <c r="B63">
        <v>14</v>
      </c>
      <c r="C63" t="s">
        <v>189</v>
      </c>
      <c r="D63" s="4">
        <v>70</v>
      </c>
      <c r="E63" s="4">
        <v>100</v>
      </c>
      <c r="F63" s="4">
        <v>150</v>
      </c>
    </row>
    <row r="64" spans="1:6" x14ac:dyDescent="0.35">
      <c r="A64">
        <v>4</v>
      </c>
      <c r="B64">
        <v>15</v>
      </c>
      <c r="C64" t="s">
        <v>190</v>
      </c>
      <c r="D64" s="4">
        <v>3</v>
      </c>
      <c r="E64" s="4">
        <v>5</v>
      </c>
      <c r="F64" s="4">
        <v>7</v>
      </c>
    </row>
    <row r="65" spans="1:6" x14ac:dyDescent="0.35">
      <c r="A65">
        <v>4</v>
      </c>
      <c r="B65">
        <v>16</v>
      </c>
      <c r="C65" t="s">
        <v>191</v>
      </c>
      <c r="D65" s="4">
        <v>1</v>
      </c>
      <c r="E65" s="4">
        <v>10</v>
      </c>
      <c r="F65" s="4">
        <v>50</v>
      </c>
    </row>
    <row r="66" spans="1:6" x14ac:dyDescent="0.35">
      <c r="A66">
        <v>5</v>
      </c>
      <c r="B66">
        <v>1</v>
      </c>
      <c r="C66" t="s">
        <v>176</v>
      </c>
      <c r="D66" s="4">
        <v>5</v>
      </c>
      <c r="E66" s="4">
        <v>20</v>
      </c>
      <c r="F66" s="4">
        <v>40</v>
      </c>
    </row>
    <row r="67" spans="1:6" x14ac:dyDescent="0.35">
      <c r="A67">
        <v>5</v>
      </c>
      <c r="B67">
        <v>2</v>
      </c>
      <c r="C67" t="s">
        <v>177</v>
      </c>
      <c r="D67" s="4">
        <v>5</v>
      </c>
      <c r="E67" s="4">
        <v>10</v>
      </c>
      <c r="F67" s="4">
        <v>20</v>
      </c>
    </row>
    <row r="68" spans="1:6" x14ac:dyDescent="0.35">
      <c r="A68">
        <v>5</v>
      </c>
      <c r="B68">
        <v>3</v>
      </c>
      <c r="C68" t="s">
        <v>178</v>
      </c>
      <c r="D68" s="4">
        <v>10</v>
      </c>
      <c r="E68" s="4">
        <v>15</v>
      </c>
      <c r="F68" s="4">
        <v>18</v>
      </c>
    </row>
    <row r="69" spans="1:6" x14ac:dyDescent="0.35">
      <c r="A69">
        <v>5</v>
      </c>
      <c r="B69">
        <v>4</v>
      </c>
      <c r="C69" t="s">
        <v>179</v>
      </c>
      <c r="D69" s="4">
        <v>4320</v>
      </c>
      <c r="E69" s="4">
        <v>8640</v>
      </c>
      <c r="F69" s="4">
        <v>17280</v>
      </c>
    </row>
    <row r="70" spans="1:6" x14ac:dyDescent="0.35">
      <c r="A70">
        <v>5</v>
      </c>
      <c r="B70">
        <v>5</v>
      </c>
      <c r="C70" t="s">
        <v>180</v>
      </c>
      <c r="D70" s="4">
        <v>-3</v>
      </c>
      <c r="E70" s="4">
        <v>-1</v>
      </c>
      <c r="F70" s="4">
        <v>-0.5</v>
      </c>
    </row>
    <row r="71" spans="1:6" x14ac:dyDescent="0.35">
      <c r="A71">
        <v>5</v>
      </c>
      <c r="B71">
        <v>6</v>
      </c>
      <c r="C71" t="s">
        <v>181</v>
      </c>
      <c r="D71" s="4">
        <v>0.2</v>
      </c>
      <c r="E71" s="4">
        <v>0.5</v>
      </c>
      <c r="F71" s="4">
        <v>1</v>
      </c>
    </row>
    <row r="72" spans="1:6" x14ac:dyDescent="0.35">
      <c r="A72">
        <v>5</v>
      </c>
      <c r="B72">
        <v>7</v>
      </c>
      <c r="C72" t="s">
        <v>182</v>
      </c>
      <c r="D72" s="4">
        <v>10</v>
      </c>
      <c r="E72" s="4">
        <v>20</v>
      </c>
      <c r="F72" s="4">
        <v>30</v>
      </c>
    </row>
    <row r="73" spans="1:6" x14ac:dyDescent="0.35">
      <c r="A73">
        <v>5</v>
      </c>
      <c r="B73">
        <v>8</v>
      </c>
      <c r="C73" t="s">
        <v>183</v>
      </c>
      <c r="D73" s="4">
        <v>2</v>
      </c>
      <c r="E73" s="4">
        <v>3</v>
      </c>
      <c r="F73" s="4">
        <v>5</v>
      </c>
    </row>
    <row r="74" spans="1:6" x14ac:dyDescent="0.35">
      <c r="A74">
        <v>5</v>
      </c>
      <c r="B74">
        <v>9</v>
      </c>
      <c r="C74" t="s">
        <v>184</v>
      </c>
      <c r="D74" s="4">
        <v>10</v>
      </c>
      <c r="E74" s="4">
        <v>30</v>
      </c>
      <c r="F74" s="4">
        <v>50</v>
      </c>
    </row>
    <row r="75" spans="1:6" x14ac:dyDescent="0.35">
      <c r="A75">
        <v>5</v>
      </c>
      <c r="B75">
        <v>10</v>
      </c>
      <c r="C75" t="s">
        <v>185</v>
      </c>
      <c r="D75" s="4">
        <v>5</v>
      </c>
      <c r="E75" s="4">
        <v>10</v>
      </c>
      <c r="F75" s="4">
        <v>20</v>
      </c>
    </row>
    <row r="76" spans="1:6" x14ac:dyDescent="0.35">
      <c r="A76">
        <v>5</v>
      </c>
      <c r="B76">
        <v>11</v>
      </c>
      <c r="C76" t="s">
        <v>186</v>
      </c>
      <c r="D76" s="4">
        <v>1E-4</v>
      </c>
      <c r="E76" s="4">
        <v>50000</v>
      </c>
      <c r="F76" s="4">
        <v>100000</v>
      </c>
    </row>
    <row r="77" spans="1:6" x14ac:dyDescent="0.35">
      <c r="A77">
        <v>5</v>
      </c>
      <c r="B77">
        <v>12</v>
      </c>
      <c r="C77" t="s">
        <v>187</v>
      </c>
      <c r="D77" s="4">
        <v>40</v>
      </c>
      <c r="E77" s="4">
        <v>80</v>
      </c>
      <c r="F77" s="4">
        <v>100</v>
      </c>
    </row>
    <row r="78" spans="1:6" x14ac:dyDescent="0.35">
      <c r="A78">
        <v>5</v>
      </c>
      <c r="B78">
        <v>13</v>
      </c>
      <c r="C78" t="s">
        <v>188</v>
      </c>
      <c r="D78" s="4">
        <v>1</v>
      </c>
      <c r="E78" s="4">
        <v>5</v>
      </c>
      <c r="F78" s="4">
        <v>12</v>
      </c>
    </row>
    <row r="79" spans="1:6" x14ac:dyDescent="0.35">
      <c r="A79">
        <v>5</v>
      </c>
      <c r="B79">
        <v>14</v>
      </c>
      <c r="C79" t="s">
        <v>189</v>
      </c>
      <c r="D79" s="4">
        <v>100</v>
      </c>
      <c r="E79" s="4">
        <v>150</v>
      </c>
      <c r="F79" s="4">
        <v>300</v>
      </c>
    </row>
    <row r="80" spans="1:6" x14ac:dyDescent="0.35">
      <c r="A80">
        <v>5</v>
      </c>
      <c r="B80">
        <v>15</v>
      </c>
      <c r="C80" t="s">
        <v>190</v>
      </c>
      <c r="D80" s="4">
        <v>2</v>
      </c>
      <c r="E80" s="4">
        <v>5</v>
      </c>
      <c r="F80" s="4">
        <v>10</v>
      </c>
    </row>
    <row r="81" spans="1:6" x14ac:dyDescent="0.35">
      <c r="A81">
        <v>5</v>
      </c>
      <c r="B81">
        <v>16</v>
      </c>
      <c r="C81" t="s">
        <v>191</v>
      </c>
      <c r="D81" s="4">
        <v>5</v>
      </c>
      <c r="E81" s="4">
        <v>10</v>
      </c>
      <c r="F81" s="4">
        <v>20</v>
      </c>
    </row>
    <row r="82" spans="1:6" x14ac:dyDescent="0.35">
      <c r="A82">
        <v>6</v>
      </c>
      <c r="B82">
        <v>1</v>
      </c>
      <c r="C82" t="s">
        <v>176</v>
      </c>
      <c r="D82" s="4">
        <v>9.9999999999999995E-7</v>
      </c>
      <c r="E82" s="4">
        <v>0.5</v>
      </c>
      <c r="F82" s="4">
        <v>5</v>
      </c>
    </row>
    <row r="83" spans="1:6" x14ac:dyDescent="0.35">
      <c r="A83">
        <v>6</v>
      </c>
      <c r="B83">
        <v>2</v>
      </c>
      <c r="C83" t="s">
        <v>177</v>
      </c>
      <c r="D83" s="4">
        <v>0.01</v>
      </c>
      <c r="E83" s="4">
        <v>0.1</v>
      </c>
      <c r="F83" s="4">
        <v>10</v>
      </c>
    </row>
    <row r="84" spans="1:6" x14ac:dyDescent="0.35">
      <c r="A84">
        <v>6</v>
      </c>
      <c r="B84">
        <v>3</v>
      </c>
      <c r="C84" t="s">
        <v>178</v>
      </c>
      <c r="D84" s="4">
        <v>1</v>
      </c>
      <c r="E84" s="4">
        <v>6</v>
      </c>
      <c r="F84" s="4">
        <v>15</v>
      </c>
    </row>
    <row r="85" spans="1:6" x14ac:dyDescent="0.35">
      <c r="A85">
        <v>6</v>
      </c>
      <c r="B85">
        <v>4</v>
      </c>
      <c r="C85" t="s">
        <v>179</v>
      </c>
      <c r="D85" s="4">
        <v>720</v>
      </c>
      <c r="E85" s="4">
        <v>5760</v>
      </c>
      <c r="F85" s="4">
        <v>8640</v>
      </c>
    </row>
    <row r="86" spans="1:6" x14ac:dyDescent="0.35">
      <c r="A86">
        <v>6</v>
      </c>
      <c r="B86">
        <v>5</v>
      </c>
      <c r="C86" t="s">
        <v>180</v>
      </c>
      <c r="D86" s="4">
        <v>0.1</v>
      </c>
      <c r="E86" s="4">
        <v>0.3</v>
      </c>
      <c r="F86" s="4">
        <v>0.6</v>
      </c>
    </row>
    <row r="87" spans="1:6" x14ac:dyDescent="0.35">
      <c r="A87">
        <v>6</v>
      </c>
      <c r="B87">
        <v>6</v>
      </c>
      <c r="C87" t="s">
        <v>181</v>
      </c>
      <c r="D87" s="4">
        <v>10</v>
      </c>
      <c r="E87" s="4">
        <v>30</v>
      </c>
      <c r="F87" s="4">
        <v>60</v>
      </c>
    </row>
    <row r="88" spans="1:6" x14ac:dyDescent="0.35">
      <c r="A88">
        <v>6</v>
      </c>
      <c r="B88">
        <v>7</v>
      </c>
      <c r="C88" t="s">
        <v>182</v>
      </c>
      <c r="D88" s="4">
        <v>5</v>
      </c>
      <c r="E88" s="4">
        <v>20</v>
      </c>
      <c r="F88" s="4">
        <v>40</v>
      </c>
    </row>
    <row r="89" spans="1:6" x14ac:dyDescent="0.35">
      <c r="A89">
        <v>6</v>
      </c>
      <c r="B89">
        <v>8</v>
      </c>
      <c r="C89" t="s">
        <v>183</v>
      </c>
      <c r="D89" s="4">
        <v>50</v>
      </c>
      <c r="E89" s="4">
        <v>150</v>
      </c>
      <c r="F89" s="4">
        <v>400</v>
      </c>
    </row>
    <row r="90" spans="1:6" x14ac:dyDescent="0.35">
      <c r="A90">
        <v>6</v>
      </c>
      <c r="B90">
        <v>9</v>
      </c>
      <c r="C90" t="s">
        <v>184</v>
      </c>
      <c r="D90" s="4">
        <v>10</v>
      </c>
      <c r="E90" s="4">
        <v>30</v>
      </c>
      <c r="F90" s="4">
        <v>100</v>
      </c>
    </row>
    <row r="91" spans="1:6" x14ac:dyDescent="0.35">
      <c r="A91">
        <v>6</v>
      </c>
      <c r="B91">
        <v>10</v>
      </c>
      <c r="C91" t="s">
        <v>185</v>
      </c>
      <c r="D91" s="4">
        <v>4</v>
      </c>
      <c r="E91" s="4">
        <v>10</v>
      </c>
      <c r="F91" s="4">
        <v>30</v>
      </c>
    </row>
    <row r="92" spans="1:6" x14ac:dyDescent="0.35">
      <c r="A92">
        <v>6</v>
      </c>
      <c r="B92">
        <v>11</v>
      </c>
      <c r="C92" t="s">
        <v>186</v>
      </c>
      <c r="D92" s="4">
        <v>0.5</v>
      </c>
      <c r="E92" s="4">
        <v>3</v>
      </c>
      <c r="F92" s="4">
        <v>10</v>
      </c>
    </row>
    <row r="93" spans="1:6" x14ac:dyDescent="0.35">
      <c r="A93">
        <v>6</v>
      </c>
      <c r="B93">
        <v>12</v>
      </c>
      <c r="C93" t="s">
        <v>187</v>
      </c>
      <c r="D93" s="4">
        <v>10</v>
      </c>
      <c r="E93" s="4">
        <v>80</v>
      </c>
      <c r="F93" s="4">
        <v>95</v>
      </c>
    </row>
    <row r="94" spans="1:6" x14ac:dyDescent="0.35">
      <c r="A94">
        <v>6</v>
      </c>
      <c r="B94">
        <v>13</v>
      </c>
      <c r="C94" t="s">
        <v>188</v>
      </c>
      <c r="D94" s="4">
        <v>0.4</v>
      </c>
      <c r="E94" s="4">
        <v>1.3</v>
      </c>
      <c r="F94" s="4">
        <v>3</v>
      </c>
    </row>
    <row r="95" spans="1:6" x14ac:dyDescent="0.35">
      <c r="A95">
        <v>6</v>
      </c>
      <c r="B95">
        <v>14</v>
      </c>
      <c r="C95" t="s">
        <v>189</v>
      </c>
      <c r="D95" s="4">
        <v>100</v>
      </c>
      <c r="E95" s="4">
        <v>300</v>
      </c>
      <c r="F95" s="4">
        <v>600</v>
      </c>
    </row>
    <row r="96" spans="1:6" x14ac:dyDescent="0.35">
      <c r="A96">
        <v>6</v>
      </c>
      <c r="B96">
        <v>15</v>
      </c>
      <c r="C96" t="s">
        <v>190</v>
      </c>
      <c r="D96" s="4">
        <v>-12</v>
      </c>
      <c r="E96" s="4">
        <v>-7</v>
      </c>
      <c r="F96" s="4">
        <v>-3</v>
      </c>
    </row>
    <row r="97" spans="1:6" x14ac:dyDescent="0.35">
      <c r="A97">
        <v>6</v>
      </c>
      <c r="B97">
        <v>16</v>
      </c>
      <c r="C97" t="s">
        <v>191</v>
      </c>
      <c r="D97" s="4">
        <v>0.5</v>
      </c>
      <c r="E97" s="4">
        <v>1.5</v>
      </c>
      <c r="F97" s="4">
        <v>2</v>
      </c>
    </row>
    <row r="98" spans="1:6" x14ac:dyDescent="0.35">
      <c r="A98">
        <v>7</v>
      </c>
      <c r="B98">
        <v>1</v>
      </c>
      <c r="C98" t="s">
        <v>176</v>
      </c>
      <c r="D98" s="4">
        <v>50</v>
      </c>
      <c r="E98" s="4">
        <v>60</v>
      </c>
      <c r="F98" s="4">
        <v>120</v>
      </c>
    </row>
    <row r="99" spans="1:6" x14ac:dyDescent="0.35">
      <c r="A99">
        <v>7</v>
      </c>
      <c r="B99">
        <v>2</v>
      </c>
      <c r="C99" t="s">
        <v>177</v>
      </c>
      <c r="D99" s="4">
        <v>500</v>
      </c>
      <c r="E99" s="4">
        <v>2000</v>
      </c>
      <c r="F99" s="4">
        <v>20000</v>
      </c>
    </row>
    <row r="100" spans="1:6" x14ac:dyDescent="0.35">
      <c r="A100">
        <v>7</v>
      </c>
      <c r="B100">
        <v>3</v>
      </c>
      <c r="C100" t="s">
        <v>178</v>
      </c>
      <c r="D100" s="4">
        <v>10</v>
      </c>
      <c r="E100" s="4">
        <v>15</v>
      </c>
      <c r="F100" s="4">
        <v>20</v>
      </c>
    </row>
    <row r="101" spans="1:6" x14ac:dyDescent="0.35">
      <c r="A101">
        <v>7</v>
      </c>
      <c r="B101">
        <v>4</v>
      </c>
      <c r="C101" t="s">
        <v>179</v>
      </c>
      <c r="D101" s="4">
        <v>30</v>
      </c>
      <c r="E101" s="4">
        <v>1000</v>
      </c>
      <c r="F101" s="4">
        <v>100000</v>
      </c>
    </row>
    <row r="102" spans="1:6" x14ac:dyDescent="0.35">
      <c r="A102">
        <v>7</v>
      </c>
      <c r="B102">
        <v>5</v>
      </c>
      <c r="C102" t="s">
        <v>180</v>
      </c>
      <c r="D102" s="4">
        <v>9.9999999999999995E-7</v>
      </c>
      <c r="E102" s="4">
        <v>2</v>
      </c>
      <c r="F102" s="4">
        <v>3</v>
      </c>
    </row>
    <row r="103" spans="1:6" x14ac:dyDescent="0.35">
      <c r="A103">
        <v>7</v>
      </c>
      <c r="B103">
        <v>6</v>
      </c>
      <c r="C103" t="s">
        <v>181</v>
      </c>
      <c r="D103" s="4">
        <v>0.1</v>
      </c>
      <c r="E103" s="4">
        <v>1</v>
      </c>
      <c r="F103" s="4">
        <v>1.5</v>
      </c>
    </row>
    <row r="104" spans="1:6" x14ac:dyDescent="0.35">
      <c r="A104">
        <v>7</v>
      </c>
      <c r="B104">
        <v>7</v>
      </c>
      <c r="C104" t="s">
        <v>182</v>
      </c>
      <c r="D104" s="4">
        <v>15</v>
      </c>
      <c r="E104" s="4">
        <v>20</v>
      </c>
      <c r="F104" s="4">
        <v>30</v>
      </c>
    </row>
    <row r="105" spans="1:6" x14ac:dyDescent="0.35">
      <c r="A105">
        <v>7</v>
      </c>
      <c r="B105">
        <v>8</v>
      </c>
      <c r="C105" t="s">
        <v>183</v>
      </c>
      <c r="D105" s="4">
        <v>10</v>
      </c>
      <c r="E105" s="4">
        <v>50</v>
      </c>
      <c r="F105" s="4">
        <v>100</v>
      </c>
    </row>
    <row r="106" spans="1:6" x14ac:dyDescent="0.35">
      <c r="A106">
        <v>7</v>
      </c>
      <c r="B106">
        <v>9</v>
      </c>
      <c r="C106" t="s">
        <v>184</v>
      </c>
      <c r="D106" s="4">
        <v>1</v>
      </c>
      <c r="E106" s="4">
        <v>5</v>
      </c>
      <c r="F106" s="4">
        <v>10</v>
      </c>
    </row>
    <row r="107" spans="1:6" x14ac:dyDescent="0.35">
      <c r="A107">
        <v>7</v>
      </c>
      <c r="B107">
        <v>10</v>
      </c>
      <c r="C107" t="s">
        <v>185</v>
      </c>
      <c r="D107" s="4">
        <v>5</v>
      </c>
      <c r="E107" s="4">
        <v>10</v>
      </c>
      <c r="F107" s="4">
        <v>30</v>
      </c>
    </row>
    <row r="108" spans="1:6" x14ac:dyDescent="0.35">
      <c r="A108">
        <v>7</v>
      </c>
      <c r="B108">
        <v>11</v>
      </c>
      <c r="C108" t="s">
        <v>186</v>
      </c>
      <c r="D108" s="4">
        <v>1</v>
      </c>
      <c r="E108" s="4">
        <v>10</v>
      </c>
      <c r="F108" s="4">
        <v>100</v>
      </c>
    </row>
    <row r="109" spans="1:6" x14ac:dyDescent="0.35">
      <c r="A109">
        <v>7</v>
      </c>
      <c r="B109">
        <v>12</v>
      </c>
      <c r="C109" t="s">
        <v>187</v>
      </c>
      <c r="D109" s="4">
        <v>1</v>
      </c>
      <c r="E109" s="4">
        <v>10</v>
      </c>
      <c r="F109" s="4">
        <v>20</v>
      </c>
    </row>
    <row r="110" spans="1:6" x14ac:dyDescent="0.35">
      <c r="A110">
        <v>7</v>
      </c>
      <c r="B110">
        <v>13</v>
      </c>
      <c r="C110" t="s">
        <v>188</v>
      </c>
      <c r="D110" s="4">
        <v>5.9</v>
      </c>
      <c r="E110" s="4">
        <v>7</v>
      </c>
      <c r="F110" s="4">
        <v>8</v>
      </c>
    </row>
    <row r="111" spans="1:6" x14ac:dyDescent="0.35">
      <c r="A111">
        <v>7</v>
      </c>
      <c r="B111">
        <v>14</v>
      </c>
      <c r="C111" t="s">
        <v>189</v>
      </c>
      <c r="D111" s="4">
        <v>97</v>
      </c>
      <c r="E111" s="4">
        <v>98</v>
      </c>
      <c r="F111" s="4">
        <v>99</v>
      </c>
    </row>
    <row r="112" spans="1:6" x14ac:dyDescent="0.35">
      <c r="A112">
        <v>7</v>
      </c>
      <c r="B112">
        <v>15</v>
      </c>
      <c r="C112" t="s">
        <v>190</v>
      </c>
      <c r="D112" s="4">
        <v>-7</v>
      </c>
      <c r="E112" s="4">
        <v>-5</v>
      </c>
      <c r="F112" s="4">
        <v>5</v>
      </c>
    </row>
    <row r="113" spans="1:6" x14ac:dyDescent="0.35">
      <c r="A113">
        <v>7</v>
      </c>
      <c r="B113">
        <v>16</v>
      </c>
      <c r="C113" t="s">
        <v>191</v>
      </c>
      <c r="D113" s="4">
        <v>1</v>
      </c>
      <c r="E113" s="4">
        <v>5</v>
      </c>
      <c r="F113" s="4">
        <v>10</v>
      </c>
    </row>
    <row r="114" spans="1:6" x14ac:dyDescent="0.35">
      <c r="A114">
        <v>8</v>
      </c>
      <c r="B114">
        <v>1</v>
      </c>
      <c r="C114" t="s">
        <v>176</v>
      </c>
      <c r="D114" s="4">
        <v>5</v>
      </c>
      <c r="E114" s="4">
        <v>25</v>
      </c>
      <c r="F114" s="4">
        <v>60</v>
      </c>
    </row>
    <row r="115" spans="1:6" x14ac:dyDescent="0.35">
      <c r="A115">
        <v>8</v>
      </c>
      <c r="B115">
        <v>2</v>
      </c>
      <c r="C115" t="s">
        <v>177</v>
      </c>
      <c r="D115" s="4">
        <v>0.5</v>
      </c>
      <c r="E115" s="4">
        <v>10</v>
      </c>
      <c r="F115" s="4">
        <v>40</v>
      </c>
    </row>
    <row r="116" spans="1:6" x14ac:dyDescent="0.35">
      <c r="A116">
        <v>8</v>
      </c>
      <c r="B116">
        <v>3</v>
      </c>
      <c r="C116" t="s">
        <v>178</v>
      </c>
      <c r="D116" s="4">
        <v>3</v>
      </c>
      <c r="E116" s="4">
        <v>15</v>
      </c>
      <c r="F116" s="4">
        <v>100</v>
      </c>
    </row>
    <row r="117" spans="1:6" x14ac:dyDescent="0.35">
      <c r="A117">
        <v>8</v>
      </c>
      <c r="B117">
        <v>4</v>
      </c>
      <c r="C117" t="s">
        <v>179</v>
      </c>
      <c r="D117" s="4">
        <v>72</v>
      </c>
      <c r="E117" s="4">
        <v>720</v>
      </c>
      <c r="F117" s="4">
        <v>8760</v>
      </c>
    </row>
    <row r="118" spans="1:6" x14ac:dyDescent="0.35">
      <c r="A118">
        <v>8</v>
      </c>
      <c r="B118">
        <v>5</v>
      </c>
      <c r="C118" t="s">
        <v>180</v>
      </c>
      <c r="D118" s="4">
        <v>0.5</v>
      </c>
      <c r="E118" s="4">
        <v>1.5</v>
      </c>
      <c r="F118" s="4">
        <v>3</v>
      </c>
    </row>
    <row r="119" spans="1:6" x14ac:dyDescent="0.35">
      <c r="A119">
        <v>8</v>
      </c>
      <c r="B119">
        <v>6</v>
      </c>
      <c r="C119" t="s">
        <v>181</v>
      </c>
      <c r="D119" s="4">
        <v>0.05</v>
      </c>
      <c r="E119" s="4">
        <v>0.5</v>
      </c>
      <c r="F119" s="4">
        <v>5</v>
      </c>
    </row>
    <row r="120" spans="1:6" x14ac:dyDescent="0.35">
      <c r="A120">
        <v>8</v>
      </c>
      <c r="B120">
        <v>7</v>
      </c>
      <c r="C120" t="s">
        <v>182</v>
      </c>
      <c r="D120" s="4">
        <v>5</v>
      </c>
      <c r="E120" s="4">
        <v>20</v>
      </c>
      <c r="F120" s="4">
        <v>100</v>
      </c>
    </row>
    <row r="121" spans="1:6" x14ac:dyDescent="0.35">
      <c r="A121">
        <v>8</v>
      </c>
      <c r="B121">
        <v>8</v>
      </c>
      <c r="C121" t="s">
        <v>183</v>
      </c>
      <c r="D121" s="4">
        <v>10</v>
      </c>
      <c r="E121" s="4">
        <v>30</v>
      </c>
      <c r="F121" s="4">
        <v>60</v>
      </c>
    </row>
    <row r="122" spans="1:6" x14ac:dyDescent="0.35">
      <c r="A122">
        <v>8</v>
      </c>
      <c r="B122">
        <v>9</v>
      </c>
      <c r="C122" t="s">
        <v>184</v>
      </c>
      <c r="D122" s="4">
        <v>20</v>
      </c>
      <c r="E122" s="4">
        <v>70</v>
      </c>
      <c r="F122" s="4">
        <v>200</v>
      </c>
    </row>
    <row r="123" spans="1:6" x14ac:dyDescent="0.35">
      <c r="A123">
        <v>8</v>
      </c>
      <c r="B123">
        <v>10</v>
      </c>
      <c r="C123" t="s">
        <v>185</v>
      </c>
      <c r="D123" s="4">
        <v>2</v>
      </c>
      <c r="E123" s="4">
        <v>5</v>
      </c>
      <c r="F123" s="4">
        <v>20</v>
      </c>
    </row>
    <row r="124" spans="1:6" x14ac:dyDescent="0.35">
      <c r="A124">
        <v>8</v>
      </c>
      <c r="B124">
        <v>11</v>
      </c>
      <c r="C124" t="s">
        <v>186</v>
      </c>
      <c r="D124" s="4">
        <v>100000000</v>
      </c>
      <c r="E124" s="4">
        <v>100000000000</v>
      </c>
      <c r="F124" s="4">
        <v>10000000000000</v>
      </c>
    </row>
    <row r="125" spans="1:6" x14ac:dyDescent="0.35">
      <c r="A125">
        <v>8</v>
      </c>
      <c r="B125">
        <v>12</v>
      </c>
      <c r="C125" t="s">
        <v>187</v>
      </c>
      <c r="D125" s="4">
        <v>15</v>
      </c>
      <c r="E125" s="4">
        <v>40</v>
      </c>
      <c r="F125" s="4">
        <v>80</v>
      </c>
    </row>
    <row r="126" spans="1:6" x14ac:dyDescent="0.35">
      <c r="A126">
        <v>8</v>
      </c>
      <c r="B126">
        <v>13</v>
      </c>
      <c r="C126" t="s">
        <v>188</v>
      </c>
      <c r="D126" s="4">
        <v>2</v>
      </c>
      <c r="E126" s="4">
        <v>5</v>
      </c>
      <c r="F126" s="4">
        <v>8</v>
      </c>
    </row>
    <row r="127" spans="1:6" x14ac:dyDescent="0.35">
      <c r="A127">
        <v>8</v>
      </c>
      <c r="B127">
        <v>14</v>
      </c>
      <c r="C127" t="s">
        <v>189</v>
      </c>
      <c r="D127" s="4">
        <v>30</v>
      </c>
      <c r="E127" s="4">
        <v>98</v>
      </c>
      <c r="F127" s="4">
        <v>250</v>
      </c>
    </row>
    <row r="128" spans="1:6" x14ac:dyDescent="0.35">
      <c r="A128">
        <v>8</v>
      </c>
      <c r="B128">
        <v>15</v>
      </c>
      <c r="C128" t="s">
        <v>190</v>
      </c>
      <c r="D128" s="4">
        <v>5</v>
      </c>
      <c r="E128" s="4">
        <v>20</v>
      </c>
      <c r="F128" s="4">
        <v>35</v>
      </c>
    </row>
    <row r="129" spans="1:6" x14ac:dyDescent="0.35">
      <c r="A129">
        <v>8</v>
      </c>
      <c r="B129">
        <v>16</v>
      </c>
      <c r="C129" t="s">
        <v>191</v>
      </c>
      <c r="D129" s="4">
        <v>0.5</v>
      </c>
      <c r="E129" s="4">
        <v>2</v>
      </c>
      <c r="F129" s="4">
        <v>10</v>
      </c>
    </row>
    <row r="130" spans="1:6" x14ac:dyDescent="0.35">
      <c r="A130">
        <v>9</v>
      </c>
      <c r="B130">
        <v>1</v>
      </c>
      <c r="C130" t="s">
        <v>176</v>
      </c>
      <c r="D130" s="4">
        <v>15</v>
      </c>
      <c r="E130" s="4">
        <v>30</v>
      </c>
      <c r="F130" s="4">
        <v>60</v>
      </c>
    </row>
    <row r="131" spans="1:6" x14ac:dyDescent="0.35">
      <c r="A131">
        <v>9</v>
      </c>
      <c r="B131">
        <v>2</v>
      </c>
      <c r="C131" t="s">
        <v>177</v>
      </c>
      <c r="D131" s="4">
        <v>0.01</v>
      </c>
      <c r="E131" s="4">
        <v>0.02</v>
      </c>
      <c r="F131" s="4">
        <v>0.05</v>
      </c>
    </row>
    <row r="132" spans="1:6" x14ac:dyDescent="0.35">
      <c r="A132">
        <v>9</v>
      </c>
      <c r="B132">
        <v>3</v>
      </c>
      <c r="C132" t="s">
        <v>178</v>
      </c>
      <c r="D132" s="4">
        <v>15</v>
      </c>
      <c r="E132" s="4">
        <v>20</v>
      </c>
      <c r="F132" s="4">
        <v>30</v>
      </c>
    </row>
    <row r="133" spans="1:6" x14ac:dyDescent="0.35">
      <c r="A133">
        <v>9</v>
      </c>
      <c r="B133">
        <v>4</v>
      </c>
      <c r="C133" t="s">
        <v>179</v>
      </c>
      <c r="D133" s="4">
        <v>17520</v>
      </c>
      <c r="E133" s="4">
        <v>26280</v>
      </c>
      <c r="F133" s="4">
        <v>43800</v>
      </c>
    </row>
    <row r="134" spans="1:6" x14ac:dyDescent="0.35">
      <c r="A134">
        <v>9</v>
      </c>
      <c r="B134">
        <v>5</v>
      </c>
      <c r="C134" t="s">
        <v>180</v>
      </c>
      <c r="D134" s="4">
        <v>1.5</v>
      </c>
      <c r="E134" s="4">
        <v>2</v>
      </c>
      <c r="F134" s="4">
        <v>3</v>
      </c>
    </row>
    <row r="135" spans="1:6" x14ac:dyDescent="0.35">
      <c r="A135">
        <v>9</v>
      </c>
      <c r="B135">
        <v>6</v>
      </c>
      <c r="C135" t="s">
        <v>181</v>
      </c>
      <c r="D135" s="4">
        <v>1</v>
      </c>
      <c r="E135" s="4">
        <v>2</v>
      </c>
      <c r="F135" s="4">
        <v>3</v>
      </c>
    </row>
    <row r="136" spans="1:6" x14ac:dyDescent="0.35">
      <c r="A136">
        <v>9</v>
      </c>
      <c r="B136">
        <v>7</v>
      </c>
      <c r="C136" t="s">
        <v>182</v>
      </c>
      <c r="D136" s="4">
        <v>20</v>
      </c>
      <c r="E136" s="4">
        <v>30</v>
      </c>
      <c r="F136" s="4">
        <v>50</v>
      </c>
    </row>
    <row r="137" spans="1:6" x14ac:dyDescent="0.35">
      <c r="A137">
        <v>9</v>
      </c>
      <c r="B137">
        <v>8</v>
      </c>
      <c r="C137" t="s">
        <v>183</v>
      </c>
      <c r="D137" s="4">
        <v>10</v>
      </c>
      <c r="E137" s="4">
        <v>20</v>
      </c>
      <c r="F137" s="4">
        <v>30</v>
      </c>
    </row>
    <row r="138" spans="1:6" x14ac:dyDescent="0.35">
      <c r="A138">
        <v>9</v>
      </c>
      <c r="B138">
        <v>9</v>
      </c>
      <c r="C138" t="s">
        <v>184</v>
      </c>
      <c r="D138" s="4">
        <v>30</v>
      </c>
      <c r="E138" s="4">
        <v>50</v>
      </c>
      <c r="F138" s="4">
        <v>80</v>
      </c>
    </row>
    <row r="139" spans="1:6" x14ac:dyDescent="0.35">
      <c r="A139">
        <v>9</v>
      </c>
      <c r="B139">
        <v>10</v>
      </c>
      <c r="C139" t="s">
        <v>185</v>
      </c>
      <c r="D139" s="4">
        <v>1</v>
      </c>
      <c r="E139" s="4">
        <v>3</v>
      </c>
      <c r="F139" s="4">
        <v>5</v>
      </c>
    </row>
    <row r="140" spans="1:6" x14ac:dyDescent="0.35">
      <c r="A140">
        <v>9</v>
      </c>
      <c r="B140">
        <v>11</v>
      </c>
      <c r="C140" t="s">
        <v>186</v>
      </c>
      <c r="D140" s="4">
        <v>1000</v>
      </c>
      <c r="E140" s="4">
        <v>2000</v>
      </c>
      <c r="F140" s="4">
        <v>5000</v>
      </c>
    </row>
    <row r="141" spans="1:6" x14ac:dyDescent="0.35">
      <c r="A141">
        <v>9</v>
      </c>
      <c r="B141">
        <v>12</v>
      </c>
      <c r="C141" t="s">
        <v>187</v>
      </c>
      <c r="D141" s="4">
        <v>100</v>
      </c>
      <c r="E141" s="4">
        <v>110</v>
      </c>
      <c r="F141" s="4">
        <v>120</v>
      </c>
    </row>
    <row r="142" spans="1:6" x14ac:dyDescent="0.35">
      <c r="A142">
        <v>9</v>
      </c>
      <c r="B142">
        <v>13</v>
      </c>
      <c r="C142" t="s">
        <v>188</v>
      </c>
      <c r="D142" s="4">
        <v>4</v>
      </c>
      <c r="E142" s="4">
        <v>6</v>
      </c>
      <c r="F142" s="4">
        <v>8</v>
      </c>
    </row>
    <row r="143" spans="1:6" x14ac:dyDescent="0.35">
      <c r="A143">
        <v>9</v>
      </c>
      <c r="B143">
        <v>14</v>
      </c>
      <c r="C143" t="s">
        <v>189</v>
      </c>
      <c r="D143" s="4">
        <v>1000</v>
      </c>
      <c r="E143" s="4">
        <v>2000</v>
      </c>
      <c r="F143" s="4">
        <v>2500</v>
      </c>
    </row>
    <row r="144" spans="1:6" x14ac:dyDescent="0.35">
      <c r="A144">
        <v>9</v>
      </c>
      <c r="B144">
        <v>15</v>
      </c>
      <c r="C144" t="s">
        <v>190</v>
      </c>
      <c r="D144" s="4">
        <v>-20</v>
      </c>
      <c r="E144" s="4">
        <v>-15</v>
      </c>
      <c r="F144" s="4">
        <v>-10</v>
      </c>
    </row>
    <row r="145" spans="1:6" x14ac:dyDescent="0.35">
      <c r="A145">
        <v>9</v>
      </c>
      <c r="B145">
        <v>16</v>
      </c>
      <c r="C145" t="s">
        <v>191</v>
      </c>
      <c r="D145" s="4">
        <v>10</v>
      </c>
      <c r="E145" s="4">
        <v>20</v>
      </c>
      <c r="F145" s="4">
        <v>30</v>
      </c>
    </row>
    <row r="146" spans="1:6" x14ac:dyDescent="0.35">
      <c r="A146">
        <v>10</v>
      </c>
      <c r="B146">
        <v>1</v>
      </c>
      <c r="C146" t="s">
        <v>176</v>
      </c>
      <c r="D146" s="4">
        <v>0.1</v>
      </c>
      <c r="E146" s="4">
        <v>5</v>
      </c>
      <c r="F146" s="4">
        <v>11</v>
      </c>
    </row>
    <row r="147" spans="1:6" x14ac:dyDescent="0.35">
      <c r="A147">
        <v>10</v>
      </c>
      <c r="B147">
        <v>2</v>
      </c>
      <c r="C147" t="s">
        <v>177</v>
      </c>
      <c r="D147" s="4">
        <v>2</v>
      </c>
      <c r="E147" s="4">
        <v>10</v>
      </c>
      <c r="F147" s="4">
        <v>300</v>
      </c>
    </row>
    <row r="148" spans="1:6" x14ac:dyDescent="0.35">
      <c r="A148">
        <v>10</v>
      </c>
      <c r="B148">
        <v>3</v>
      </c>
      <c r="C148" t="s">
        <v>178</v>
      </c>
      <c r="D148" s="4">
        <v>2</v>
      </c>
      <c r="E148" s="4">
        <v>10</v>
      </c>
      <c r="F148" s="4">
        <v>40</v>
      </c>
    </row>
    <row r="149" spans="1:6" x14ac:dyDescent="0.35">
      <c r="A149">
        <v>10</v>
      </c>
      <c r="B149">
        <v>4</v>
      </c>
      <c r="C149" t="s">
        <v>179</v>
      </c>
      <c r="D149" s="4">
        <v>1460</v>
      </c>
      <c r="E149" s="4">
        <v>4380</v>
      </c>
      <c r="F149" s="4">
        <v>17520</v>
      </c>
    </row>
    <row r="150" spans="1:6" x14ac:dyDescent="0.35">
      <c r="A150">
        <v>10</v>
      </c>
      <c r="B150">
        <v>5</v>
      </c>
      <c r="C150" t="s">
        <v>180</v>
      </c>
      <c r="D150" s="4">
        <v>1</v>
      </c>
      <c r="E150" s="4">
        <v>1.2</v>
      </c>
      <c r="F150" s="4">
        <v>1.5</v>
      </c>
    </row>
    <row r="151" spans="1:6" x14ac:dyDescent="0.35">
      <c r="A151">
        <v>10</v>
      </c>
      <c r="B151">
        <v>6</v>
      </c>
      <c r="C151" t="s">
        <v>181</v>
      </c>
      <c r="D151" s="4">
        <v>0.5</v>
      </c>
      <c r="E151" s="4">
        <v>1</v>
      </c>
      <c r="F151" s="4">
        <v>2</v>
      </c>
    </row>
    <row r="152" spans="1:6" x14ac:dyDescent="0.35">
      <c r="A152">
        <v>10</v>
      </c>
      <c r="B152">
        <v>7</v>
      </c>
      <c r="C152" t="s">
        <v>182</v>
      </c>
      <c r="D152" s="4">
        <v>15</v>
      </c>
      <c r="E152" s="4">
        <v>30</v>
      </c>
      <c r="F152" s="4">
        <v>45</v>
      </c>
    </row>
    <row r="153" spans="1:6" x14ac:dyDescent="0.35">
      <c r="A153">
        <v>10</v>
      </c>
      <c r="B153">
        <v>8</v>
      </c>
      <c r="C153" t="s">
        <v>183</v>
      </c>
      <c r="D153" s="4">
        <v>10</v>
      </c>
      <c r="E153" s="4">
        <v>30</v>
      </c>
      <c r="F153" s="4">
        <v>100</v>
      </c>
    </row>
    <row r="154" spans="1:6" x14ac:dyDescent="0.35">
      <c r="A154">
        <v>10</v>
      </c>
      <c r="B154">
        <v>9</v>
      </c>
      <c r="C154" t="s">
        <v>184</v>
      </c>
      <c r="D154" s="4">
        <v>2</v>
      </c>
      <c r="E154" s="4">
        <v>10</v>
      </c>
      <c r="F154" s="4">
        <v>60</v>
      </c>
    </row>
    <row r="155" spans="1:6" x14ac:dyDescent="0.35">
      <c r="A155">
        <v>10</v>
      </c>
      <c r="B155">
        <v>10</v>
      </c>
      <c r="C155" t="s">
        <v>185</v>
      </c>
      <c r="D155" s="4">
        <v>10</v>
      </c>
      <c r="E155" s="4">
        <v>50</v>
      </c>
      <c r="F155" s="4">
        <v>200</v>
      </c>
    </row>
    <row r="156" spans="1:6" x14ac:dyDescent="0.35">
      <c r="A156">
        <v>10</v>
      </c>
      <c r="B156">
        <v>11</v>
      </c>
      <c r="C156" t="s">
        <v>186</v>
      </c>
      <c r="D156" s="4">
        <v>1</v>
      </c>
      <c r="E156" s="4">
        <v>10</v>
      </c>
      <c r="F156" s="4">
        <v>50</v>
      </c>
    </row>
    <row r="157" spans="1:6" x14ac:dyDescent="0.35">
      <c r="A157">
        <v>10</v>
      </c>
      <c r="B157">
        <v>12</v>
      </c>
      <c r="C157" t="s">
        <v>187</v>
      </c>
      <c r="D157" s="4">
        <v>10</v>
      </c>
      <c r="E157" s="4">
        <v>30</v>
      </c>
      <c r="F157" s="4">
        <v>70</v>
      </c>
    </row>
    <row r="158" spans="1:6" x14ac:dyDescent="0.35">
      <c r="A158">
        <v>10</v>
      </c>
      <c r="B158">
        <v>13</v>
      </c>
      <c r="C158" t="s">
        <v>188</v>
      </c>
      <c r="D158" s="4">
        <v>3</v>
      </c>
      <c r="E158" s="4">
        <v>5</v>
      </c>
      <c r="F158" s="4">
        <v>10</v>
      </c>
    </row>
    <row r="159" spans="1:6" x14ac:dyDescent="0.35">
      <c r="A159">
        <v>10</v>
      </c>
      <c r="B159">
        <v>14</v>
      </c>
      <c r="C159" t="s">
        <v>189</v>
      </c>
      <c r="D159" s="4">
        <v>100</v>
      </c>
      <c r="E159" s="4">
        <v>300</v>
      </c>
      <c r="F159" s="4">
        <v>400</v>
      </c>
    </row>
    <row r="160" spans="1:6" x14ac:dyDescent="0.35">
      <c r="A160">
        <v>10</v>
      </c>
      <c r="B160">
        <v>15</v>
      </c>
      <c r="C160" t="s">
        <v>190</v>
      </c>
      <c r="D160" s="4">
        <v>-5</v>
      </c>
      <c r="E160" s="4">
        <v>-3</v>
      </c>
      <c r="F160" s="4">
        <v>-1</v>
      </c>
    </row>
    <row r="161" spans="1:6" x14ac:dyDescent="0.35">
      <c r="A161">
        <v>10</v>
      </c>
      <c r="B161">
        <v>16</v>
      </c>
      <c r="C161" t="s">
        <v>191</v>
      </c>
      <c r="D161" s="4">
        <v>0.5</v>
      </c>
      <c r="E161" s="4">
        <v>1</v>
      </c>
      <c r="F161" s="4">
        <v>2</v>
      </c>
    </row>
    <row r="162" spans="1:6" x14ac:dyDescent="0.35">
      <c r="A162">
        <v>11</v>
      </c>
      <c r="B162">
        <v>1</v>
      </c>
      <c r="C162" t="s">
        <v>176</v>
      </c>
      <c r="D162" s="4">
        <v>10</v>
      </c>
      <c r="E162" s="4">
        <v>30</v>
      </c>
      <c r="F162" s="4">
        <v>50</v>
      </c>
    </row>
    <row r="163" spans="1:6" x14ac:dyDescent="0.35">
      <c r="A163">
        <v>11</v>
      </c>
      <c r="B163">
        <v>2</v>
      </c>
      <c r="C163" t="s">
        <v>177</v>
      </c>
      <c r="D163" s="4">
        <v>0.1</v>
      </c>
      <c r="E163" s="4">
        <v>1</v>
      </c>
      <c r="F163" s="4">
        <v>10</v>
      </c>
    </row>
    <row r="164" spans="1:6" x14ac:dyDescent="0.35">
      <c r="A164">
        <v>11</v>
      </c>
      <c r="B164">
        <v>3</v>
      </c>
      <c r="C164" t="s">
        <v>178</v>
      </c>
      <c r="D164" s="4">
        <v>5</v>
      </c>
      <c r="E164" s="4">
        <v>10</v>
      </c>
      <c r="F164" s="4">
        <v>30</v>
      </c>
    </row>
    <row r="165" spans="1:6" x14ac:dyDescent="0.35">
      <c r="A165">
        <v>11</v>
      </c>
      <c r="B165">
        <v>4</v>
      </c>
      <c r="C165" t="s">
        <v>179</v>
      </c>
      <c r="D165" s="4">
        <v>10</v>
      </c>
      <c r="E165" s="4">
        <v>120</v>
      </c>
      <c r="F165" s="4">
        <v>4032</v>
      </c>
    </row>
    <row r="166" spans="1:6" x14ac:dyDescent="0.35">
      <c r="A166">
        <v>11</v>
      </c>
      <c r="B166">
        <v>5</v>
      </c>
      <c r="C166" t="s">
        <v>180</v>
      </c>
      <c r="D166" s="4">
        <v>0.1</v>
      </c>
      <c r="E166" s="4">
        <v>1</v>
      </c>
      <c r="F166" s="4">
        <v>2</v>
      </c>
    </row>
    <row r="167" spans="1:6" x14ac:dyDescent="0.35">
      <c r="A167">
        <v>11</v>
      </c>
      <c r="B167">
        <v>6</v>
      </c>
      <c r="C167" t="s">
        <v>181</v>
      </c>
      <c r="D167" s="4">
        <v>1</v>
      </c>
      <c r="E167" s="4">
        <v>10</v>
      </c>
      <c r="F167" s="4">
        <v>100</v>
      </c>
    </row>
    <row r="168" spans="1:6" x14ac:dyDescent="0.35">
      <c r="A168">
        <v>11</v>
      </c>
      <c r="B168">
        <v>7</v>
      </c>
      <c r="C168" t="s">
        <v>182</v>
      </c>
      <c r="D168" s="4">
        <v>10</v>
      </c>
      <c r="E168" s="4">
        <v>30</v>
      </c>
      <c r="F168" s="4">
        <v>70</v>
      </c>
    </row>
    <row r="169" spans="1:6" x14ac:dyDescent="0.35">
      <c r="A169">
        <v>11</v>
      </c>
      <c r="B169">
        <v>8</v>
      </c>
      <c r="C169" t="s">
        <v>183</v>
      </c>
      <c r="D169" s="4">
        <v>100</v>
      </c>
      <c r="E169" s="4">
        <v>300</v>
      </c>
      <c r="F169" s="4">
        <v>500</v>
      </c>
    </row>
    <row r="170" spans="1:6" x14ac:dyDescent="0.35">
      <c r="A170">
        <v>11</v>
      </c>
      <c r="B170">
        <v>9</v>
      </c>
      <c r="C170" t="s">
        <v>184</v>
      </c>
      <c r="D170" s="4">
        <v>5</v>
      </c>
      <c r="E170" s="4">
        <v>20</v>
      </c>
      <c r="F170" s="4">
        <v>50</v>
      </c>
    </row>
    <row r="171" spans="1:6" x14ac:dyDescent="0.35">
      <c r="A171">
        <v>11</v>
      </c>
      <c r="B171">
        <v>10</v>
      </c>
      <c r="C171" t="s">
        <v>185</v>
      </c>
      <c r="D171" s="4">
        <v>20</v>
      </c>
      <c r="E171" s="4">
        <v>100</v>
      </c>
      <c r="F171" s="4">
        <v>1000</v>
      </c>
    </row>
    <row r="172" spans="1:6" x14ac:dyDescent="0.35">
      <c r="A172">
        <v>11</v>
      </c>
      <c r="B172">
        <v>11</v>
      </c>
      <c r="C172" t="s">
        <v>186</v>
      </c>
      <c r="D172" s="4">
        <v>100</v>
      </c>
      <c r="E172" s="4">
        <v>1000</v>
      </c>
      <c r="F172" s="4">
        <v>3000</v>
      </c>
    </row>
    <row r="173" spans="1:6" x14ac:dyDescent="0.35">
      <c r="A173">
        <v>11</v>
      </c>
      <c r="B173">
        <v>12</v>
      </c>
      <c r="C173" t="s">
        <v>187</v>
      </c>
      <c r="D173" s="4">
        <v>9.9999999999999995E-7</v>
      </c>
      <c r="E173" s="4">
        <v>50</v>
      </c>
      <c r="F173" s="4">
        <v>100</v>
      </c>
    </row>
    <row r="174" spans="1:6" x14ac:dyDescent="0.35">
      <c r="A174">
        <v>11</v>
      </c>
      <c r="B174">
        <v>13</v>
      </c>
      <c r="C174" t="s">
        <v>188</v>
      </c>
      <c r="D174" s="4">
        <v>0.1</v>
      </c>
      <c r="E174" s="4">
        <v>2</v>
      </c>
      <c r="F174" s="4">
        <v>10</v>
      </c>
    </row>
    <row r="175" spans="1:6" x14ac:dyDescent="0.35">
      <c r="A175">
        <v>11</v>
      </c>
      <c r="B175">
        <v>14</v>
      </c>
      <c r="C175" t="s">
        <v>189</v>
      </c>
      <c r="D175" s="4">
        <v>50</v>
      </c>
      <c r="E175" s="4">
        <v>100</v>
      </c>
      <c r="F175" s="4">
        <v>1000</v>
      </c>
    </row>
    <row r="176" spans="1:6" x14ac:dyDescent="0.35">
      <c r="A176">
        <v>11</v>
      </c>
      <c r="B176">
        <v>15</v>
      </c>
      <c r="C176" t="s">
        <v>190</v>
      </c>
      <c r="D176" s="4">
        <v>-30</v>
      </c>
      <c r="E176" s="4">
        <v>-10</v>
      </c>
      <c r="F176" s="4">
        <v>-5</v>
      </c>
    </row>
    <row r="177" spans="1:6" x14ac:dyDescent="0.35">
      <c r="A177">
        <v>11</v>
      </c>
      <c r="B177">
        <v>16</v>
      </c>
      <c r="C177" t="s">
        <v>191</v>
      </c>
      <c r="D177" s="4">
        <v>3</v>
      </c>
      <c r="E177" s="4">
        <v>30</v>
      </c>
      <c r="F177" s="4">
        <v>100</v>
      </c>
    </row>
    <row r="178" spans="1:6" x14ac:dyDescent="0.35">
      <c r="A178">
        <v>12</v>
      </c>
      <c r="B178">
        <v>1</v>
      </c>
      <c r="C178" t="s">
        <v>176</v>
      </c>
      <c r="D178" s="4">
        <v>9.9999999999999995E-7</v>
      </c>
      <c r="E178" s="4">
        <v>10</v>
      </c>
      <c r="F178" s="4">
        <v>30</v>
      </c>
    </row>
    <row r="179" spans="1:6" x14ac:dyDescent="0.35">
      <c r="A179">
        <v>12</v>
      </c>
      <c r="B179">
        <v>2</v>
      </c>
      <c r="C179" t="s">
        <v>177</v>
      </c>
      <c r="D179" s="4">
        <v>0.05</v>
      </c>
      <c r="E179" s="4">
        <v>0.1</v>
      </c>
      <c r="F179" s="4">
        <v>0.5</v>
      </c>
    </row>
    <row r="180" spans="1:6" x14ac:dyDescent="0.35">
      <c r="A180">
        <v>12</v>
      </c>
      <c r="B180">
        <v>3</v>
      </c>
      <c r="C180" t="s">
        <v>178</v>
      </c>
      <c r="D180" s="4">
        <v>10</v>
      </c>
      <c r="E180" s="4">
        <v>20</v>
      </c>
      <c r="F180" s="4">
        <v>30</v>
      </c>
    </row>
    <row r="181" spans="1:6" x14ac:dyDescent="0.35">
      <c r="A181">
        <v>12</v>
      </c>
      <c r="B181">
        <v>4</v>
      </c>
      <c r="C181" t="s">
        <v>179</v>
      </c>
      <c r="D181" s="4">
        <v>17520</v>
      </c>
      <c r="E181" s="4">
        <v>43800</v>
      </c>
      <c r="F181" s="4">
        <v>87600</v>
      </c>
    </row>
    <row r="182" spans="1:6" x14ac:dyDescent="0.35">
      <c r="A182">
        <v>12</v>
      </c>
      <c r="B182">
        <v>5</v>
      </c>
      <c r="C182" t="s">
        <v>180</v>
      </c>
      <c r="D182" s="4">
        <v>0.2</v>
      </c>
      <c r="E182" s="4">
        <v>0.5</v>
      </c>
      <c r="F182" s="4">
        <v>0.7</v>
      </c>
    </row>
    <row r="183" spans="1:6" x14ac:dyDescent="0.35">
      <c r="A183">
        <v>12</v>
      </c>
      <c r="B183">
        <v>6</v>
      </c>
      <c r="C183" t="s">
        <v>181</v>
      </c>
      <c r="D183" s="4">
        <v>1</v>
      </c>
      <c r="E183" s="4">
        <v>3</v>
      </c>
      <c r="F183" s="4">
        <v>5</v>
      </c>
    </row>
    <row r="184" spans="1:6" x14ac:dyDescent="0.35">
      <c r="A184">
        <v>12</v>
      </c>
      <c r="B184">
        <v>7</v>
      </c>
      <c r="C184" t="s">
        <v>182</v>
      </c>
      <c r="D184" s="4">
        <v>50</v>
      </c>
      <c r="E184" s="4">
        <v>60</v>
      </c>
      <c r="F184" s="4">
        <v>70</v>
      </c>
    </row>
    <row r="185" spans="1:6" x14ac:dyDescent="0.35">
      <c r="A185">
        <v>12</v>
      </c>
      <c r="B185">
        <v>8</v>
      </c>
      <c r="C185" t="s">
        <v>183</v>
      </c>
      <c r="D185" s="4">
        <v>5</v>
      </c>
      <c r="E185" s="4">
        <v>10</v>
      </c>
      <c r="F185" s="4">
        <v>20</v>
      </c>
    </row>
    <row r="186" spans="1:6" x14ac:dyDescent="0.35">
      <c r="A186">
        <v>12</v>
      </c>
      <c r="B186">
        <v>9</v>
      </c>
      <c r="C186" t="s">
        <v>184</v>
      </c>
      <c r="D186" s="4">
        <v>10</v>
      </c>
      <c r="E186" s="4">
        <v>20</v>
      </c>
      <c r="F186" s="4">
        <v>30</v>
      </c>
    </row>
    <row r="187" spans="1:6" x14ac:dyDescent="0.35">
      <c r="A187">
        <v>12</v>
      </c>
      <c r="B187">
        <v>10</v>
      </c>
      <c r="C187" t="s">
        <v>185</v>
      </c>
      <c r="D187" s="4">
        <v>10</v>
      </c>
      <c r="E187" s="4">
        <v>20</v>
      </c>
      <c r="F187" s="4">
        <v>30</v>
      </c>
    </row>
    <row r="188" spans="1:6" x14ac:dyDescent="0.35">
      <c r="A188">
        <v>12</v>
      </c>
      <c r="B188">
        <v>11</v>
      </c>
      <c r="C188" t="s">
        <v>186</v>
      </c>
      <c r="D188" s="4">
        <v>200</v>
      </c>
      <c r="E188" s="4">
        <v>400</v>
      </c>
      <c r="F188" s="4">
        <v>600</v>
      </c>
    </row>
    <row r="189" spans="1:6" x14ac:dyDescent="0.35">
      <c r="A189">
        <v>12</v>
      </c>
      <c r="B189">
        <v>12</v>
      </c>
      <c r="C189" t="s">
        <v>187</v>
      </c>
      <c r="D189" s="4">
        <v>80</v>
      </c>
      <c r="E189" s="4">
        <v>90</v>
      </c>
      <c r="F189" s="4">
        <v>100</v>
      </c>
    </row>
    <row r="190" spans="1:6" x14ac:dyDescent="0.35">
      <c r="A190">
        <v>12</v>
      </c>
      <c r="B190">
        <v>13</v>
      </c>
      <c r="C190" t="s">
        <v>188</v>
      </c>
      <c r="D190" s="4">
        <v>0.3</v>
      </c>
      <c r="E190" s="4">
        <v>0.5</v>
      </c>
      <c r="F190" s="4">
        <v>1</v>
      </c>
    </row>
    <row r="191" spans="1:6" x14ac:dyDescent="0.35">
      <c r="A191">
        <v>12</v>
      </c>
      <c r="B191">
        <v>14</v>
      </c>
      <c r="C191" t="s">
        <v>189</v>
      </c>
      <c r="D191" s="4">
        <v>500</v>
      </c>
      <c r="E191" s="4">
        <v>1000</v>
      </c>
      <c r="F191" s="4">
        <v>1500</v>
      </c>
    </row>
    <row r="192" spans="1:6" x14ac:dyDescent="0.35">
      <c r="A192">
        <v>12</v>
      </c>
      <c r="B192">
        <v>15</v>
      </c>
      <c r="C192" t="s">
        <v>190</v>
      </c>
      <c r="D192" s="4">
        <v>10</v>
      </c>
      <c r="E192" s="4">
        <v>20</v>
      </c>
      <c r="F192" s="4">
        <v>30</v>
      </c>
    </row>
    <row r="193" spans="1:6" x14ac:dyDescent="0.35">
      <c r="A193">
        <v>12</v>
      </c>
      <c r="B193">
        <v>16</v>
      </c>
      <c r="C193" t="s">
        <v>191</v>
      </c>
      <c r="D193" s="4">
        <v>1</v>
      </c>
      <c r="E193" s="4">
        <v>5</v>
      </c>
      <c r="F193" s="4">
        <v>10</v>
      </c>
    </row>
    <row r="194" spans="1:6" x14ac:dyDescent="0.35">
      <c r="A194">
        <v>13</v>
      </c>
      <c r="B194">
        <v>1</v>
      </c>
      <c r="C194" t="s">
        <v>176</v>
      </c>
      <c r="D194" s="4">
        <v>9.9999999999999995E-7</v>
      </c>
      <c r="E194" s="4">
        <v>15</v>
      </c>
      <c r="F194" s="4">
        <v>35</v>
      </c>
    </row>
    <row r="195" spans="1:6" x14ac:dyDescent="0.35">
      <c r="A195">
        <v>13</v>
      </c>
      <c r="B195">
        <v>2</v>
      </c>
      <c r="C195" t="s">
        <v>177</v>
      </c>
      <c r="D195" s="4">
        <v>1</v>
      </c>
      <c r="E195" s="4">
        <v>5</v>
      </c>
      <c r="F195" s="4">
        <v>10</v>
      </c>
    </row>
    <row r="196" spans="1:6" x14ac:dyDescent="0.35">
      <c r="A196">
        <v>13</v>
      </c>
      <c r="B196">
        <v>3</v>
      </c>
      <c r="C196" t="s">
        <v>178</v>
      </c>
      <c r="D196" s="4">
        <v>5</v>
      </c>
      <c r="E196" s="4">
        <v>15</v>
      </c>
      <c r="F196" s="4">
        <v>50</v>
      </c>
    </row>
    <row r="197" spans="1:6" x14ac:dyDescent="0.35">
      <c r="A197">
        <v>13</v>
      </c>
      <c r="B197">
        <v>4</v>
      </c>
      <c r="C197" t="s">
        <v>179</v>
      </c>
      <c r="D197" s="4">
        <v>9000</v>
      </c>
      <c r="E197" s="4">
        <v>90000</v>
      </c>
      <c r="F197" s="4">
        <v>900000</v>
      </c>
    </row>
    <row r="198" spans="1:6" x14ac:dyDescent="0.35">
      <c r="A198">
        <v>13</v>
      </c>
      <c r="B198">
        <v>5</v>
      </c>
      <c r="C198" t="s">
        <v>180</v>
      </c>
      <c r="D198" s="4">
        <v>1.5</v>
      </c>
      <c r="E198" s="4">
        <v>2</v>
      </c>
      <c r="F198" s="4">
        <v>2.5</v>
      </c>
    </row>
    <row r="199" spans="1:6" x14ac:dyDescent="0.35">
      <c r="A199">
        <v>13</v>
      </c>
      <c r="B199">
        <v>6</v>
      </c>
      <c r="C199" t="s">
        <v>181</v>
      </c>
      <c r="D199" s="4">
        <v>100</v>
      </c>
      <c r="E199" s="4">
        <v>300</v>
      </c>
      <c r="F199" s="4">
        <v>500</v>
      </c>
    </row>
    <row r="200" spans="1:6" x14ac:dyDescent="0.35">
      <c r="A200">
        <v>13</v>
      </c>
      <c r="B200">
        <v>7</v>
      </c>
      <c r="C200" t="s">
        <v>182</v>
      </c>
      <c r="D200" s="4">
        <v>50</v>
      </c>
      <c r="E200" s="4">
        <v>100</v>
      </c>
      <c r="F200" s="4">
        <v>150</v>
      </c>
    </row>
    <row r="201" spans="1:6" x14ac:dyDescent="0.35">
      <c r="A201">
        <v>13</v>
      </c>
      <c r="B201">
        <v>8</v>
      </c>
      <c r="C201" t="s">
        <v>183</v>
      </c>
      <c r="D201" s="4">
        <v>45</v>
      </c>
      <c r="E201" s="4">
        <v>90</v>
      </c>
      <c r="F201" s="4">
        <v>260</v>
      </c>
    </row>
    <row r="202" spans="1:6" x14ac:dyDescent="0.35">
      <c r="A202">
        <v>13</v>
      </c>
      <c r="B202">
        <v>9</v>
      </c>
      <c r="C202" t="s">
        <v>184</v>
      </c>
      <c r="D202" s="4">
        <v>10</v>
      </c>
      <c r="E202" s="4">
        <v>50</v>
      </c>
      <c r="F202" s="4">
        <v>100</v>
      </c>
    </row>
    <row r="203" spans="1:6" x14ac:dyDescent="0.35">
      <c r="A203">
        <v>13</v>
      </c>
      <c r="B203">
        <v>10</v>
      </c>
      <c r="C203" t="s">
        <v>185</v>
      </c>
      <c r="D203" s="4">
        <v>10</v>
      </c>
      <c r="E203" s="4">
        <v>50</v>
      </c>
      <c r="F203" s="4">
        <v>100</v>
      </c>
    </row>
    <row r="204" spans="1:6" x14ac:dyDescent="0.35">
      <c r="A204">
        <v>13</v>
      </c>
      <c r="B204">
        <v>11</v>
      </c>
      <c r="C204" t="s">
        <v>186</v>
      </c>
      <c r="D204" s="4">
        <v>10000</v>
      </c>
      <c r="E204" s="4">
        <v>100000</v>
      </c>
      <c r="F204" s="4">
        <v>300000</v>
      </c>
    </row>
    <row r="205" spans="1:6" x14ac:dyDescent="0.35">
      <c r="A205">
        <v>13</v>
      </c>
      <c r="B205">
        <v>12</v>
      </c>
      <c r="C205" t="s">
        <v>187</v>
      </c>
      <c r="D205" s="4">
        <v>30</v>
      </c>
      <c r="E205" s="4">
        <v>50</v>
      </c>
      <c r="F205" s="4">
        <v>80</v>
      </c>
    </row>
    <row r="206" spans="1:6" x14ac:dyDescent="0.35">
      <c r="A206">
        <v>13</v>
      </c>
      <c r="B206">
        <v>13</v>
      </c>
      <c r="C206" t="s">
        <v>188</v>
      </c>
      <c r="D206" s="4">
        <v>0.1</v>
      </c>
      <c r="E206" s="4">
        <v>0.5</v>
      </c>
      <c r="F206" s="4">
        <v>1</v>
      </c>
    </row>
    <row r="207" spans="1:6" x14ac:dyDescent="0.35">
      <c r="A207">
        <v>13</v>
      </c>
      <c r="B207">
        <v>14</v>
      </c>
      <c r="C207" t="s">
        <v>189</v>
      </c>
      <c r="D207" s="4">
        <v>1500</v>
      </c>
      <c r="E207" s="4">
        <v>2000</v>
      </c>
      <c r="F207" s="4">
        <v>2500</v>
      </c>
    </row>
    <row r="208" spans="1:6" x14ac:dyDescent="0.35">
      <c r="A208">
        <v>13</v>
      </c>
      <c r="B208">
        <v>15</v>
      </c>
      <c r="C208" t="s">
        <v>190</v>
      </c>
      <c r="D208" s="4">
        <v>1</v>
      </c>
      <c r="E208" s="4">
        <v>3</v>
      </c>
      <c r="F208" s="4">
        <v>5</v>
      </c>
    </row>
    <row r="209" spans="1:6" x14ac:dyDescent="0.35">
      <c r="A209">
        <v>13</v>
      </c>
      <c r="B209">
        <v>16</v>
      </c>
      <c r="C209" t="s">
        <v>191</v>
      </c>
      <c r="D209" s="4">
        <v>0.01</v>
      </c>
      <c r="E209" s="4">
        <v>0.05</v>
      </c>
      <c r="F209" s="4">
        <v>0.1</v>
      </c>
    </row>
    <row r="210" spans="1:6" x14ac:dyDescent="0.35">
      <c r="A210">
        <v>14</v>
      </c>
      <c r="B210">
        <v>1</v>
      </c>
      <c r="C210" t="s">
        <v>176</v>
      </c>
      <c r="D210" s="4">
        <v>50</v>
      </c>
      <c r="E210" s="4">
        <v>60</v>
      </c>
      <c r="F210" s="4">
        <v>100</v>
      </c>
    </row>
    <row r="211" spans="1:6" x14ac:dyDescent="0.35">
      <c r="A211">
        <v>14</v>
      </c>
      <c r="B211">
        <v>2</v>
      </c>
      <c r="C211" t="s">
        <v>177</v>
      </c>
      <c r="D211" s="4">
        <v>99</v>
      </c>
      <c r="E211" s="4">
        <v>1000</v>
      </c>
      <c r="F211" s="4">
        <v>10000</v>
      </c>
    </row>
    <row r="212" spans="1:6" x14ac:dyDescent="0.35">
      <c r="A212">
        <v>14</v>
      </c>
      <c r="B212">
        <v>3</v>
      </c>
      <c r="C212" t="s">
        <v>178</v>
      </c>
      <c r="D212" s="4">
        <v>2</v>
      </c>
      <c r="E212" s="4">
        <v>5</v>
      </c>
      <c r="F212" s="4">
        <v>100</v>
      </c>
    </row>
    <row r="213" spans="1:6" x14ac:dyDescent="0.35">
      <c r="A213">
        <v>14</v>
      </c>
      <c r="B213">
        <v>4</v>
      </c>
      <c r="C213" t="s">
        <v>179</v>
      </c>
      <c r="D213" s="4">
        <v>120</v>
      </c>
      <c r="E213" s="4">
        <v>1200</v>
      </c>
      <c r="F213" s="4">
        <v>2880</v>
      </c>
    </row>
    <row r="214" spans="1:6" x14ac:dyDescent="0.35">
      <c r="A214">
        <v>14</v>
      </c>
      <c r="B214">
        <v>5</v>
      </c>
      <c r="C214" t="s">
        <v>180</v>
      </c>
      <c r="D214" s="4">
        <v>1</v>
      </c>
      <c r="E214" s="4">
        <v>10</v>
      </c>
      <c r="F214" s="4">
        <v>100</v>
      </c>
    </row>
    <row r="215" spans="1:6" x14ac:dyDescent="0.35">
      <c r="A215">
        <v>14</v>
      </c>
      <c r="B215">
        <v>6</v>
      </c>
      <c r="C215" t="s">
        <v>181</v>
      </c>
      <c r="D215" s="4">
        <v>1</v>
      </c>
      <c r="E215" s="4">
        <v>5</v>
      </c>
      <c r="F215" s="4">
        <v>20</v>
      </c>
    </row>
    <row r="216" spans="1:6" x14ac:dyDescent="0.35">
      <c r="A216">
        <v>14</v>
      </c>
      <c r="B216">
        <v>7</v>
      </c>
      <c r="C216" t="s">
        <v>182</v>
      </c>
      <c r="D216" s="4">
        <v>30</v>
      </c>
      <c r="E216" s="4">
        <v>60</v>
      </c>
      <c r="F216" s="4">
        <v>80</v>
      </c>
    </row>
    <row r="217" spans="1:6" x14ac:dyDescent="0.35">
      <c r="A217">
        <v>14</v>
      </c>
      <c r="B217">
        <v>8</v>
      </c>
      <c r="C217" t="s">
        <v>183</v>
      </c>
      <c r="D217" s="4">
        <v>5</v>
      </c>
      <c r="E217" s="4">
        <v>50</v>
      </c>
      <c r="F217" s="4">
        <v>100</v>
      </c>
    </row>
    <row r="218" spans="1:6" x14ac:dyDescent="0.35">
      <c r="A218">
        <v>14</v>
      </c>
      <c r="B218">
        <v>9</v>
      </c>
      <c r="C218" t="s">
        <v>184</v>
      </c>
      <c r="D218" s="4">
        <v>20</v>
      </c>
      <c r="E218" s="4">
        <v>100</v>
      </c>
      <c r="F218" s="4">
        <v>200</v>
      </c>
    </row>
    <row r="219" spans="1:6" x14ac:dyDescent="0.35">
      <c r="A219">
        <v>14</v>
      </c>
      <c r="B219">
        <v>10</v>
      </c>
      <c r="C219" t="s">
        <v>185</v>
      </c>
      <c r="D219" s="4">
        <v>500</v>
      </c>
      <c r="E219" s="4">
        <v>1000</v>
      </c>
      <c r="F219" s="4">
        <v>2000</v>
      </c>
    </row>
    <row r="220" spans="1:6" x14ac:dyDescent="0.35">
      <c r="A220">
        <v>14</v>
      </c>
      <c r="B220">
        <v>11</v>
      </c>
      <c r="C220" t="s">
        <v>186</v>
      </c>
      <c r="D220" s="4">
        <v>10000</v>
      </c>
      <c r="E220" s="4">
        <v>1000000</v>
      </c>
      <c r="F220" s="4">
        <v>100000000</v>
      </c>
    </row>
    <row r="221" spans="1:6" x14ac:dyDescent="0.35">
      <c r="A221">
        <v>14</v>
      </c>
      <c r="B221">
        <v>12</v>
      </c>
      <c r="C221" t="s">
        <v>187</v>
      </c>
      <c r="D221" s="4">
        <v>10</v>
      </c>
      <c r="E221" s="4">
        <v>20</v>
      </c>
      <c r="F221" s="4">
        <v>100</v>
      </c>
    </row>
    <row r="222" spans="1:6" x14ac:dyDescent="0.35">
      <c r="A222">
        <v>14</v>
      </c>
      <c r="B222">
        <v>13</v>
      </c>
      <c r="C222" t="s">
        <v>188</v>
      </c>
      <c r="D222" s="4">
        <v>0.8</v>
      </c>
      <c r="E222" s="4">
        <v>2</v>
      </c>
      <c r="F222" s="4">
        <v>4</v>
      </c>
    </row>
    <row r="223" spans="1:6" x14ac:dyDescent="0.35">
      <c r="A223">
        <v>14</v>
      </c>
      <c r="B223">
        <v>14</v>
      </c>
      <c r="C223" t="s">
        <v>189</v>
      </c>
      <c r="D223" s="4">
        <v>80</v>
      </c>
      <c r="E223" s="4">
        <v>100</v>
      </c>
      <c r="F223" s="4">
        <v>200</v>
      </c>
    </row>
    <row r="224" spans="1:6" x14ac:dyDescent="0.35">
      <c r="A224">
        <v>14</v>
      </c>
      <c r="B224">
        <v>15</v>
      </c>
      <c r="C224" t="s">
        <v>190</v>
      </c>
      <c r="D224" s="4">
        <v>2</v>
      </c>
      <c r="E224" s="4">
        <v>5</v>
      </c>
      <c r="F224" s="4">
        <v>10</v>
      </c>
    </row>
    <row r="225" spans="1:6" x14ac:dyDescent="0.35">
      <c r="A225">
        <v>14</v>
      </c>
      <c r="B225">
        <v>16</v>
      </c>
      <c r="C225" t="s">
        <v>191</v>
      </c>
      <c r="D225" s="4">
        <v>5</v>
      </c>
      <c r="E225" s="4">
        <v>10</v>
      </c>
      <c r="F225" s="4">
        <v>20</v>
      </c>
    </row>
    <row r="226" spans="1:6" x14ac:dyDescent="0.35">
      <c r="A226">
        <v>15</v>
      </c>
      <c r="B226">
        <v>1</v>
      </c>
      <c r="C226" t="s">
        <v>176</v>
      </c>
      <c r="D226" s="4">
        <v>2</v>
      </c>
      <c r="E226" s="4">
        <v>5</v>
      </c>
      <c r="F226" s="4">
        <v>8</v>
      </c>
    </row>
    <row r="227" spans="1:6" x14ac:dyDescent="0.35">
      <c r="A227">
        <v>15</v>
      </c>
      <c r="B227">
        <v>2</v>
      </c>
      <c r="C227" t="s">
        <v>177</v>
      </c>
      <c r="D227" s="4">
        <v>0.2</v>
      </c>
      <c r="E227" s="4">
        <v>0.5</v>
      </c>
      <c r="F227" s="4">
        <v>1</v>
      </c>
    </row>
    <row r="228" spans="1:6" x14ac:dyDescent="0.35">
      <c r="A228">
        <v>15</v>
      </c>
      <c r="B228">
        <v>3</v>
      </c>
      <c r="C228" t="s">
        <v>178</v>
      </c>
      <c r="D228" s="4">
        <v>15</v>
      </c>
      <c r="E228" s="4">
        <v>25</v>
      </c>
      <c r="F228" s="4">
        <v>30</v>
      </c>
    </row>
    <row r="229" spans="1:6" x14ac:dyDescent="0.35">
      <c r="A229">
        <v>15</v>
      </c>
      <c r="B229">
        <v>4</v>
      </c>
      <c r="C229" t="s">
        <v>179</v>
      </c>
      <c r="D229" s="4">
        <v>17520</v>
      </c>
      <c r="E229" s="4">
        <v>43800</v>
      </c>
      <c r="F229" s="4">
        <v>61320</v>
      </c>
    </row>
    <row r="230" spans="1:6" x14ac:dyDescent="0.35">
      <c r="A230">
        <v>15</v>
      </c>
      <c r="B230">
        <v>5</v>
      </c>
      <c r="C230" t="s">
        <v>180</v>
      </c>
      <c r="D230" s="4">
        <v>1.2</v>
      </c>
      <c r="E230" s="4">
        <v>1.5</v>
      </c>
      <c r="F230" s="4">
        <v>2</v>
      </c>
    </row>
    <row r="231" spans="1:6" x14ac:dyDescent="0.35">
      <c r="A231">
        <v>15</v>
      </c>
      <c r="B231">
        <v>6</v>
      </c>
      <c r="C231" t="s">
        <v>181</v>
      </c>
      <c r="D231" s="4">
        <v>5</v>
      </c>
      <c r="E231" s="4">
        <v>10</v>
      </c>
      <c r="F231" s="4">
        <v>20</v>
      </c>
    </row>
    <row r="232" spans="1:6" x14ac:dyDescent="0.35">
      <c r="A232">
        <v>15</v>
      </c>
      <c r="B232">
        <v>7</v>
      </c>
      <c r="C232" t="s">
        <v>182</v>
      </c>
      <c r="D232" s="4">
        <v>20</v>
      </c>
      <c r="E232" s="4">
        <v>25</v>
      </c>
      <c r="F232" s="4">
        <v>40</v>
      </c>
    </row>
    <row r="233" spans="1:6" x14ac:dyDescent="0.35">
      <c r="A233">
        <v>15</v>
      </c>
      <c r="B233">
        <v>8</v>
      </c>
      <c r="C233" t="s">
        <v>183</v>
      </c>
      <c r="D233" s="4">
        <v>1</v>
      </c>
      <c r="E233" s="4">
        <v>1.5</v>
      </c>
      <c r="F233" s="4">
        <v>2</v>
      </c>
    </row>
    <row r="234" spans="1:6" x14ac:dyDescent="0.35">
      <c r="A234">
        <v>15</v>
      </c>
      <c r="B234">
        <v>9</v>
      </c>
      <c r="C234" t="s">
        <v>184</v>
      </c>
      <c r="D234" s="4">
        <v>10</v>
      </c>
      <c r="E234" s="4">
        <v>20</v>
      </c>
      <c r="F234" s="4">
        <v>30</v>
      </c>
    </row>
    <row r="235" spans="1:6" x14ac:dyDescent="0.35">
      <c r="A235">
        <v>15</v>
      </c>
      <c r="B235">
        <v>10</v>
      </c>
      <c r="C235" t="s">
        <v>185</v>
      </c>
      <c r="D235" s="4">
        <v>10</v>
      </c>
      <c r="E235" s="4">
        <v>30</v>
      </c>
      <c r="F235" s="4">
        <v>50</v>
      </c>
    </row>
    <row r="236" spans="1:6" x14ac:dyDescent="0.35">
      <c r="A236">
        <v>15</v>
      </c>
      <c r="B236">
        <v>11</v>
      </c>
      <c r="C236" t="s">
        <v>186</v>
      </c>
      <c r="D236" s="4">
        <v>10000</v>
      </c>
      <c r="E236" s="4">
        <v>50000</v>
      </c>
      <c r="F236" s="4">
        <v>100000</v>
      </c>
    </row>
    <row r="237" spans="1:6" x14ac:dyDescent="0.35">
      <c r="A237">
        <v>15</v>
      </c>
      <c r="B237">
        <v>12</v>
      </c>
      <c r="C237" t="s">
        <v>187</v>
      </c>
      <c r="D237" s="4">
        <v>10</v>
      </c>
      <c r="E237" s="4">
        <v>30</v>
      </c>
      <c r="F237" s="4">
        <v>50</v>
      </c>
    </row>
    <row r="238" spans="1:6" x14ac:dyDescent="0.35">
      <c r="A238">
        <v>15</v>
      </c>
      <c r="B238">
        <v>13</v>
      </c>
      <c r="C238" t="s">
        <v>188</v>
      </c>
      <c r="D238" s="4">
        <v>5</v>
      </c>
      <c r="E238" s="4">
        <v>10</v>
      </c>
      <c r="F238" s="4">
        <v>20</v>
      </c>
    </row>
    <row r="239" spans="1:6" x14ac:dyDescent="0.35">
      <c r="A239">
        <v>15</v>
      </c>
      <c r="B239">
        <v>14</v>
      </c>
      <c r="C239" t="s">
        <v>189</v>
      </c>
      <c r="D239" s="4">
        <v>79</v>
      </c>
      <c r="E239" s="4">
        <v>80</v>
      </c>
      <c r="F239" s="4">
        <v>110</v>
      </c>
    </row>
    <row r="240" spans="1:6" x14ac:dyDescent="0.35">
      <c r="A240">
        <v>15</v>
      </c>
      <c r="B240">
        <v>15</v>
      </c>
      <c r="C240" t="s">
        <v>190</v>
      </c>
      <c r="D240" s="4">
        <v>-10</v>
      </c>
      <c r="E240" s="4">
        <v>-5</v>
      </c>
      <c r="F240" s="4">
        <v>-2</v>
      </c>
    </row>
    <row r="241" spans="1:6" x14ac:dyDescent="0.35">
      <c r="A241">
        <v>15</v>
      </c>
      <c r="B241">
        <v>16</v>
      </c>
      <c r="C241" t="s">
        <v>191</v>
      </c>
      <c r="D241" s="4">
        <v>20</v>
      </c>
      <c r="E241" s="4">
        <v>50</v>
      </c>
      <c r="F241" s="4">
        <v>100</v>
      </c>
    </row>
    <row r="242" spans="1:6" x14ac:dyDescent="0.35">
      <c r="A242">
        <v>16</v>
      </c>
      <c r="B242">
        <v>1</v>
      </c>
      <c r="C242" t="s">
        <v>176</v>
      </c>
      <c r="D242" s="4">
        <v>9</v>
      </c>
      <c r="E242" s="4">
        <v>30</v>
      </c>
      <c r="F242" s="4">
        <v>60</v>
      </c>
    </row>
    <row r="243" spans="1:6" x14ac:dyDescent="0.35">
      <c r="A243">
        <v>16</v>
      </c>
      <c r="B243">
        <v>2</v>
      </c>
      <c r="C243" t="s">
        <v>177</v>
      </c>
      <c r="D243" s="4">
        <v>500</v>
      </c>
      <c r="E243" s="4">
        <v>1000</v>
      </c>
      <c r="F243" s="4">
        <v>3000</v>
      </c>
    </row>
    <row r="244" spans="1:6" x14ac:dyDescent="0.35">
      <c r="A244">
        <v>16</v>
      </c>
      <c r="B244">
        <v>3</v>
      </c>
      <c r="C244" t="s">
        <v>178</v>
      </c>
      <c r="D244" s="4">
        <v>5</v>
      </c>
      <c r="E244" s="4">
        <v>10</v>
      </c>
      <c r="F244" s="4">
        <v>20</v>
      </c>
    </row>
    <row r="245" spans="1:6" x14ac:dyDescent="0.35">
      <c r="A245">
        <v>16</v>
      </c>
      <c r="B245">
        <v>4</v>
      </c>
      <c r="C245" t="s">
        <v>179</v>
      </c>
      <c r="D245" s="4">
        <v>4380</v>
      </c>
      <c r="E245" s="4">
        <v>8760</v>
      </c>
      <c r="F245" s="4">
        <v>26280</v>
      </c>
    </row>
    <row r="246" spans="1:6" x14ac:dyDescent="0.35">
      <c r="A246">
        <v>16</v>
      </c>
      <c r="B246">
        <v>5</v>
      </c>
      <c r="C246" t="s">
        <v>180</v>
      </c>
      <c r="D246" s="4">
        <v>1.5</v>
      </c>
      <c r="E246" s="4">
        <v>2</v>
      </c>
      <c r="F246" s="4">
        <v>3</v>
      </c>
    </row>
    <row r="247" spans="1:6" x14ac:dyDescent="0.35">
      <c r="A247">
        <v>16</v>
      </c>
      <c r="B247">
        <v>6</v>
      </c>
      <c r="C247" t="s">
        <v>181</v>
      </c>
      <c r="D247" s="4">
        <v>0.5</v>
      </c>
      <c r="E247" s="4">
        <v>1</v>
      </c>
      <c r="F247" s="4">
        <v>2</v>
      </c>
    </row>
    <row r="248" spans="1:6" x14ac:dyDescent="0.35">
      <c r="A248">
        <v>16</v>
      </c>
      <c r="B248">
        <v>7</v>
      </c>
      <c r="C248" t="s">
        <v>182</v>
      </c>
      <c r="D248" s="4">
        <v>7</v>
      </c>
      <c r="E248" s="4">
        <v>10</v>
      </c>
      <c r="F248" s="4">
        <v>12</v>
      </c>
    </row>
    <row r="249" spans="1:6" x14ac:dyDescent="0.35">
      <c r="A249">
        <v>16</v>
      </c>
      <c r="B249">
        <v>8</v>
      </c>
      <c r="C249" t="s">
        <v>183</v>
      </c>
      <c r="D249" s="4">
        <v>1</v>
      </c>
      <c r="E249" s="4">
        <v>5</v>
      </c>
      <c r="F249" s="4">
        <v>10</v>
      </c>
    </row>
    <row r="250" spans="1:6" x14ac:dyDescent="0.35">
      <c r="A250">
        <v>16</v>
      </c>
      <c r="B250">
        <v>9</v>
      </c>
      <c r="C250" t="s">
        <v>184</v>
      </c>
      <c r="D250" s="4">
        <v>10</v>
      </c>
      <c r="E250" s="4">
        <v>50</v>
      </c>
      <c r="F250" s="4">
        <v>100</v>
      </c>
    </row>
    <row r="251" spans="1:6" x14ac:dyDescent="0.35">
      <c r="A251">
        <v>16</v>
      </c>
      <c r="B251">
        <v>10</v>
      </c>
      <c r="C251" t="s">
        <v>185</v>
      </c>
      <c r="D251" s="4">
        <v>5</v>
      </c>
      <c r="E251" s="4">
        <v>10</v>
      </c>
      <c r="F251" s="4">
        <v>100</v>
      </c>
    </row>
    <row r="252" spans="1:6" x14ac:dyDescent="0.35">
      <c r="A252">
        <v>16</v>
      </c>
      <c r="B252">
        <v>11</v>
      </c>
      <c r="C252" t="s">
        <v>186</v>
      </c>
      <c r="D252" s="4">
        <v>100</v>
      </c>
      <c r="E252" s="4">
        <v>1000</v>
      </c>
      <c r="F252" s="4">
        <v>5000</v>
      </c>
    </row>
    <row r="253" spans="1:6" x14ac:dyDescent="0.35">
      <c r="A253">
        <v>16</v>
      </c>
      <c r="B253">
        <v>12</v>
      </c>
      <c r="C253" t="s">
        <v>187</v>
      </c>
      <c r="D253" s="4">
        <v>5</v>
      </c>
      <c r="E253" s="4">
        <v>10</v>
      </c>
      <c r="F253" s="4">
        <v>20</v>
      </c>
    </row>
    <row r="254" spans="1:6" x14ac:dyDescent="0.35">
      <c r="A254">
        <v>16</v>
      </c>
      <c r="B254">
        <v>13</v>
      </c>
      <c r="C254" t="s">
        <v>188</v>
      </c>
      <c r="D254" s="4">
        <v>3</v>
      </c>
      <c r="E254" s="4">
        <v>5</v>
      </c>
      <c r="F254" s="4">
        <v>7</v>
      </c>
    </row>
    <row r="255" spans="1:6" x14ac:dyDescent="0.35">
      <c r="A255">
        <v>16</v>
      </c>
      <c r="B255">
        <v>14</v>
      </c>
      <c r="C255" t="s">
        <v>189</v>
      </c>
      <c r="D255" s="4">
        <v>80</v>
      </c>
      <c r="E255" s="4">
        <v>100</v>
      </c>
      <c r="F255" s="4">
        <v>120</v>
      </c>
    </row>
    <row r="256" spans="1:6" x14ac:dyDescent="0.35">
      <c r="A256">
        <v>16</v>
      </c>
      <c r="B256">
        <v>15</v>
      </c>
      <c r="C256" t="s">
        <v>190</v>
      </c>
      <c r="D256" s="4">
        <v>-5</v>
      </c>
      <c r="E256" s="4">
        <v>-3</v>
      </c>
      <c r="F256" s="4">
        <v>-1</v>
      </c>
    </row>
    <row r="257" spans="1:6" x14ac:dyDescent="0.35">
      <c r="A257">
        <v>16</v>
      </c>
      <c r="B257">
        <v>16</v>
      </c>
      <c r="C257" t="s">
        <v>191</v>
      </c>
      <c r="D257" s="4">
        <v>0.1</v>
      </c>
      <c r="E257" s="4">
        <v>0.5</v>
      </c>
      <c r="F257" s="4">
        <v>1</v>
      </c>
    </row>
    <row r="258" spans="1:6" x14ac:dyDescent="0.35">
      <c r="A258">
        <v>17</v>
      </c>
      <c r="B258">
        <v>1</v>
      </c>
      <c r="C258" t="s">
        <v>176</v>
      </c>
      <c r="D258" s="4">
        <v>2</v>
      </c>
      <c r="E258" s="4">
        <v>4</v>
      </c>
      <c r="F258" s="4">
        <v>15</v>
      </c>
    </row>
    <row r="259" spans="1:6" x14ac:dyDescent="0.35">
      <c r="A259">
        <v>17</v>
      </c>
      <c r="B259">
        <v>2</v>
      </c>
      <c r="C259" t="s">
        <v>177</v>
      </c>
      <c r="D259" s="4">
        <v>8</v>
      </c>
      <c r="E259" s="4">
        <v>10</v>
      </c>
      <c r="F259" s="4">
        <v>12</v>
      </c>
    </row>
    <row r="260" spans="1:6" x14ac:dyDescent="0.35">
      <c r="A260">
        <v>17</v>
      </c>
      <c r="B260">
        <v>3</v>
      </c>
      <c r="C260" t="s">
        <v>178</v>
      </c>
      <c r="D260" s="4">
        <v>5</v>
      </c>
      <c r="E260" s="4">
        <v>6</v>
      </c>
      <c r="F260" s="4">
        <v>7</v>
      </c>
    </row>
    <row r="261" spans="1:6" x14ac:dyDescent="0.35">
      <c r="A261">
        <v>17</v>
      </c>
      <c r="B261">
        <v>4</v>
      </c>
      <c r="C261" t="s">
        <v>179</v>
      </c>
      <c r="D261" s="4">
        <v>4380</v>
      </c>
      <c r="E261" s="4">
        <v>6132</v>
      </c>
      <c r="F261" s="4">
        <v>8760</v>
      </c>
    </row>
    <row r="262" spans="1:6" x14ac:dyDescent="0.35">
      <c r="A262">
        <v>17</v>
      </c>
      <c r="B262">
        <v>5</v>
      </c>
      <c r="C262" t="s">
        <v>180</v>
      </c>
      <c r="D262" s="4">
        <v>2</v>
      </c>
      <c r="E262" s="4">
        <v>4</v>
      </c>
      <c r="F262" s="4">
        <v>6</v>
      </c>
    </row>
    <row r="263" spans="1:6" x14ac:dyDescent="0.35">
      <c r="A263">
        <v>17</v>
      </c>
      <c r="B263">
        <v>6</v>
      </c>
      <c r="C263" t="s">
        <v>181</v>
      </c>
      <c r="D263" s="4">
        <v>5</v>
      </c>
      <c r="E263" s="4">
        <v>10</v>
      </c>
      <c r="F263" s="4">
        <v>13</v>
      </c>
    </row>
    <row r="264" spans="1:6" x14ac:dyDescent="0.35">
      <c r="A264">
        <v>17</v>
      </c>
      <c r="B264">
        <v>7</v>
      </c>
      <c r="C264" t="s">
        <v>182</v>
      </c>
      <c r="D264" s="4">
        <v>60</v>
      </c>
      <c r="E264" s="4">
        <v>70</v>
      </c>
      <c r="F264" s="4">
        <v>80</v>
      </c>
    </row>
    <row r="265" spans="1:6" x14ac:dyDescent="0.35">
      <c r="A265">
        <v>17</v>
      </c>
      <c r="B265">
        <v>8</v>
      </c>
      <c r="C265" t="s">
        <v>183</v>
      </c>
      <c r="D265" s="4">
        <v>20</v>
      </c>
      <c r="E265" s="4">
        <v>25</v>
      </c>
      <c r="F265" s="4">
        <v>30</v>
      </c>
    </row>
    <row r="266" spans="1:6" x14ac:dyDescent="0.35">
      <c r="A266">
        <v>17</v>
      </c>
      <c r="B266">
        <v>9</v>
      </c>
      <c r="C266" t="s">
        <v>184</v>
      </c>
      <c r="D266" s="4">
        <v>20</v>
      </c>
      <c r="E266" s="4">
        <v>25</v>
      </c>
      <c r="F266" s="4">
        <v>30</v>
      </c>
    </row>
    <row r="267" spans="1:6" x14ac:dyDescent="0.35">
      <c r="A267">
        <v>17</v>
      </c>
      <c r="B267">
        <v>10</v>
      </c>
      <c r="C267" t="s">
        <v>185</v>
      </c>
      <c r="D267" s="4">
        <v>500</v>
      </c>
      <c r="E267" s="4">
        <v>1000</v>
      </c>
      <c r="F267" s="4">
        <v>2000</v>
      </c>
    </row>
    <row r="268" spans="1:6" x14ac:dyDescent="0.35">
      <c r="A268">
        <v>17</v>
      </c>
      <c r="B268">
        <v>11</v>
      </c>
      <c r="C268" t="s">
        <v>186</v>
      </c>
      <c r="D268" s="4">
        <v>1000</v>
      </c>
      <c r="E268" s="4">
        <v>5000</v>
      </c>
      <c r="F268" s="4">
        <v>10000</v>
      </c>
    </row>
    <row r="269" spans="1:6" x14ac:dyDescent="0.35">
      <c r="A269">
        <v>17</v>
      </c>
      <c r="B269">
        <v>12</v>
      </c>
      <c r="C269" t="s">
        <v>187</v>
      </c>
      <c r="D269" s="4">
        <v>100</v>
      </c>
      <c r="E269" s="4">
        <v>120</v>
      </c>
      <c r="F269" s="4">
        <v>130</v>
      </c>
    </row>
    <row r="270" spans="1:6" x14ac:dyDescent="0.35">
      <c r="A270">
        <v>17</v>
      </c>
      <c r="B270">
        <v>13</v>
      </c>
      <c r="C270" t="s">
        <v>188</v>
      </c>
      <c r="D270" s="4">
        <v>0.05</v>
      </c>
      <c r="E270" s="4">
        <v>0.15</v>
      </c>
      <c r="F270" s="4">
        <v>0.2</v>
      </c>
    </row>
    <row r="271" spans="1:6" x14ac:dyDescent="0.35">
      <c r="A271">
        <v>17</v>
      </c>
      <c r="B271">
        <v>14</v>
      </c>
      <c r="C271" t="s">
        <v>189</v>
      </c>
      <c r="D271" s="4">
        <v>250</v>
      </c>
      <c r="E271" s="4">
        <v>300</v>
      </c>
      <c r="F271" s="4">
        <v>350</v>
      </c>
    </row>
    <row r="272" spans="1:6" x14ac:dyDescent="0.35">
      <c r="A272">
        <v>17</v>
      </c>
      <c r="B272">
        <v>15</v>
      </c>
      <c r="C272" t="s">
        <v>190</v>
      </c>
      <c r="D272" s="4">
        <v>7</v>
      </c>
      <c r="E272" s="4">
        <v>13</v>
      </c>
      <c r="F272" s="4">
        <v>15</v>
      </c>
    </row>
    <row r="273" spans="1:6" x14ac:dyDescent="0.35">
      <c r="A273">
        <v>17</v>
      </c>
      <c r="B273">
        <v>16</v>
      </c>
      <c r="C273" t="s">
        <v>191</v>
      </c>
      <c r="D273" s="4">
        <v>20</v>
      </c>
      <c r="E273" s="4">
        <v>30</v>
      </c>
      <c r="F273" s="4">
        <v>40</v>
      </c>
    </row>
    <row r="274" spans="1:6" x14ac:dyDescent="0.35">
      <c r="A274">
        <v>18</v>
      </c>
      <c r="B274">
        <v>1</v>
      </c>
      <c r="C274" t="s">
        <v>176</v>
      </c>
      <c r="D274" s="4">
        <v>9.9999999999999995E-7</v>
      </c>
      <c r="E274" s="4">
        <v>5</v>
      </c>
      <c r="F274" s="4">
        <v>20</v>
      </c>
    </row>
    <row r="275" spans="1:6" x14ac:dyDescent="0.35">
      <c r="A275">
        <v>18</v>
      </c>
      <c r="B275">
        <v>2</v>
      </c>
      <c r="C275" t="s">
        <v>177</v>
      </c>
      <c r="D275" s="4">
        <v>1</v>
      </c>
      <c r="E275" s="4">
        <v>40</v>
      </c>
      <c r="F275" s="4">
        <v>1000</v>
      </c>
    </row>
    <row r="276" spans="1:6" x14ac:dyDescent="0.35">
      <c r="A276">
        <v>18</v>
      </c>
      <c r="B276">
        <v>3</v>
      </c>
      <c r="C276" t="s">
        <v>178</v>
      </c>
      <c r="D276" s="4">
        <v>5</v>
      </c>
      <c r="E276" s="4">
        <v>25</v>
      </c>
      <c r="F276" s="4">
        <v>60</v>
      </c>
    </row>
    <row r="277" spans="1:6" x14ac:dyDescent="0.35">
      <c r="A277">
        <v>18</v>
      </c>
      <c r="B277">
        <v>4</v>
      </c>
      <c r="C277" t="s">
        <v>179</v>
      </c>
      <c r="D277" s="4">
        <v>168</v>
      </c>
      <c r="E277" s="4">
        <v>1008</v>
      </c>
      <c r="F277" s="4">
        <v>43800</v>
      </c>
    </row>
    <row r="278" spans="1:6" x14ac:dyDescent="0.35">
      <c r="A278">
        <v>18</v>
      </c>
      <c r="B278">
        <v>5</v>
      </c>
      <c r="C278" t="s">
        <v>180</v>
      </c>
      <c r="D278" s="4">
        <v>1</v>
      </c>
      <c r="E278" s="4">
        <v>2</v>
      </c>
      <c r="F278" s="4">
        <v>4</v>
      </c>
    </row>
    <row r="279" spans="1:6" x14ac:dyDescent="0.35">
      <c r="A279">
        <v>18</v>
      </c>
      <c r="B279">
        <v>6</v>
      </c>
      <c r="C279" t="s">
        <v>181</v>
      </c>
      <c r="D279" s="4">
        <v>1</v>
      </c>
      <c r="E279" s="4">
        <v>10</v>
      </c>
      <c r="F279" s="4">
        <v>25</v>
      </c>
    </row>
    <row r="280" spans="1:6" x14ac:dyDescent="0.35">
      <c r="A280">
        <v>18</v>
      </c>
      <c r="B280">
        <v>7</v>
      </c>
      <c r="C280" t="s">
        <v>182</v>
      </c>
      <c r="D280" s="4">
        <v>10</v>
      </c>
      <c r="E280" s="4">
        <v>200</v>
      </c>
      <c r="F280" s="4">
        <v>500</v>
      </c>
    </row>
    <row r="281" spans="1:6" x14ac:dyDescent="0.35">
      <c r="A281">
        <v>18</v>
      </c>
      <c r="B281">
        <v>8</v>
      </c>
      <c r="C281" t="s">
        <v>183</v>
      </c>
      <c r="D281" s="4">
        <v>1</v>
      </c>
      <c r="E281" s="4">
        <v>10</v>
      </c>
      <c r="F281" s="4">
        <v>50</v>
      </c>
    </row>
    <row r="282" spans="1:6" x14ac:dyDescent="0.35">
      <c r="A282">
        <v>18</v>
      </c>
      <c r="B282">
        <v>9</v>
      </c>
      <c r="C282" t="s">
        <v>184</v>
      </c>
      <c r="D282" s="4">
        <v>10</v>
      </c>
      <c r="E282" s="4">
        <v>50</v>
      </c>
      <c r="F282" s="4">
        <v>100</v>
      </c>
    </row>
    <row r="283" spans="1:6" x14ac:dyDescent="0.35">
      <c r="A283">
        <v>18</v>
      </c>
      <c r="B283">
        <v>10</v>
      </c>
      <c r="C283" t="s">
        <v>185</v>
      </c>
      <c r="D283" s="4">
        <v>10</v>
      </c>
      <c r="E283" s="4">
        <v>50</v>
      </c>
      <c r="F283" s="4">
        <v>1000</v>
      </c>
    </row>
    <row r="284" spans="1:6" x14ac:dyDescent="0.35">
      <c r="A284">
        <v>18</v>
      </c>
      <c r="B284">
        <v>11</v>
      </c>
      <c r="C284" t="s">
        <v>186</v>
      </c>
      <c r="D284" s="4">
        <v>2000</v>
      </c>
      <c r="E284" s="4">
        <v>5000</v>
      </c>
      <c r="F284" s="4">
        <v>10000</v>
      </c>
    </row>
    <row r="285" spans="1:6" x14ac:dyDescent="0.35">
      <c r="A285">
        <v>18</v>
      </c>
      <c r="B285">
        <v>12</v>
      </c>
      <c r="C285" t="s">
        <v>187</v>
      </c>
      <c r="D285" s="4">
        <v>10</v>
      </c>
      <c r="E285" s="4">
        <v>50</v>
      </c>
      <c r="F285" s="4">
        <v>100</v>
      </c>
    </row>
    <row r="286" spans="1:6" x14ac:dyDescent="0.35">
      <c r="A286">
        <v>18</v>
      </c>
      <c r="B286">
        <v>13</v>
      </c>
      <c r="C286" t="s">
        <v>188</v>
      </c>
      <c r="D286" s="4">
        <v>1</v>
      </c>
      <c r="E286" s="4">
        <v>5</v>
      </c>
      <c r="F286" s="4">
        <v>10</v>
      </c>
    </row>
    <row r="287" spans="1:6" x14ac:dyDescent="0.35">
      <c r="A287">
        <v>18</v>
      </c>
      <c r="B287">
        <v>14</v>
      </c>
      <c r="C287" t="s">
        <v>189</v>
      </c>
      <c r="D287" s="4">
        <v>50</v>
      </c>
      <c r="E287" s="4">
        <v>500</v>
      </c>
      <c r="F287" s="4">
        <v>5000</v>
      </c>
    </row>
    <row r="288" spans="1:6" x14ac:dyDescent="0.35">
      <c r="A288">
        <v>18</v>
      </c>
      <c r="B288">
        <v>15</v>
      </c>
      <c r="C288" t="s">
        <v>190</v>
      </c>
      <c r="D288" s="4">
        <v>-25</v>
      </c>
      <c r="E288" s="4">
        <v>-10</v>
      </c>
      <c r="F288" s="4">
        <v>-5</v>
      </c>
    </row>
    <row r="289" spans="1:6" x14ac:dyDescent="0.35">
      <c r="A289">
        <v>18</v>
      </c>
      <c r="B289">
        <v>16</v>
      </c>
      <c r="C289" t="s">
        <v>191</v>
      </c>
      <c r="D289" s="4">
        <v>10</v>
      </c>
      <c r="E289" s="4">
        <v>250</v>
      </c>
      <c r="F289" s="4">
        <v>2000</v>
      </c>
    </row>
    <row r="290" spans="1:6" x14ac:dyDescent="0.35">
      <c r="A290">
        <v>19</v>
      </c>
      <c r="B290">
        <v>1</v>
      </c>
      <c r="C290" t="s">
        <v>176</v>
      </c>
      <c r="D290" s="4">
        <v>0.5</v>
      </c>
      <c r="E290" s="4">
        <v>10</v>
      </c>
      <c r="F290" s="4">
        <v>30</v>
      </c>
    </row>
    <row r="291" spans="1:6" x14ac:dyDescent="0.35">
      <c r="A291">
        <v>19</v>
      </c>
      <c r="B291">
        <v>2</v>
      </c>
      <c r="C291" t="s">
        <v>177</v>
      </c>
      <c r="D291" s="4">
        <v>1000</v>
      </c>
      <c r="E291" s="4">
        <v>2000</v>
      </c>
      <c r="F291" s="4">
        <v>3000</v>
      </c>
    </row>
    <row r="292" spans="1:6" x14ac:dyDescent="0.35">
      <c r="A292">
        <v>19</v>
      </c>
      <c r="B292">
        <v>3</v>
      </c>
      <c r="C292" t="s">
        <v>178</v>
      </c>
      <c r="D292" s="4">
        <v>6</v>
      </c>
      <c r="E292" s="4">
        <v>15</v>
      </c>
      <c r="F292" s="4">
        <v>60</v>
      </c>
    </row>
    <row r="293" spans="1:6" x14ac:dyDescent="0.35">
      <c r="A293">
        <v>19</v>
      </c>
      <c r="B293">
        <v>4</v>
      </c>
      <c r="C293" t="s">
        <v>179</v>
      </c>
      <c r="D293" s="4">
        <v>17520</v>
      </c>
      <c r="E293" s="4">
        <v>87600</v>
      </c>
      <c r="F293" s="4">
        <v>131400</v>
      </c>
    </row>
    <row r="294" spans="1:6" x14ac:dyDescent="0.35">
      <c r="A294">
        <v>19</v>
      </c>
      <c r="B294">
        <v>5</v>
      </c>
      <c r="C294" t="s">
        <v>180</v>
      </c>
      <c r="D294" s="4">
        <v>0.5</v>
      </c>
      <c r="E294" s="4">
        <v>2</v>
      </c>
      <c r="F294" s="4">
        <v>2.5</v>
      </c>
    </row>
    <row r="295" spans="1:6" x14ac:dyDescent="0.35">
      <c r="A295">
        <v>19</v>
      </c>
      <c r="B295">
        <v>6</v>
      </c>
      <c r="C295" t="s">
        <v>181</v>
      </c>
      <c r="D295" s="4">
        <v>1</v>
      </c>
      <c r="E295" s="4">
        <v>10</v>
      </c>
      <c r="F295" s="4">
        <v>20</v>
      </c>
    </row>
    <row r="296" spans="1:6" x14ac:dyDescent="0.35">
      <c r="A296">
        <v>19</v>
      </c>
      <c r="B296">
        <v>7</v>
      </c>
      <c r="C296" t="s">
        <v>182</v>
      </c>
      <c r="D296" s="4">
        <v>10</v>
      </c>
      <c r="E296" s="4">
        <v>50</v>
      </c>
      <c r="F296" s="4">
        <v>120</v>
      </c>
    </row>
    <row r="297" spans="1:6" x14ac:dyDescent="0.35">
      <c r="A297">
        <v>19</v>
      </c>
      <c r="B297">
        <v>8</v>
      </c>
      <c r="C297" t="s">
        <v>183</v>
      </c>
      <c r="D297" s="4">
        <v>5</v>
      </c>
      <c r="E297" s="4">
        <v>10</v>
      </c>
      <c r="F297" s="4">
        <v>40</v>
      </c>
    </row>
    <row r="298" spans="1:6" x14ac:dyDescent="0.35">
      <c r="A298">
        <v>19</v>
      </c>
      <c r="B298">
        <v>9</v>
      </c>
      <c r="C298" t="s">
        <v>184</v>
      </c>
      <c r="D298" s="4">
        <v>5</v>
      </c>
      <c r="E298" s="4">
        <v>10</v>
      </c>
      <c r="F298" s="4">
        <v>30</v>
      </c>
    </row>
    <row r="299" spans="1:6" x14ac:dyDescent="0.35">
      <c r="A299">
        <v>19</v>
      </c>
      <c r="B299">
        <v>10</v>
      </c>
      <c r="C299" t="s">
        <v>185</v>
      </c>
      <c r="D299" s="4">
        <v>50</v>
      </c>
      <c r="E299" s="4">
        <v>450</v>
      </c>
      <c r="F299" s="4">
        <v>1000</v>
      </c>
    </row>
    <row r="300" spans="1:6" x14ac:dyDescent="0.35">
      <c r="A300">
        <v>19</v>
      </c>
      <c r="B300">
        <v>11</v>
      </c>
      <c r="C300" t="s">
        <v>186</v>
      </c>
      <c r="D300" s="4">
        <v>100000</v>
      </c>
      <c r="E300" s="4">
        <v>1000000</v>
      </c>
      <c r="F300" s="4">
        <v>18000000</v>
      </c>
    </row>
    <row r="301" spans="1:6" x14ac:dyDescent="0.35">
      <c r="A301">
        <v>19</v>
      </c>
      <c r="B301">
        <v>12</v>
      </c>
      <c r="C301" t="s">
        <v>187</v>
      </c>
      <c r="D301" s="4">
        <v>25</v>
      </c>
      <c r="E301" s="4">
        <v>60</v>
      </c>
      <c r="F301" s="4">
        <v>80</v>
      </c>
    </row>
    <row r="302" spans="1:6" x14ac:dyDescent="0.35">
      <c r="A302">
        <v>19</v>
      </c>
      <c r="B302">
        <v>13</v>
      </c>
      <c r="C302" t="s">
        <v>188</v>
      </c>
      <c r="D302" s="4">
        <v>0.01</v>
      </c>
      <c r="E302" s="4">
        <v>0.03</v>
      </c>
      <c r="F302" s="4">
        <v>0.1</v>
      </c>
    </row>
    <row r="303" spans="1:6" x14ac:dyDescent="0.35">
      <c r="A303">
        <v>19</v>
      </c>
      <c r="B303">
        <v>14</v>
      </c>
      <c r="C303" t="s">
        <v>189</v>
      </c>
      <c r="D303" s="4">
        <v>20</v>
      </c>
      <c r="E303" s="4">
        <v>250</v>
      </c>
      <c r="F303" s="4">
        <v>400</v>
      </c>
    </row>
    <row r="304" spans="1:6" x14ac:dyDescent="0.35">
      <c r="A304">
        <v>19</v>
      </c>
      <c r="B304">
        <v>15</v>
      </c>
      <c r="C304" t="s">
        <v>190</v>
      </c>
      <c r="D304" s="4">
        <v>-1.5</v>
      </c>
      <c r="E304" s="4">
        <v>0.5</v>
      </c>
      <c r="F304" s="4">
        <v>1.5</v>
      </c>
    </row>
    <row r="305" spans="1:6" x14ac:dyDescent="0.35">
      <c r="A305">
        <v>19</v>
      </c>
      <c r="B305">
        <v>16</v>
      </c>
      <c r="C305" t="s">
        <v>191</v>
      </c>
      <c r="D305" s="4">
        <v>3</v>
      </c>
      <c r="E305" s="4">
        <v>5</v>
      </c>
      <c r="F305" s="4">
        <v>12</v>
      </c>
    </row>
    <row r="306" spans="1:6" x14ac:dyDescent="0.35">
      <c r="A306">
        <v>20</v>
      </c>
      <c r="B306">
        <v>1</v>
      </c>
      <c r="C306" t="s">
        <v>176</v>
      </c>
      <c r="D306" s="4">
        <v>5</v>
      </c>
      <c r="E306" s="4">
        <v>10</v>
      </c>
      <c r="F306" s="4">
        <v>15</v>
      </c>
    </row>
    <row r="307" spans="1:6" x14ac:dyDescent="0.35">
      <c r="A307">
        <v>20</v>
      </c>
      <c r="B307">
        <v>2</v>
      </c>
      <c r="C307" t="s">
        <v>177</v>
      </c>
      <c r="D307" s="4">
        <v>6000</v>
      </c>
      <c r="E307" s="4">
        <v>10000</v>
      </c>
      <c r="F307" s="4">
        <v>30000</v>
      </c>
    </row>
    <row r="308" spans="1:6" x14ac:dyDescent="0.35">
      <c r="A308">
        <v>20</v>
      </c>
      <c r="B308">
        <v>3</v>
      </c>
      <c r="C308" t="s">
        <v>178</v>
      </c>
      <c r="D308" s="4">
        <v>30</v>
      </c>
      <c r="E308" s="4">
        <v>40</v>
      </c>
      <c r="F308" s="4">
        <v>60</v>
      </c>
    </row>
    <row r="309" spans="1:6" x14ac:dyDescent="0.35">
      <c r="A309">
        <v>20</v>
      </c>
      <c r="B309">
        <v>4</v>
      </c>
      <c r="C309" t="s">
        <v>179</v>
      </c>
      <c r="D309" s="4">
        <v>4380</v>
      </c>
      <c r="E309" s="4">
        <v>17520</v>
      </c>
      <c r="F309" s="4">
        <v>35040</v>
      </c>
    </row>
    <row r="310" spans="1:6" x14ac:dyDescent="0.35">
      <c r="A310">
        <v>20</v>
      </c>
      <c r="B310">
        <v>5</v>
      </c>
      <c r="C310" t="s">
        <v>180</v>
      </c>
      <c r="D310" s="4">
        <v>-1</v>
      </c>
      <c r="E310" s="4">
        <v>0.5</v>
      </c>
      <c r="F310" s="4">
        <v>2</v>
      </c>
    </row>
    <row r="311" spans="1:6" x14ac:dyDescent="0.35">
      <c r="A311">
        <v>20</v>
      </c>
      <c r="B311">
        <v>6</v>
      </c>
      <c r="C311" t="s">
        <v>181</v>
      </c>
      <c r="D311" s="4">
        <v>10</v>
      </c>
      <c r="E311" s="4">
        <v>1000</v>
      </c>
      <c r="F311" s="4">
        <v>20000</v>
      </c>
    </row>
    <row r="312" spans="1:6" x14ac:dyDescent="0.35">
      <c r="A312">
        <v>20</v>
      </c>
      <c r="B312">
        <v>7</v>
      </c>
      <c r="C312" t="s">
        <v>182</v>
      </c>
      <c r="D312" s="4">
        <v>20</v>
      </c>
      <c r="E312" s="4">
        <v>50</v>
      </c>
      <c r="F312" s="4">
        <v>100</v>
      </c>
    </row>
    <row r="313" spans="1:6" x14ac:dyDescent="0.35">
      <c r="A313">
        <v>20</v>
      </c>
      <c r="B313">
        <v>8</v>
      </c>
      <c r="C313" t="s">
        <v>183</v>
      </c>
      <c r="D313" s="4">
        <v>10</v>
      </c>
      <c r="E313" s="4">
        <v>100</v>
      </c>
      <c r="F313" s="4">
        <v>200</v>
      </c>
    </row>
    <row r="314" spans="1:6" x14ac:dyDescent="0.35">
      <c r="A314">
        <v>20</v>
      </c>
      <c r="B314">
        <v>9</v>
      </c>
      <c r="C314" t="s">
        <v>184</v>
      </c>
      <c r="D314" s="4">
        <v>10</v>
      </c>
      <c r="E314" s="4">
        <v>40</v>
      </c>
      <c r="F314" s="4">
        <v>100</v>
      </c>
    </row>
    <row r="315" spans="1:6" x14ac:dyDescent="0.35">
      <c r="A315">
        <v>20</v>
      </c>
      <c r="B315">
        <v>10</v>
      </c>
      <c r="C315" t="s">
        <v>185</v>
      </c>
      <c r="D315" s="4">
        <v>2</v>
      </c>
      <c r="E315" s="4">
        <v>6</v>
      </c>
      <c r="F315" s="4">
        <v>10</v>
      </c>
    </row>
    <row r="316" spans="1:6" x14ac:dyDescent="0.35">
      <c r="A316">
        <v>20</v>
      </c>
      <c r="B316">
        <v>11</v>
      </c>
      <c r="C316" t="s">
        <v>186</v>
      </c>
      <c r="D316" s="4">
        <v>20</v>
      </c>
      <c r="E316" s="4">
        <v>50</v>
      </c>
      <c r="F316" s="4">
        <v>100</v>
      </c>
    </row>
    <row r="317" spans="1:6" x14ac:dyDescent="0.35">
      <c r="A317">
        <v>20</v>
      </c>
      <c r="B317">
        <v>12</v>
      </c>
      <c r="C317" t="s">
        <v>187</v>
      </c>
      <c r="D317" s="4">
        <v>5</v>
      </c>
      <c r="E317" s="4">
        <v>40</v>
      </c>
      <c r="F317" s="4">
        <v>80</v>
      </c>
    </row>
    <row r="318" spans="1:6" x14ac:dyDescent="0.35">
      <c r="A318">
        <v>20</v>
      </c>
      <c r="B318">
        <v>13</v>
      </c>
      <c r="C318" t="s">
        <v>188</v>
      </c>
      <c r="D318" s="4">
        <v>5</v>
      </c>
      <c r="E318" s="4">
        <v>6</v>
      </c>
      <c r="F318" s="4">
        <v>10</v>
      </c>
    </row>
    <row r="319" spans="1:6" x14ac:dyDescent="0.35">
      <c r="A319">
        <v>20</v>
      </c>
      <c r="B319">
        <v>14</v>
      </c>
      <c r="C319" t="s">
        <v>189</v>
      </c>
      <c r="D319" s="4">
        <v>60</v>
      </c>
      <c r="E319" s="4">
        <v>100</v>
      </c>
      <c r="F319" s="4">
        <v>300</v>
      </c>
    </row>
    <row r="320" spans="1:6" x14ac:dyDescent="0.35">
      <c r="A320">
        <v>20</v>
      </c>
      <c r="B320">
        <v>15</v>
      </c>
      <c r="C320" t="s">
        <v>190</v>
      </c>
      <c r="D320" s="4">
        <v>-5</v>
      </c>
      <c r="E320" s="4">
        <v>10</v>
      </c>
      <c r="F320" s="4">
        <v>15</v>
      </c>
    </row>
    <row r="321" spans="1:6" x14ac:dyDescent="0.35">
      <c r="A321">
        <v>20</v>
      </c>
      <c r="B321">
        <v>16</v>
      </c>
      <c r="C321" t="s">
        <v>191</v>
      </c>
      <c r="D321" s="4">
        <v>5</v>
      </c>
      <c r="E321" s="4">
        <v>20</v>
      </c>
      <c r="F321" s="4">
        <v>50</v>
      </c>
    </row>
    <row r="322" spans="1:6" x14ac:dyDescent="0.35">
      <c r="A322">
        <v>21</v>
      </c>
      <c r="B322">
        <v>1</v>
      </c>
      <c r="C322" t="s">
        <v>176</v>
      </c>
      <c r="D322" s="4">
        <v>9.9999999999999995E-7</v>
      </c>
      <c r="E322" s="4">
        <v>1</v>
      </c>
      <c r="F322" s="4">
        <v>10</v>
      </c>
    </row>
    <row r="323" spans="1:6" x14ac:dyDescent="0.35">
      <c r="A323">
        <v>21</v>
      </c>
      <c r="B323">
        <v>2</v>
      </c>
      <c r="C323" t="s">
        <v>177</v>
      </c>
      <c r="D323" s="4">
        <v>1</v>
      </c>
      <c r="E323" s="4">
        <v>15</v>
      </c>
      <c r="F323" s="4">
        <v>60</v>
      </c>
    </row>
    <row r="324" spans="1:6" x14ac:dyDescent="0.35">
      <c r="A324">
        <v>21</v>
      </c>
      <c r="B324">
        <v>3</v>
      </c>
      <c r="C324" t="s">
        <v>178</v>
      </c>
      <c r="D324" s="4">
        <v>5</v>
      </c>
      <c r="E324" s="4">
        <v>10</v>
      </c>
      <c r="F324" s="4">
        <v>15</v>
      </c>
    </row>
    <row r="325" spans="1:6" x14ac:dyDescent="0.35">
      <c r="A325">
        <v>21</v>
      </c>
      <c r="B325">
        <v>4</v>
      </c>
      <c r="C325" t="s">
        <v>179</v>
      </c>
      <c r="D325" s="4">
        <v>1</v>
      </c>
      <c r="E325" s="4">
        <v>48</v>
      </c>
      <c r="F325" s="4">
        <v>720</v>
      </c>
    </row>
    <row r="326" spans="1:6" x14ac:dyDescent="0.35">
      <c r="A326">
        <v>21</v>
      </c>
      <c r="B326">
        <v>5</v>
      </c>
      <c r="C326" t="s">
        <v>180</v>
      </c>
      <c r="D326" s="4">
        <v>0.5</v>
      </c>
      <c r="E326" s="4">
        <v>1</v>
      </c>
      <c r="F326" s="4">
        <v>2</v>
      </c>
    </row>
    <row r="327" spans="1:6" x14ac:dyDescent="0.35">
      <c r="A327">
        <v>21</v>
      </c>
      <c r="B327">
        <v>6</v>
      </c>
      <c r="C327" t="s">
        <v>181</v>
      </c>
      <c r="D327" s="4">
        <v>10</v>
      </c>
      <c r="E327" s="4">
        <v>100</v>
      </c>
      <c r="F327" s="4">
        <v>1000</v>
      </c>
    </row>
    <row r="328" spans="1:6" x14ac:dyDescent="0.35">
      <c r="A328">
        <v>21</v>
      </c>
      <c r="B328">
        <v>7</v>
      </c>
      <c r="C328" t="s">
        <v>182</v>
      </c>
      <c r="D328" s="4">
        <v>10</v>
      </c>
      <c r="E328" s="4">
        <v>45</v>
      </c>
      <c r="F328" s="4">
        <v>150</v>
      </c>
    </row>
    <row r="329" spans="1:6" x14ac:dyDescent="0.35">
      <c r="A329">
        <v>21</v>
      </c>
      <c r="B329">
        <v>8</v>
      </c>
      <c r="C329" t="s">
        <v>183</v>
      </c>
      <c r="D329" s="4">
        <v>1</v>
      </c>
      <c r="E329" s="4">
        <v>2</v>
      </c>
      <c r="F329" s="4">
        <v>10</v>
      </c>
    </row>
    <row r="330" spans="1:6" x14ac:dyDescent="0.35">
      <c r="A330">
        <v>21</v>
      </c>
      <c r="B330">
        <v>9</v>
      </c>
      <c r="C330" t="s">
        <v>184</v>
      </c>
      <c r="D330" s="4">
        <v>0.1</v>
      </c>
      <c r="E330" s="4">
        <v>20</v>
      </c>
      <c r="F330" s="4">
        <v>100</v>
      </c>
    </row>
    <row r="331" spans="1:6" x14ac:dyDescent="0.35">
      <c r="A331">
        <v>21</v>
      </c>
      <c r="B331">
        <v>10</v>
      </c>
      <c r="C331" t="s">
        <v>185</v>
      </c>
      <c r="D331" s="4">
        <v>5</v>
      </c>
      <c r="E331" s="4">
        <v>30</v>
      </c>
      <c r="F331" s="4">
        <v>50</v>
      </c>
    </row>
    <row r="332" spans="1:6" x14ac:dyDescent="0.35">
      <c r="A332">
        <v>21</v>
      </c>
      <c r="B332">
        <v>11</v>
      </c>
      <c r="C332" t="s">
        <v>186</v>
      </c>
      <c r="D332" s="4">
        <v>500</v>
      </c>
      <c r="E332" s="4">
        <v>1000</v>
      </c>
      <c r="F332" s="4">
        <v>10000</v>
      </c>
    </row>
    <row r="333" spans="1:6" x14ac:dyDescent="0.35">
      <c r="A333">
        <v>21</v>
      </c>
      <c r="B333">
        <v>12</v>
      </c>
      <c r="C333" t="s">
        <v>187</v>
      </c>
      <c r="D333" s="4">
        <v>10</v>
      </c>
      <c r="E333" s="4">
        <v>50</v>
      </c>
      <c r="F333" s="4">
        <v>80</v>
      </c>
    </row>
    <row r="334" spans="1:6" x14ac:dyDescent="0.35">
      <c r="A334">
        <v>21</v>
      </c>
      <c r="B334">
        <v>13</v>
      </c>
      <c r="C334" t="s">
        <v>188</v>
      </c>
      <c r="D334" s="4">
        <v>0.1</v>
      </c>
      <c r="E334" s="4">
        <v>0.5</v>
      </c>
      <c r="F334" s="4">
        <v>3</v>
      </c>
    </row>
    <row r="335" spans="1:6" x14ac:dyDescent="0.35">
      <c r="A335">
        <v>21</v>
      </c>
      <c r="B335">
        <v>14</v>
      </c>
      <c r="C335" t="s">
        <v>189</v>
      </c>
      <c r="D335" s="4">
        <v>10</v>
      </c>
      <c r="E335" s="4">
        <v>150</v>
      </c>
      <c r="F335" s="4">
        <v>300</v>
      </c>
    </row>
    <row r="336" spans="1:6" x14ac:dyDescent="0.35">
      <c r="A336">
        <v>21</v>
      </c>
      <c r="B336">
        <v>15</v>
      </c>
      <c r="C336" t="s">
        <v>190</v>
      </c>
      <c r="D336" s="4">
        <v>1</v>
      </c>
      <c r="E336" s="4">
        <v>5</v>
      </c>
      <c r="F336" s="4">
        <v>15</v>
      </c>
    </row>
    <row r="337" spans="1:6" x14ac:dyDescent="0.35">
      <c r="A337">
        <v>21</v>
      </c>
      <c r="B337">
        <v>16</v>
      </c>
      <c r="C337" t="s">
        <v>191</v>
      </c>
      <c r="D337" s="4">
        <v>249</v>
      </c>
      <c r="E337" s="4">
        <v>1000</v>
      </c>
      <c r="F337" s="4">
        <v>5000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64"/>
  <dimension ref="A1:H61"/>
  <sheetViews>
    <sheetView workbookViewId="0"/>
  </sheetViews>
  <sheetFormatPr defaultRowHeight="14.5" x14ac:dyDescent="0.35"/>
  <sheetData>
    <row r="1" spans="1:8" x14ac:dyDescent="0.35">
      <c r="A1" t="s">
        <v>254</v>
      </c>
      <c r="H1" t="s">
        <v>58</v>
      </c>
    </row>
    <row r="2" spans="1:8" x14ac:dyDescent="0.35">
      <c r="A2">
        <v>1</v>
      </c>
      <c r="B2">
        <v>1</v>
      </c>
      <c r="D2" s="4">
        <v>-10</v>
      </c>
      <c r="E2" s="4">
        <v>0</v>
      </c>
      <c r="F2" s="4">
        <v>15</v>
      </c>
      <c r="H2" s="4">
        <v>-1.78</v>
      </c>
    </row>
    <row r="3" spans="1:8" x14ac:dyDescent="0.35">
      <c r="A3">
        <v>1</v>
      </c>
      <c r="B3">
        <v>2</v>
      </c>
      <c r="D3" s="4">
        <v>5</v>
      </c>
      <c r="E3" s="4">
        <v>15</v>
      </c>
      <c r="F3" s="4">
        <v>40</v>
      </c>
      <c r="H3" s="4">
        <v>1.63</v>
      </c>
    </row>
    <row r="4" spans="1:8" x14ac:dyDescent="0.35">
      <c r="A4">
        <v>1</v>
      </c>
      <c r="B4">
        <v>3</v>
      </c>
      <c r="D4" s="4">
        <v>10</v>
      </c>
      <c r="E4" s="4">
        <v>20</v>
      </c>
      <c r="F4" s="4">
        <v>40</v>
      </c>
      <c r="H4" s="4">
        <v>5.13</v>
      </c>
    </row>
    <row r="5" spans="1:8" x14ac:dyDescent="0.35">
      <c r="A5">
        <v>1</v>
      </c>
      <c r="B5">
        <v>4</v>
      </c>
      <c r="D5" s="4">
        <v>-20</v>
      </c>
      <c r="E5" s="4">
        <v>-5</v>
      </c>
      <c r="F5" s="4">
        <v>10</v>
      </c>
      <c r="H5" s="4">
        <v>-2.8</v>
      </c>
    </row>
    <row r="6" spans="1:8" x14ac:dyDescent="0.35">
      <c r="A6">
        <v>1</v>
      </c>
      <c r="B6">
        <v>5</v>
      </c>
      <c r="D6" s="4">
        <v>-20</v>
      </c>
      <c r="E6" s="4">
        <v>0</v>
      </c>
      <c r="F6" s="4">
        <v>20</v>
      </c>
      <c r="H6" s="4">
        <v>2.3199999999999998</v>
      </c>
    </row>
    <row r="7" spans="1:8" x14ac:dyDescent="0.35">
      <c r="A7">
        <v>1</v>
      </c>
      <c r="B7">
        <v>6</v>
      </c>
      <c r="D7" s="4">
        <v>-10</v>
      </c>
      <c r="E7" s="4">
        <v>15</v>
      </c>
      <c r="F7" s="4">
        <v>30</v>
      </c>
      <c r="H7" s="4">
        <v>1.38</v>
      </c>
    </row>
    <row r="8" spans="1:8" x14ac:dyDescent="0.35">
      <c r="A8">
        <v>1</v>
      </c>
      <c r="B8">
        <v>7</v>
      </c>
      <c r="D8" s="4">
        <v>-5</v>
      </c>
      <c r="E8" s="4">
        <v>10</v>
      </c>
      <c r="F8" s="4">
        <v>25</v>
      </c>
      <c r="H8" s="4">
        <v>2.66</v>
      </c>
    </row>
    <row r="9" spans="1:8" x14ac:dyDescent="0.35">
      <c r="A9">
        <v>1</v>
      </c>
      <c r="B9">
        <v>8</v>
      </c>
      <c r="D9" s="4">
        <v>5</v>
      </c>
      <c r="E9" s="4">
        <v>20</v>
      </c>
      <c r="F9" s="4">
        <v>40</v>
      </c>
      <c r="H9" s="4">
        <v>-3.15</v>
      </c>
    </row>
    <row r="10" spans="1:8" x14ac:dyDescent="0.35">
      <c r="A10">
        <v>1</v>
      </c>
      <c r="B10">
        <v>9</v>
      </c>
      <c r="D10" s="4">
        <v>10</v>
      </c>
      <c r="E10" s="4">
        <v>30</v>
      </c>
      <c r="F10" s="4">
        <v>60</v>
      </c>
      <c r="H10" s="4">
        <v>0.9</v>
      </c>
    </row>
    <row r="11" spans="1:8" x14ac:dyDescent="0.35">
      <c r="A11">
        <v>1</v>
      </c>
      <c r="B11">
        <v>10</v>
      </c>
      <c r="D11" s="4">
        <v>-10</v>
      </c>
      <c r="E11" s="4">
        <v>10</v>
      </c>
      <c r="F11" s="4">
        <v>30</v>
      </c>
      <c r="H11" s="4">
        <v>3.4</v>
      </c>
    </row>
    <row r="12" spans="1:8" x14ac:dyDescent="0.35">
      <c r="A12">
        <v>2</v>
      </c>
      <c r="B12">
        <v>1</v>
      </c>
      <c r="D12" s="4">
        <v>0</v>
      </c>
      <c r="E12" s="4">
        <v>1</v>
      </c>
      <c r="F12" s="4">
        <v>5</v>
      </c>
    </row>
    <row r="13" spans="1:8" x14ac:dyDescent="0.35">
      <c r="A13">
        <v>2</v>
      </c>
      <c r="B13">
        <v>2</v>
      </c>
      <c r="D13" s="4">
        <v>1</v>
      </c>
      <c r="E13" s="4">
        <v>3</v>
      </c>
      <c r="F13" s="4">
        <v>8</v>
      </c>
    </row>
    <row r="14" spans="1:8" x14ac:dyDescent="0.35">
      <c r="A14">
        <v>2</v>
      </c>
      <c r="B14">
        <v>3</v>
      </c>
      <c r="D14" s="4">
        <v>3</v>
      </c>
      <c r="E14" s="4">
        <v>6</v>
      </c>
      <c r="F14" s="4">
        <v>12</v>
      </c>
    </row>
    <row r="15" spans="1:8" x14ac:dyDescent="0.35">
      <c r="A15">
        <v>2</v>
      </c>
      <c r="B15">
        <v>4</v>
      </c>
      <c r="D15" s="4">
        <v>-30</v>
      </c>
      <c r="E15" s="4">
        <v>-10</v>
      </c>
      <c r="F15" s="4">
        <v>-5</v>
      </c>
    </row>
    <row r="16" spans="1:8" x14ac:dyDescent="0.35">
      <c r="A16">
        <v>2</v>
      </c>
      <c r="B16">
        <v>5</v>
      </c>
      <c r="D16" s="4">
        <v>-3</v>
      </c>
      <c r="E16" s="4">
        <v>0</v>
      </c>
      <c r="F16" s="4">
        <v>3</v>
      </c>
    </row>
    <row r="17" spans="1:6" x14ac:dyDescent="0.35">
      <c r="A17">
        <v>2</v>
      </c>
      <c r="B17">
        <v>6</v>
      </c>
      <c r="D17" s="4">
        <v>-10</v>
      </c>
      <c r="E17" s="4">
        <v>-3</v>
      </c>
      <c r="F17" s="4">
        <v>0</v>
      </c>
    </row>
    <row r="18" spans="1:6" x14ac:dyDescent="0.35">
      <c r="A18">
        <v>2</v>
      </c>
      <c r="B18">
        <v>7</v>
      </c>
      <c r="D18" s="4">
        <v>0</v>
      </c>
      <c r="E18" s="4">
        <v>5</v>
      </c>
      <c r="F18" s="4">
        <v>20</v>
      </c>
    </row>
    <row r="19" spans="1:6" x14ac:dyDescent="0.35">
      <c r="A19">
        <v>2</v>
      </c>
      <c r="B19">
        <v>8</v>
      </c>
      <c r="D19" s="4">
        <v>0</v>
      </c>
      <c r="E19" s="4">
        <v>1</v>
      </c>
      <c r="F19" s="4">
        <v>5</v>
      </c>
    </row>
    <row r="20" spans="1:6" x14ac:dyDescent="0.35">
      <c r="A20">
        <v>2</v>
      </c>
      <c r="B20">
        <v>9</v>
      </c>
      <c r="D20" s="4">
        <v>-1</v>
      </c>
      <c r="E20" s="4">
        <v>0</v>
      </c>
      <c r="F20" s="4">
        <v>1</v>
      </c>
    </row>
    <row r="21" spans="1:6" x14ac:dyDescent="0.35">
      <c r="A21">
        <v>2</v>
      </c>
      <c r="B21">
        <v>10</v>
      </c>
      <c r="D21" s="4">
        <v>-10</v>
      </c>
      <c r="E21" s="4">
        <v>-5</v>
      </c>
      <c r="F21" s="4">
        <v>-1</v>
      </c>
    </row>
    <row r="22" spans="1:6" x14ac:dyDescent="0.35">
      <c r="A22">
        <v>3</v>
      </c>
      <c r="B22">
        <v>1</v>
      </c>
      <c r="D22" s="4">
        <v>2</v>
      </c>
      <c r="E22" s="4">
        <v>8</v>
      </c>
      <c r="F22" s="4">
        <v>16</v>
      </c>
    </row>
    <row r="23" spans="1:6" x14ac:dyDescent="0.35">
      <c r="A23">
        <v>3</v>
      </c>
      <c r="B23">
        <v>2</v>
      </c>
      <c r="D23" s="4">
        <v>2</v>
      </c>
      <c r="E23" s="4">
        <v>8</v>
      </c>
      <c r="F23" s="4">
        <v>16</v>
      </c>
    </row>
    <row r="24" spans="1:6" x14ac:dyDescent="0.35">
      <c r="A24">
        <v>3</v>
      </c>
      <c r="B24">
        <v>3</v>
      </c>
      <c r="D24" s="4">
        <v>2</v>
      </c>
      <c r="E24" s="4">
        <v>8</v>
      </c>
      <c r="F24" s="4">
        <v>14</v>
      </c>
    </row>
    <row r="25" spans="1:6" x14ac:dyDescent="0.35">
      <c r="A25">
        <v>3</v>
      </c>
      <c r="B25">
        <v>4</v>
      </c>
      <c r="D25" s="4">
        <v>-20</v>
      </c>
      <c r="E25" s="4">
        <v>-10</v>
      </c>
      <c r="F25" s="4">
        <v>-5</v>
      </c>
    </row>
    <row r="26" spans="1:6" x14ac:dyDescent="0.35">
      <c r="A26">
        <v>3</v>
      </c>
      <c r="B26">
        <v>5</v>
      </c>
      <c r="D26" s="4">
        <v>-5</v>
      </c>
      <c r="E26" s="4">
        <v>0</v>
      </c>
      <c r="F26" s="4">
        <v>5</v>
      </c>
    </row>
    <row r="27" spans="1:6" x14ac:dyDescent="0.35">
      <c r="A27">
        <v>3</v>
      </c>
      <c r="B27">
        <v>6</v>
      </c>
      <c r="D27" s="4">
        <v>0</v>
      </c>
      <c r="E27" s="4">
        <v>5</v>
      </c>
      <c r="F27" s="4">
        <v>10</v>
      </c>
    </row>
    <row r="28" spans="1:6" x14ac:dyDescent="0.35">
      <c r="A28">
        <v>3</v>
      </c>
      <c r="B28">
        <v>7</v>
      </c>
      <c r="D28" s="4">
        <v>0</v>
      </c>
      <c r="E28" s="4">
        <v>15</v>
      </c>
      <c r="F28" s="4">
        <v>25</v>
      </c>
    </row>
    <row r="29" spans="1:6" x14ac:dyDescent="0.35">
      <c r="A29">
        <v>3</v>
      </c>
      <c r="B29">
        <v>8</v>
      </c>
      <c r="D29" s="4">
        <v>-10</v>
      </c>
      <c r="E29" s="4">
        <v>5</v>
      </c>
      <c r="F29" s="4">
        <v>15</v>
      </c>
    </row>
    <row r="30" spans="1:6" x14ac:dyDescent="0.35">
      <c r="A30">
        <v>3</v>
      </c>
      <c r="B30">
        <v>9</v>
      </c>
      <c r="D30" s="4">
        <v>0</v>
      </c>
      <c r="E30" s="4">
        <v>5</v>
      </c>
      <c r="F30" s="4">
        <v>10</v>
      </c>
    </row>
    <row r="31" spans="1:6" x14ac:dyDescent="0.35">
      <c r="A31">
        <v>3</v>
      </c>
      <c r="B31">
        <v>10</v>
      </c>
      <c r="D31" s="4">
        <v>-15</v>
      </c>
      <c r="E31" s="4">
        <v>0</v>
      </c>
      <c r="F31" s="4">
        <v>15</v>
      </c>
    </row>
    <row r="32" spans="1:6" x14ac:dyDescent="0.35">
      <c r="A32">
        <v>4</v>
      </c>
      <c r="B32">
        <v>1</v>
      </c>
      <c r="D32" s="4">
        <v>-30</v>
      </c>
      <c r="E32" s="4">
        <v>-10</v>
      </c>
      <c r="F32" s="4">
        <v>20</v>
      </c>
    </row>
    <row r="33" spans="1:6" x14ac:dyDescent="0.35">
      <c r="A33">
        <v>4</v>
      </c>
      <c r="B33">
        <v>2</v>
      </c>
      <c r="D33" s="4">
        <v>-20</v>
      </c>
      <c r="E33" s="4">
        <v>5</v>
      </c>
      <c r="F33" s="4">
        <v>20</v>
      </c>
    </row>
    <row r="34" spans="1:6" x14ac:dyDescent="0.35">
      <c r="A34">
        <v>4</v>
      </c>
      <c r="B34">
        <v>3</v>
      </c>
      <c r="D34" s="4">
        <v>-10</v>
      </c>
      <c r="E34" s="4">
        <v>10</v>
      </c>
      <c r="F34" s="4">
        <v>30</v>
      </c>
    </row>
    <row r="35" spans="1:6" x14ac:dyDescent="0.35">
      <c r="A35">
        <v>4</v>
      </c>
      <c r="B35">
        <v>4</v>
      </c>
      <c r="D35" s="4">
        <v>-30</v>
      </c>
      <c r="E35" s="4">
        <v>-10</v>
      </c>
      <c r="F35" s="4">
        <v>10</v>
      </c>
    </row>
    <row r="36" spans="1:6" x14ac:dyDescent="0.35">
      <c r="A36">
        <v>4</v>
      </c>
      <c r="B36">
        <v>5</v>
      </c>
      <c r="D36" s="4">
        <v>-10</v>
      </c>
      <c r="E36" s="4">
        <v>0</v>
      </c>
      <c r="F36" s="4">
        <v>20</v>
      </c>
    </row>
    <row r="37" spans="1:6" x14ac:dyDescent="0.35">
      <c r="A37">
        <v>4</v>
      </c>
      <c r="B37">
        <v>6</v>
      </c>
      <c r="D37" s="4">
        <v>-10</v>
      </c>
      <c r="E37" s="4">
        <v>10</v>
      </c>
      <c r="F37" s="4">
        <v>30</v>
      </c>
    </row>
    <row r="38" spans="1:6" x14ac:dyDescent="0.35">
      <c r="A38">
        <v>4</v>
      </c>
      <c r="B38">
        <v>7</v>
      </c>
      <c r="D38" s="4">
        <v>-10</v>
      </c>
      <c r="E38" s="4">
        <v>20</v>
      </c>
      <c r="F38" s="4">
        <v>40</v>
      </c>
    </row>
    <row r="39" spans="1:6" x14ac:dyDescent="0.35">
      <c r="A39">
        <v>4</v>
      </c>
      <c r="B39">
        <v>8</v>
      </c>
      <c r="D39" s="4">
        <v>0</v>
      </c>
      <c r="E39" s="4">
        <v>15</v>
      </c>
      <c r="F39" s="4">
        <v>40</v>
      </c>
    </row>
    <row r="40" spans="1:6" x14ac:dyDescent="0.35">
      <c r="A40">
        <v>4</v>
      </c>
      <c r="B40">
        <v>9</v>
      </c>
      <c r="D40" s="4">
        <v>-10</v>
      </c>
      <c r="E40" s="4">
        <v>0</v>
      </c>
      <c r="F40" s="4">
        <v>10</v>
      </c>
    </row>
    <row r="41" spans="1:6" x14ac:dyDescent="0.35">
      <c r="A41">
        <v>4</v>
      </c>
      <c r="B41">
        <v>10</v>
      </c>
      <c r="D41" s="4">
        <v>0</v>
      </c>
      <c r="E41" s="4">
        <v>15</v>
      </c>
      <c r="F41" s="4">
        <v>30</v>
      </c>
    </row>
    <row r="42" spans="1:6" x14ac:dyDescent="0.35">
      <c r="A42">
        <v>5</v>
      </c>
      <c r="B42">
        <v>1</v>
      </c>
      <c r="D42" s="4">
        <v>1</v>
      </c>
      <c r="E42" s="4">
        <v>5</v>
      </c>
      <c r="F42" s="4">
        <v>10</v>
      </c>
    </row>
    <row r="43" spans="1:6" x14ac:dyDescent="0.35">
      <c r="A43">
        <v>5</v>
      </c>
      <c r="B43">
        <v>2</v>
      </c>
      <c r="D43" s="4">
        <v>1</v>
      </c>
      <c r="E43" s="4">
        <v>5</v>
      </c>
      <c r="F43" s="4">
        <v>10</v>
      </c>
    </row>
    <row r="44" spans="1:6" x14ac:dyDescent="0.35">
      <c r="A44">
        <v>5</v>
      </c>
      <c r="B44">
        <v>3</v>
      </c>
      <c r="D44" s="4">
        <v>0</v>
      </c>
      <c r="E44" s="4">
        <v>1</v>
      </c>
      <c r="F44" s="4">
        <v>3</v>
      </c>
    </row>
    <row r="45" spans="1:6" x14ac:dyDescent="0.35">
      <c r="A45">
        <v>5</v>
      </c>
      <c r="B45">
        <v>4</v>
      </c>
      <c r="D45" s="4">
        <v>-8</v>
      </c>
      <c r="E45" s="4">
        <v>-4</v>
      </c>
      <c r="F45" s="4">
        <v>-2</v>
      </c>
    </row>
    <row r="46" spans="1:6" x14ac:dyDescent="0.35">
      <c r="A46">
        <v>5</v>
      </c>
      <c r="B46">
        <v>5</v>
      </c>
      <c r="D46" s="4">
        <v>-2</v>
      </c>
      <c r="E46" s="4">
        <v>0</v>
      </c>
      <c r="F46" s="4">
        <v>2</v>
      </c>
    </row>
    <row r="47" spans="1:6" x14ac:dyDescent="0.35">
      <c r="A47">
        <v>5</v>
      </c>
      <c r="B47">
        <v>6</v>
      </c>
      <c r="D47" s="4">
        <v>-2</v>
      </c>
      <c r="E47" s="4">
        <v>0</v>
      </c>
      <c r="F47" s="4">
        <v>2</v>
      </c>
    </row>
    <row r="48" spans="1:6" x14ac:dyDescent="0.35">
      <c r="A48">
        <v>5</v>
      </c>
      <c r="B48">
        <v>7</v>
      </c>
      <c r="D48" s="4">
        <v>-2</v>
      </c>
      <c r="E48" s="4">
        <v>0</v>
      </c>
      <c r="F48" s="4">
        <v>2</v>
      </c>
    </row>
    <row r="49" spans="1:6" x14ac:dyDescent="0.35">
      <c r="A49">
        <v>5</v>
      </c>
      <c r="B49">
        <v>8</v>
      </c>
      <c r="D49" s="4">
        <v>-2</v>
      </c>
      <c r="E49" s="4">
        <v>0</v>
      </c>
      <c r="F49" s="4">
        <v>2</v>
      </c>
    </row>
    <row r="50" spans="1:6" x14ac:dyDescent="0.35">
      <c r="A50">
        <v>5</v>
      </c>
      <c r="B50">
        <v>9</v>
      </c>
      <c r="D50" s="4">
        <v>1</v>
      </c>
      <c r="E50" s="4">
        <v>5</v>
      </c>
      <c r="F50" s="4">
        <v>10</v>
      </c>
    </row>
    <row r="51" spans="1:6" x14ac:dyDescent="0.35">
      <c r="A51">
        <v>5</v>
      </c>
      <c r="B51">
        <v>10</v>
      </c>
      <c r="D51" s="4">
        <v>1</v>
      </c>
      <c r="E51" s="4">
        <v>5</v>
      </c>
      <c r="F51" s="4">
        <v>10</v>
      </c>
    </row>
    <row r="52" spans="1:6" x14ac:dyDescent="0.35">
      <c r="A52">
        <v>6</v>
      </c>
      <c r="B52">
        <v>1</v>
      </c>
      <c r="D52" s="4">
        <v>5</v>
      </c>
      <c r="E52" s="4">
        <v>20</v>
      </c>
      <c r="F52" s="4">
        <v>40</v>
      </c>
    </row>
    <row r="53" spans="1:6" x14ac:dyDescent="0.35">
      <c r="A53">
        <v>6</v>
      </c>
      <c r="B53">
        <v>2</v>
      </c>
      <c r="D53" s="4">
        <v>10</v>
      </c>
      <c r="E53" s="4">
        <v>25</v>
      </c>
      <c r="F53" s="4">
        <v>40</v>
      </c>
    </row>
    <row r="54" spans="1:6" x14ac:dyDescent="0.35">
      <c r="A54">
        <v>6</v>
      </c>
      <c r="B54">
        <v>3</v>
      </c>
      <c r="D54" s="4">
        <v>10</v>
      </c>
      <c r="E54" s="4">
        <v>25</v>
      </c>
      <c r="F54" s="4">
        <v>35</v>
      </c>
    </row>
    <row r="55" spans="1:6" x14ac:dyDescent="0.35">
      <c r="A55">
        <v>6</v>
      </c>
      <c r="B55">
        <v>4</v>
      </c>
      <c r="D55" s="4">
        <v>5</v>
      </c>
      <c r="E55" s="4">
        <v>20</v>
      </c>
      <c r="F55" s="4">
        <v>30</v>
      </c>
    </row>
    <row r="56" spans="1:6" x14ac:dyDescent="0.35">
      <c r="A56">
        <v>6</v>
      </c>
      <c r="B56">
        <v>5</v>
      </c>
      <c r="D56" s="4">
        <v>2</v>
      </c>
      <c r="E56" s="4">
        <v>8</v>
      </c>
      <c r="F56" s="4">
        <v>12</v>
      </c>
    </row>
    <row r="57" spans="1:6" x14ac:dyDescent="0.35">
      <c r="A57">
        <v>6</v>
      </c>
      <c r="B57">
        <v>6</v>
      </c>
      <c r="D57" s="4">
        <v>5</v>
      </c>
      <c r="E57" s="4">
        <v>10</v>
      </c>
      <c r="F57" s="4">
        <v>20</v>
      </c>
    </row>
    <row r="58" spans="1:6" x14ac:dyDescent="0.35">
      <c r="A58">
        <v>6</v>
      </c>
      <c r="B58">
        <v>7</v>
      </c>
      <c r="D58" s="4">
        <v>25</v>
      </c>
      <c r="E58" s="4">
        <v>40</v>
      </c>
      <c r="F58" s="4">
        <v>70</v>
      </c>
    </row>
    <row r="59" spans="1:6" x14ac:dyDescent="0.35">
      <c r="A59">
        <v>6</v>
      </c>
      <c r="B59">
        <v>8</v>
      </c>
      <c r="D59" s="4">
        <v>4</v>
      </c>
      <c r="E59" s="4">
        <v>10</v>
      </c>
      <c r="F59" s="4">
        <v>20</v>
      </c>
    </row>
    <row r="60" spans="1:6" x14ac:dyDescent="0.35">
      <c r="A60">
        <v>6</v>
      </c>
      <c r="B60">
        <v>9</v>
      </c>
      <c r="D60" s="4">
        <v>0.5</v>
      </c>
      <c r="E60" s="4">
        <v>5</v>
      </c>
      <c r="F60" s="4">
        <v>10</v>
      </c>
    </row>
    <row r="61" spans="1:6" x14ac:dyDescent="0.35">
      <c r="A61">
        <v>6</v>
      </c>
      <c r="B61">
        <v>10</v>
      </c>
      <c r="D61" s="4">
        <v>5</v>
      </c>
      <c r="E61" s="4">
        <v>30</v>
      </c>
      <c r="F61" s="4">
        <v>70</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30"/>
  <dimension ref="A1:R100"/>
  <sheetViews>
    <sheetView workbookViewId="0">
      <selection activeCell="B1" sqref="B1"/>
    </sheetView>
  </sheetViews>
  <sheetFormatPr defaultRowHeight="14.5" x14ac:dyDescent="0.35"/>
  <sheetData>
    <row r="1" spans="1:18" x14ac:dyDescent="0.35">
      <c r="A1" t="s">
        <v>11</v>
      </c>
      <c r="D1" s="6">
        <v>0.05</v>
      </c>
      <c r="E1" s="6">
        <v>0.5</v>
      </c>
      <c r="F1" s="6">
        <v>0.95</v>
      </c>
      <c r="H1" t="s">
        <v>34</v>
      </c>
      <c r="I1" s="10"/>
      <c r="J1" s="10"/>
      <c r="K1" s="10"/>
      <c r="L1" s="10"/>
      <c r="M1" s="10"/>
      <c r="N1" s="10"/>
      <c r="O1" s="10"/>
      <c r="P1" s="10"/>
      <c r="Q1" s="10"/>
      <c r="R1" s="10"/>
    </row>
    <row r="2" spans="1:18" x14ac:dyDescent="0.35">
      <c r="A2">
        <v>1</v>
      </c>
      <c r="B2">
        <v>1</v>
      </c>
      <c r="C2" t="s">
        <v>0</v>
      </c>
      <c r="D2" s="4">
        <v>20.05</v>
      </c>
      <c r="E2" s="4">
        <v>40.1</v>
      </c>
      <c r="F2" s="4">
        <v>72.180000000000007</v>
      </c>
      <c r="H2" s="4">
        <v>42</v>
      </c>
      <c r="I2" s="4"/>
      <c r="J2" s="4"/>
      <c r="K2" s="4"/>
      <c r="L2" s="4"/>
    </row>
    <row r="3" spans="1:18" x14ac:dyDescent="0.35">
      <c r="A3">
        <v>1</v>
      </c>
      <c r="B3">
        <v>2</v>
      </c>
      <c r="C3" t="s">
        <v>1</v>
      </c>
      <c r="D3" s="4">
        <v>43.12</v>
      </c>
      <c r="E3" s="4">
        <v>86.24</v>
      </c>
      <c r="F3" s="4">
        <v>155.19999999999999</v>
      </c>
      <c r="H3" s="4">
        <v>56</v>
      </c>
      <c r="I3" s="4"/>
      <c r="J3" s="4"/>
      <c r="K3" s="4"/>
      <c r="L3" s="4"/>
    </row>
    <row r="4" spans="1:18" x14ac:dyDescent="0.35">
      <c r="A4">
        <v>1</v>
      </c>
      <c r="B4">
        <v>3</v>
      </c>
      <c r="C4" t="s">
        <v>2</v>
      </c>
      <c r="D4" s="4">
        <v>8.5009999999999994</v>
      </c>
      <c r="E4" s="4">
        <v>14.17</v>
      </c>
      <c r="F4" s="4">
        <v>28.34</v>
      </c>
      <c r="H4" s="4">
        <v>13.3</v>
      </c>
      <c r="I4" s="4"/>
      <c r="J4" s="4"/>
      <c r="K4" s="4"/>
      <c r="L4" s="4"/>
    </row>
    <row r="5" spans="1:18" x14ac:dyDescent="0.35">
      <c r="A5">
        <v>1</v>
      </c>
      <c r="B5">
        <v>4</v>
      </c>
      <c r="C5" t="s">
        <v>3</v>
      </c>
      <c r="D5" s="4">
        <v>19.22</v>
      </c>
      <c r="E5" s="4">
        <v>32.03</v>
      </c>
      <c r="F5" s="4">
        <v>64.06</v>
      </c>
      <c r="H5" s="4">
        <v>22.75</v>
      </c>
      <c r="I5" s="4"/>
      <c r="J5" s="4"/>
      <c r="K5" s="4"/>
      <c r="L5" s="4"/>
    </row>
    <row r="6" spans="1:18" x14ac:dyDescent="0.35">
      <c r="A6">
        <v>1</v>
      </c>
      <c r="B6">
        <v>5</v>
      </c>
      <c r="C6" t="s">
        <v>4</v>
      </c>
      <c r="D6" s="4">
        <v>3.6589999999999998</v>
      </c>
      <c r="E6" s="4">
        <v>6.0979999999999999</v>
      </c>
      <c r="F6" s="4">
        <v>13.42</v>
      </c>
      <c r="H6" s="4">
        <v>7.35</v>
      </c>
      <c r="I6" s="4"/>
      <c r="J6" s="4"/>
      <c r="K6" s="4"/>
      <c r="L6" s="4"/>
    </row>
    <row r="7" spans="1:18" x14ac:dyDescent="0.35">
      <c r="A7">
        <v>1</v>
      </c>
      <c r="B7">
        <v>6</v>
      </c>
      <c r="C7" t="s">
        <v>5</v>
      </c>
      <c r="D7" s="4">
        <v>77</v>
      </c>
      <c r="E7" s="4">
        <v>154</v>
      </c>
      <c r="F7" s="4">
        <v>277.2</v>
      </c>
      <c r="H7" s="4">
        <v>80.5</v>
      </c>
      <c r="I7" s="4"/>
      <c r="J7" s="4"/>
      <c r="K7" s="4"/>
      <c r="L7" s="4"/>
    </row>
    <row r="8" spans="1:18" x14ac:dyDescent="0.35">
      <c r="A8">
        <v>1</v>
      </c>
      <c r="B8">
        <v>7</v>
      </c>
      <c r="C8" t="s">
        <v>6</v>
      </c>
      <c r="D8" s="4">
        <v>0.2772</v>
      </c>
      <c r="E8" s="4">
        <v>0.43340000000000001</v>
      </c>
      <c r="F8" s="4">
        <v>1.4319999999999999</v>
      </c>
      <c r="H8" s="4">
        <v>0.57999999999999996</v>
      </c>
      <c r="I8" s="4"/>
      <c r="J8" s="4"/>
      <c r="K8" s="4"/>
      <c r="L8" s="4"/>
    </row>
    <row r="9" spans="1:18" x14ac:dyDescent="0.35">
      <c r="A9">
        <v>1</v>
      </c>
      <c r="B9">
        <v>8</v>
      </c>
      <c r="C9" t="s">
        <v>7</v>
      </c>
      <c r="D9" s="4">
        <v>0.90849999999999997</v>
      </c>
      <c r="E9" s="4">
        <v>1.893</v>
      </c>
      <c r="F9" s="4">
        <v>5.6779999999999999</v>
      </c>
      <c r="H9" s="4">
        <v>2.39</v>
      </c>
      <c r="I9" s="4"/>
      <c r="J9" s="4"/>
      <c r="K9" s="4"/>
      <c r="L9" s="4"/>
    </row>
    <row r="10" spans="1:18" x14ac:dyDescent="0.35">
      <c r="A10">
        <v>1</v>
      </c>
      <c r="B10">
        <v>9</v>
      </c>
      <c r="C10" t="s">
        <v>8</v>
      </c>
      <c r="D10" s="4">
        <v>1.006</v>
      </c>
      <c r="E10" s="4">
        <v>1.5720000000000001</v>
      </c>
      <c r="F10" s="4">
        <v>5.2140000000000004</v>
      </c>
      <c r="H10" s="4">
        <v>1.49</v>
      </c>
      <c r="I10" s="4"/>
      <c r="J10" s="4"/>
      <c r="K10" s="4"/>
      <c r="L10" s="4"/>
    </row>
    <row r="11" spans="1:18" x14ac:dyDescent="0.35">
      <c r="A11">
        <v>1</v>
      </c>
      <c r="B11">
        <v>10</v>
      </c>
      <c r="C11" t="s">
        <v>9</v>
      </c>
      <c r="D11" s="4">
        <v>0.53369999999999995</v>
      </c>
      <c r="E11" s="4">
        <v>0.83389999999999997</v>
      </c>
      <c r="F11" s="4">
        <v>2.7389999999999999</v>
      </c>
      <c r="H11" s="4">
        <v>1.1599999999999999</v>
      </c>
      <c r="I11" s="4"/>
      <c r="J11" s="4"/>
      <c r="K11" s="4"/>
      <c r="L11" s="4"/>
    </row>
    <row r="12" spans="1:18" x14ac:dyDescent="0.35">
      <c r="A12">
        <v>1</v>
      </c>
      <c r="B12">
        <v>11</v>
      </c>
      <c r="C12" t="s">
        <v>10</v>
      </c>
      <c r="D12" s="4">
        <v>1.2609999999999999</v>
      </c>
      <c r="E12" s="4">
        <v>2.1920000000000002</v>
      </c>
      <c r="F12" s="4">
        <v>6.5119999999999996</v>
      </c>
      <c r="H12" s="4">
        <v>1.63</v>
      </c>
      <c r="I12" s="4"/>
      <c r="J12" s="4"/>
      <c r="K12" s="4"/>
      <c r="L12" s="4"/>
    </row>
    <row r="13" spans="1:18" x14ac:dyDescent="0.35">
      <c r="A13">
        <v>2</v>
      </c>
      <c r="B13">
        <v>1</v>
      </c>
      <c r="C13" t="s">
        <v>0</v>
      </c>
      <c r="D13" s="4">
        <v>0.19</v>
      </c>
      <c r="E13" s="4">
        <v>0.63</v>
      </c>
      <c r="F13" s="4">
        <v>1.08</v>
      </c>
    </row>
    <row r="14" spans="1:18" x14ac:dyDescent="0.35">
      <c r="A14">
        <v>2</v>
      </c>
      <c r="B14">
        <v>2</v>
      </c>
      <c r="C14" t="s">
        <v>1</v>
      </c>
      <c r="D14" s="4">
        <v>0.4</v>
      </c>
      <c r="E14" s="4">
        <v>1.41</v>
      </c>
      <c r="F14" s="4">
        <v>2.4300000000000002</v>
      </c>
    </row>
    <row r="15" spans="1:18" x14ac:dyDescent="0.35">
      <c r="A15">
        <v>2</v>
      </c>
      <c r="B15">
        <v>3</v>
      </c>
      <c r="C15" t="s">
        <v>2</v>
      </c>
      <c r="D15" s="4">
        <v>0.28000000000000003</v>
      </c>
      <c r="E15" s="4">
        <v>0.85</v>
      </c>
      <c r="F15" s="4">
        <v>1.42</v>
      </c>
    </row>
    <row r="16" spans="1:18" x14ac:dyDescent="0.35">
      <c r="A16">
        <v>2</v>
      </c>
      <c r="B16">
        <v>4</v>
      </c>
      <c r="C16" t="s">
        <v>3</v>
      </c>
      <c r="D16" s="4">
        <v>0.42</v>
      </c>
      <c r="E16" s="4">
        <v>1.43</v>
      </c>
      <c r="F16" s="4">
        <v>2.44</v>
      </c>
    </row>
    <row r="17" spans="1:6" x14ac:dyDescent="0.35">
      <c r="A17">
        <v>2</v>
      </c>
      <c r="B17">
        <v>5</v>
      </c>
      <c r="C17" t="s">
        <v>4</v>
      </c>
      <c r="D17" s="4">
        <v>0.13</v>
      </c>
      <c r="E17" s="4">
        <v>0.42</v>
      </c>
      <c r="F17" s="4">
        <v>0.71</v>
      </c>
    </row>
    <row r="18" spans="1:6" x14ac:dyDescent="0.35">
      <c r="A18">
        <v>2</v>
      </c>
      <c r="B18">
        <v>6</v>
      </c>
      <c r="C18" t="s">
        <v>5</v>
      </c>
      <c r="D18" s="4">
        <v>0.37</v>
      </c>
      <c r="E18" s="4">
        <v>1.31</v>
      </c>
      <c r="F18" s="4">
        <v>2.2599999999999998</v>
      </c>
    </row>
    <row r="19" spans="1:6" x14ac:dyDescent="0.35">
      <c r="A19">
        <v>2</v>
      </c>
      <c r="B19">
        <v>7</v>
      </c>
      <c r="C19" t="s">
        <v>6</v>
      </c>
      <c r="D19" s="4">
        <v>0.28999999999999998</v>
      </c>
      <c r="E19" s="4">
        <v>0.61</v>
      </c>
      <c r="F19" s="4">
        <v>0.93</v>
      </c>
    </row>
    <row r="20" spans="1:6" x14ac:dyDescent="0.35">
      <c r="A20">
        <v>2</v>
      </c>
      <c r="B20">
        <v>8</v>
      </c>
      <c r="C20" t="s">
        <v>7</v>
      </c>
      <c r="D20" s="4">
        <v>0.19</v>
      </c>
      <c r="E20" s="4">
        <v>0.39</v>
      </c>
      <c r="F20" s="4">
        <v>0.59</v>
      </c>
    </row>
    <row r="21" spans="1:6" x14ac:dyDescent="0.35">
      <c r="A21">
        <v>2</v>
      </c>
      <c r="B21">
        <v>9</v>
      </c>
      <c r="C21" t="s">
        <v>8</v>
      </c>
      <c r="D21" s="4">
        <v>0.43</v>
      </c>
      <c r="E21" s="4">
        <v>0.9</v>
      </c>
      <c r="F21" s="4">
        <v>1.37</v>
      </c>
    </row>
    <row r="22" spans="1:6" x14ac:dyDescent="0.35">
      <c r="A22">
        <v>2</v>
      </c>
      <c r="B22">
        <v>10</v>
      </c>
      <c r="C22" t="s">
        <v>9</v>
      </c>
      <c r="D22" s="4">
        <v>0.26</v>
      </c>
      <c r="E22" s="4">
        <v>0.53</v>
      </c>
      <c r="F22" s="4">
        <v>0.81</v>
      </c>
    </row>
    <row r="23" spans="1:6" x14ac:dyDescent="0.35">
      <c r="A23">
        <v>2</v>
      </c>
      <c r="B23">
        <v>11</v>
      </c>
      <c r="C23" t="s">
        <v>10</v>
      </c>
      <c r="D23" s="4">
        <v>0.36</v>
      </c>
      <c r="E23" s="4">
        <v>0.74</v>
      </c>
      <c r="F23" s="4">
        <v>1.1299999999999999</v>
      </c>
    </row>
    <row r="24" spans="1:6" x14ac:dyDescent="0.35">
      <c r="A24">
        <v>3</v>
      </c>
      <c r="B24">
        <v>1</v>
      </c>
      <c r="C24" t="s">
        <v>0</v>
      </c>
      <c r="D24" s="4">
        <v>7.3609999999999998</v>
      </c>
      <c r="E24" s="4">
        <v>18.399999999999999</v>
      </c>
      <c r="F24" s="4">
        <v>36.81</v>
      </c>
    </row>
    <row r="25" spans="1:6" x14ac:dyDescent="0.35">
      <c r="A25">
        <v>3</v>
      </c>
      <c r="B25">
        <v>2</v>
      </c>
      <c r="C25" t="s">
        <v>1</v>
      </c>
      <c r="D25" s="4">
        <v>15.85</v>
      </c>
      <c r="E25" s="4">
        <v>43.6</v>
      </c>
      <c r="F25" s="4">
        <v>87.2</v>
      </c>
    </row>
    <row r="26" spans="1:6" x14ac:dyDescent="0.35">
      <c r="A26">
        <v>3</v>
      </c>
      <c r="B26">
        <v>3</v>
      </c>
      <c r="C26" t="s">
        <v>2</v>
      </c>
      <c r="D26" s="4">
        <v>2.605</v>
      </c>
      <c r="E26" s="4">
        <v>7.1630000000000003</v>
      </c>
      <c r="F26" s="4">
        <v>13.02</v>
      </c>
    </row>
    <row r="27" spans="1:6" x14ac:dyDescent="0.35">
      <c r="A27">
        <v>3</v>
      </c>
      <c r="B27">
        <v>4</v>
      </c>
      <c r="C27" t="s">
        <v>3</v>
      </c>
      <c r="D27" s="4">
        <v>5.8890000000000002</v>
      </c>
      <c r="E27" s="4">
        <v>13.25</v>
      </c>
      <c r="F27" s="4">
        <v>26.5</v>
      </c>
    </row>
    <row r="28" spans="1:6" x14ac:dyDescent="0.35">
      <c r="A28">
        <v>3</v>
      </c>
      <c r="B28">
        <v>5</v>
      </c>
      <c r="C28" t="s">
        <v>4</v>
      </c>
      <c r="D28" s="4">
        <v>1.121</v>
      </c>
      <c r="E28" s="4">
        <v>2.5230000000000001</v>
      </c>
      <c r="F28" s="4">
        <v>5.0449999999999999</v>
      </c>
    </row>
    <row r="29" spans="1:6" x14ac:dyDescent="0.35">
      <c r="A29">
        <v>3</v>
      </c>
      <c r="B29">
        <v>6</v>
      </c>
      <c r="C29" t="s">
        <v>5</v>
      </c>
      <c r="D29" s="4">
        <v>28.31</v>
      </c>
      <c r="E29" s="4">
        <v>63.7</v>
      </c>
      <c r="F29" s="4">
        <v>127.4</v>
      </c>
    </row>
    <row r="30" spans="1:6" x14ac:dyDescent="0.35">
      <c r="A30">
        <v>3</v>
      </c>
      <c r="B30">
        <v>7</v>
      </c>
      <c r="C30" t="s">
        <v>6</v>
      </c>
      <c r="D30" s="4">
        <v>0.11210000000000001</v>
      </c>
      <c r="E30" s="4">
        <v>0.28029999999999999</v>
      </c>
      <c r="F30" s="4">
        <v>0.56059999999999999</v>
      </c>
    </row>
    <row r="31" spans="1:6" x14ac:dyDescent="0.35">
      <c r="A31">
        <v>3</v>
      </c>
      <c r="B31">
        <v>8</v>
      </c>
      <c r="C31" t="s">
        <v>7</v>
      </c>
      <c r="D31" s="4">
        <v>0.41899999999999998</v>
      </c>
      <c r="E31" s="4">
        <v>1.048</v>
      </c>
      <c r="F31" s="4">
        <v>2.0950000000000002</v>
      </c>
    </row>
    <row r="32" spans="1:6" x14ac:dyDescent="0.35">
      <c r="A32">
        <v>3</v>
      </c>
      <c r="B32">
        <v>9</v>
      </c>
      <c r="C32" t="s">
        <v>8</v>
      </c>
      <c r="D32" s="4">
        <v>0.38500000000000001</v>
      </c>
      <c r="E32" s="4">
        <v>0.96260000000000001</v>
      </c>
      <c r="F32" s="4">
        <v>1.925</v>
      </c>
    </row>
    <row r="33" spans="1:6" x14ac:dyDescent="0.35">
      <c r="A33">
        <v>3</v>
      </c>
      <c r="B33">
        <v>10</v>
      </c>
      <c r="C33" t="s">
        <v>9</v>
      </c>
      <c r="D33" s="4">
        <v>0.1585</v>
      </c>
      <c r="E33" s="4">
        <v>0.39639999999999997</v>
      </c>
      <c r="F33" s="4">
        <v>0.79269999999999996</v>
      </c>
    </row>
    <row r="34" spans="1:6" x14ac:dyDescent="0.35">
      <c r="A34">
        <v>3</v>
      </c>
      <c r="B34">
        <v>11</v>
      </c>
      <c r="C34" t="s">
        <v>10</v>
      </c>
      <c r="D34" s="4">
        <v>0.50960000000000005</v>
      </c>
      <c r="E34" s="4">
        <v>1.274</v>
      </c>
      <c r="F34" s="4">
        <v>2.548</v>
      </c>
    </row>
    <row r="35" spans="1:6" x14ac:dyDescent="0.35">
      <c r="A35">
        <v>4</v>
      </c>
      <c r="B35">
        <v>1</v>
      </c>
      <c r="C35" t="s">
        <v>0</v>
      </c>
      <c r="D35" s="4">
        <v>11</v>
      </c>
      <c r="E35" s="4">
        <v>36</v>
      </c>
      <c r="F35" s="4">
        <v>91</v>
      </c>
    </row>
    <row r="36" spans="1:6" x14ac:dyDescent="0.35">
      <c r="A36">
        <v>4</v>
      </c>
      <c r="B36">
        <v>2</v>
      </c>
      <c r="C36" t="s">
        <v>1</v>
      </c>
      <c r="D36" s="4">
        <v>24</v>
      </c>
      <c r="E36" s="4">
        <v>79</v>
      </c>
      <c r="F36" s="4">
        <v>197</v>
      </c>
    </row>
    <row r="37" spans="1:6" x14ac:dyDescent="0.35">
      <c r="A37">
        <v>4</v>
      </c>
      <c r="B37">
        <v>3</v>
      </c>
      <c r="C37" t="s">
        <v>2</v>
      </c>
      <c r="D37" s="4">
        <v>7</v>
      </c>
      <c r="E37" s="4">
        <v>14</v>
      </c>
      <c r="F37" s="4">
        <v>20</v>
      </c>
    </row>
    <row r="38" spans="1:6" x14ac:dyDescent="0.35">
      <c r="A38">
        <v>4</v>
      </c>
      <c r="B38">
        <v>4</v>
      </c>
      <c r="C38" t="s">
        <v>3</v>
      </c>
      <c r="D38" s="4">
        <v>15</v>
      </c>
      <c r="E38" s="4">
        <v>29</v>
      </c>
      <c r="F38" s="4">
        <v>44</v>
      </c>
    </row>
    <row r="39" spans="1:6" x14ac:dyDescent="0.35">
      <c r="A39">
        <v>4</v>
      </c>
      <c r="B39">
        <v>5</v>
      </c>
      <c r="C39" t="s">
        <v>4</v>
      </c>
      <c r="D39" s="4">
        <v>1.6</v>
      </c>
      <c r="E39" s="4">
        <v>5.4</v>
      </c>
      <c r="F39" s="4">
        <v>8</v>
      </c>
    </row>
    <row r="40" spans="1:6" x14ac:dyDescent="0.35">
      <c r="A40">
        <v>4</v>
      </c>
      <c r="B40">
        <v>6</v>
      </c>
      <c r="C40" t="s">
        <v>5</v>
      </c>
      <c r="D40" s="4">
        <v>41</v>
      </c>
      <c r="E40" s="4">
        <v>138</v>
      </c>
      <c r="F40" s="4">
        <v>345</v>
      </c>
    </row>
    <row r="41" spans="1:6" x14ac:dyDescent="0.35">
      <c r="A41">
        <v>4</v>
      </c>
      <c r="B41">
        <v>7</v>
      </c>
      <c r="C41" t="s">
        <v>6</v>
      </c>
      <c r="D41" s="4">
        <v>4.2</v>
      </c>
      <c r="E41" s="4">
        <v>6.3</v>
      </c>
      <c r="F41" s="4">
        <v>10.5</v>
      </c>
    </row>
    <row r="42" spans="1:6" x14ac:dyDescent="0.35">
      <c r="A42">
        <v>4</v>
      </c>
      <c r="B42">
        <v>8</v>
      </c>
      <c r="C42" t="s">
        <v>7</v>
      </c>
      <c r="D42" s="4">
        <v>158</v>
      </c>
      <c r="E42" s="4">
        <v>231</v>
      </c>
      <c r="F42" s="4">
        <v>262</v>
      </c>
    </row>
    <row r="43" spans="1:6" x14ac:dyDescent="0.35">
      <c r="A43">
        <v>4</v>
      </c>
      <c r="B43">
        <v>9</v>
      </c>
      <c r="C43" t="s">
        <v>8</v>
      </c>
      <c r="D43" s="4">
        <v>21</v>
      </c>
      <c r="E43" s="4">
        <v>32</v>
      </c>
      <c r="F43" s="4">
        <v>53</v>
      </c>
    </row>
    <row r="44" spans="1:6" x14ac:dyDescent="0.35">
      <c r="A44">
        <v>4</v>
      </c>
      <c r="B44">
        <v>10</v>
      </c>
      <c r="C44" t="s">
        <v>9</v>
      </c>
      <c r="D44" s="4">
        <v>4.2</v>
      </c>
      <c r="E44" s="4">
        <v>6.3</v>
      </c>
      <c r="F44" s="4">
        <v>10.5</v>
      </c>
    </row>
    <row r="45" spans="1:6" x14ac:dyDescent="0.35">
      <c r="A45">
        <v>4</v>
      </c>
      <c r="B45">
        <v>11</v>
      </c>
      <c r="C45" t="s">
        <v>10</v>
      </c>
      <c r="D45" s="4">
        <v>67</v>
      </c>
      <c r="E45" s="4">
        <v>101</v>
      </c>
      <c r="F45" s="4">
        <v>168</v>
      </c>
    </row>
    <row r="46" spans="1:6" x14ac:dyDescent="0.35">
      <c r="A46">
        <v>5</v>
      </c>
      <c r="B46">
        <v>1</v>
      </c>
      <c r="C46" t="s">
        <v>0</v>
      </c>
      <c r="D46" s="4">
        <v>5.5620000000000003</v>
      </c>
      <c r="E46" s="4">
        <v>8.3550000000000004</v>
      </c>
      <c r="F46" s="4">
        <v>12.83</v>
      </c>
    </row>
    <row r="47" spans="1:6" x14ac:dyDescent="0.35">
      <c r="A47">
        <v>5</v>
      </c>
      <c r="B47">
        <v>2</v>
      </c>
      <c r="C47" t="s">
        <v>1</v>
      </c>
      <c r="D47" s="4">
        <v>5.9189999999999996</v>
      </c>
      <c r="E47" s="4">
        <v>11.84</v>
      </c>
      <c r="F47" s="4">
        <v>22.21</v>
      </c>
    </row>
    <row r="48" spans="1:6" x14ac:dyDescent="0.35">
      <c r="A48">
        <v>5</v>
      </c>
      <c r="B48">
        <v>3</v>
      </c>
      <c r="C48" t="s">
        <v>2</v>
      </c>
      <c r="D48" s="4">
        <v>2.0150000000000001</v>
      </c>
      <c r="E48" s="4">
        <v>3.024</v>
      </c>
      <c r="F48" s="4">
        <v>4.2359999999999998</v>
      </c>
    </row>
    <row r="49" spans="1:6" x14ac:dyDescent="0.35">
      <c r="A49">
        <v>5</v>
      </c>
      <c r="B49">
        <v>4</v>
      </c>
      <c r="C49" t="s">
        <v>3</v>
      </c>
      <c r="D49" s="4">
        <v>4.3369999999999997</v>
      </c>
      <c r="E49" s="4">
        <v>6.5170000000000003</v>
      </c>
      <c r="F49" s="4">
        <v>10.01</v>
      </c>
    </row>
    <row r="50" spans="1:6" x14ac:dyDescent="0.35">
      <c r="A50">
        <v>5</v>
      </c>
      <c r="B50">
        <v>5</v>
      </c>
      <c r="C50" t="s">
        <v>4</v>
      </c>
      <c r="D50" s="4">
        <v>0.8538</v>
      </c>
      <c r="E50" s="4">
        <v>1.2809999999999999</v>
      </c>
      <c r="F50" s="4">
        <v>1.7929999999999999</v>
      </c>
    </row>
    <row r="51" spans="1:6" x14ac:dyDescent="0.35">
      <c r="A51">
        <v>5</v>
      </c>
      <c r="B51">
        <v>6</v>
      </c>
      <c r="C51" t="s">
        <v>5</v>
      </c>
      <c r="D51" s="4">
        <v>5.2119999999999997</v>
      </c>
      <c r="E51" s="4">
        <v>10.42</v>
      </c>
      <c r="F51" s="4">
        <v>19.559999999999999</v>
      </c>
    </row>
    <row r="52" spans="1:6" x14ac:dyDescent="0.35">
      <c r="A52">
        <v>5</v>
      </c>
      <c r="B52">
        <v>7</v>
      </c>
      <c r="C52" t="s">
        <v>6</v>
      </c>
      <c r="D52" s="4">
        <v>0.10589999999999999</v>
      </c>
      <c r="E52" s="4">
        <v>0.159</v>
      </c>
      <c r="F52" s="4">
        <v>0.22259999999999999</v>
      </c>
    </row>
    <row r="53" spans="1:6" x14ac:dyDescent="0.35">
      <c r="A53">
        <v>5</v>
      </c>
      <c r="B53">
        <v>8</v>
      </c>
      <c r="C53" t="s">
        <v>7</v>
      </c>
      <c r="D53" s="4">
        <v>0.3931</v>
      </c>
      <c r="E53" s="4">
        <v>0.59040000000000004</v>
      </c>
      <c r="F53" s="4">
        <v>0.79559999999999997</v>
      </c>
    </row>
    <row r="54" spans="1:6" x14ac:dyDescent="0.35">
      <c r="A54">
        <v>5</v>
      </c>
      <c r="B54">
        <v>9</v>
      </c>
      <c r="C54" t="s">
        <v>8</v>
      </c>
      <c r="D54" s="4">
        <v>0.27489999999999998</v>
      </c>
      <c r="E54" s="4">
        <v>0.45850000000000002</v>
      </c>
      <c r="F54" s="4">
        <v>0.75529999999999997</v>
      </c>
    </row>
    <row r="55" spans="1:6" x14ac:dyDescent="0.35">
      <c r="A55">
        <v>5</v>
      </c>
      <c r="B55">
        <v>10</v>
      </c>
      <c r="C55" t="s">
        <v>9</v>
      </c>
      <c r="D55" s="4">
        <v>0.1138</v>
      </c>
      <c r="E55" s="4">
        <v>0.18970000000000001</v>
      </c>
      <c r="F55" s="4">
        <v>0.3125</v>
      </c>
    </row>
    <row r="56" spans="1:6" x14ac:dyDescent="0.35">
      <c r="A56">
        <v>5</v>
      </c>
      <c r="B56">
        <v>11</v>
      </c>
      <c r="C56" t="s">
        <v>10</v>
      </c>
      <c r="D56" s="4">
        <v>0.43430000000000002</v>
      </c>
      <c r="E56" s="4">
        <v>0.65239999999999998</v>
      </c>
      <c r="F56" s="4">
        <v>0.879</v>
      </c>
    </row>
    <row r="57" spans="1:6" x14ac:dyDescent="0.35">
      <c r="A57">
        <v>6</v>
      </c>
      <c r="B57">
        <v>1</v>
      </c>
      <c r="C57" t="s">
        <v>0</v>
      </c>
      <c r="D57" s="4">
        <v>18.260000000000002</v>
      </c>
      <c r="E57" s="4">
        <v>24.37</v>
      </c>
      <c r="F57" s="4">
        <v>30.91</v>
      </c>
    </row>
    <row r="58" spans="1:6" x14ac:dyDescent="0.35">
      <c r="A58">
        <v>6</v>
      </c>
      <c r="B58">
        <v>2</v>
      </c>
      <c r="C58" t="s">
        <v>1</v>
      </c>
      <c r="D58" s="4">
        <v>39.44</v>
      </c>
      <c r="E58" s="4">
        <v>52.62</v>
      </c>
      <c r="F58" s="4">
        <v>66.73</v>
      </c>
    </row>
    <row r="59" spans="1:6" x14ac:dyDescent="0.35">
      <c r="A59">
        <v>6</v>
      </c>
      <c r="B59">
        <v>3</v>
      </c>
      <c r="C59" t="s">
        <v>2</v>
      </c>
      <c r="D59" s="4">
        <v>6.5369999999999999</v>
      </c>
      <c r="E59" s="4">
        <v>8.7230000000000008</v>
      </c>
      <c r="F59" s="4">
        <v>11.06</v>
      </c>
    </row>
    <row r="60" spans="1:6" x14ac:dyDescent="0.35">
      <c r="A60">
        <v>6</v>
      </c>
      <c r="B60">
        <v>4</v>
      </c>
      <c r="C60" t="s">
        <v>3</v>
      </c>
      <c r="D60" s="4">
        <v>14.53</v>
      </c>
      <c r="E60" s="4">
        <v>19.39</v>
      </c>
      <c r="F60" s="4">
        <v>24.59</v>
      </c>
    </row>
    <row r="61" spans="1:6" x14ac:dyDescent="0.35">
      <c r="A61">
        <v>6</v>
      </c>
      <c r="B61">
        <v>5</v>
      </c>
      <c r="C61" t="s">
        <v>4</v>
      </c>
      <c r="D61" s="4">
        <v>2.7770000000000001</v>
      </c>
      <c r="E61" s="4">
        <v>3.706</v>
      </c>
      <c r="F61" s="4">
        <v>4.7009999999999996</v>
      </c>
    </row>
    <row r="62" spans="1:6" x14ac:dyDescent="0.35">
      <c r="A62">
        <v>6</v>
      </c>
      <c r="B62">
        <v>6</v>
      </c>
      <c r="C62" t="s">
        <v>5</v>
      </c>
      <c r="D62" s="4">
        <v>69.2</v>
      </c>
      <c r="E62" s="4">
        <v>92.33</v>
      </c>
      <c r="F62" s="4">
        <v>117.1</v>
      </c>
    </row>
    <row r="63" spans="1:6" x14ac:dyDescent="0.35">
      <c r="A63">
        <v>6</v>
      </c>
      <c r="B63">
        <v>7</v>
      </c>
      <c r="C63" t="s">
        <v>6</v>
      </c>
      <c r="D63" s="4">
        <v>0.22700000000000001</v>
      </c>
      <c r="E63" s="4">
        <v>0.35049999999999998</v>
      </c>
      <c r="F63" s="4">
        <v>0.49730000000000002</v>
      </c>
    </row>
    <row r="64" spans="1:6" x14ac:dyDescent="0.35">
      <c r="A64">
        <v>6</v>
      </c>
      <c r="B64">
        <v>8</v>
      </c>
      <c r="C64" t="s">
        <v>7</v>
      </c>
      <c r="D64" s="4">
        <v>0.84830000000000005</v>
      </c>
      <c r="E64" s="4">
        <v>1.31</v>
      </c>
      <c r="F64" s="4">
        <v>1.859</v>
      </c>
    </row>
    <row r="65" spans="1:6" x14ac:dyDescent="0.35">
      <c r="A65">
        <v>6</v>
      </c>
      <c r="B65">
        <v>9</v>
      </c>
      <c r="C65" t="s">
        <v>8</v>
      </c>
      <c r="D65" s="4">
        <v>0.77949999999999997</v>
      </c>
      <c r="E65" s="4">
        <v>1.204</v>
      </c>
      <c r="F65" s="4">
        <v>1.708</v>
      </c>
    </row>
    <row r="66" spans="1:6" x14ac:dyDescent="0.35">
      <c r="A66">
        <v>6</v>
      </c>
      <c r="B66">
        <v>10</v>
      </c>
      <c r="C66" t="s">
        <v>9</v>
      </c>
      <c r="D66" s="4">
        <v>0.32100000000000001</v>
      </c>
      <c r="E66" s="4">
        <v>0.49569999999999997</v>
      </c>
      <c r="F66" s="4">
        <v>0.70320000000000005</v>
      </c>
    </row>
    <row r="67" spans="1:6" x14ac:dyDescent="0.35">
      <c r="A67">
        <v>6</v>
      </c>
      <c r="B67">
        <v>11</v>
      </c>
      <c r="C67" t="s">
        <v>10</v>
      </c>
      <c r="D67" s="4">
        <v>1.024</v>
      </c>
      <c r="E67" s="4">
        <v>1.5840000000000001</v>
      </c>
      <c r="F67" s="4">
        <v>2.2519999999999998</v>
      </c>
    </row>
    <row r="68" spans="1:6" x14ac:dyDescent="0.35">
      <c r="A68">
        <v>7</v>
      </c>
      <c r="B68">
        <v>1</v>
      </c>
      <c r="C68" t="s">
        <v>0</v>
      </c>
      <c r="D68" s="4">
        <v>8.0380000000000003</v>
      </c>
      <c r="E68" s="4">
        <v>13.36</v>
      </c>
      <c r="F68" s="4">
        <v>20.420000000000002</v>
      </c>
    </row>
    <row r="69" spans="1:6" x14ac:dyDescent="0.35">
      <c r="A69">
        <v>7</v>
      </c>
      <c r="B69">
        <v>2</v>
      </c>
      <c r="C69" t="s">
        <v>1</v>
      </c>
      <c r="D69" s="4">
        <v>11.85</v>
      </c>
      <c r="E69" s="4">
        <v>19.61</v>
      </c>
      <c r="F69" s="4">
        <v>29.84</v>
      </c>
    </row>
    <row r="70" spans="1:6" x14ac:dyDescent="0.35">
      <c r="A70">
        <v>7</v>
      </c>
      <c r="B70">
        <v>3</v>
      </c>
      <c r="C70" t="s">
        <v>2</v>
      </c>
      <c r="D70" s="4">
        <v>1.946</v>
      </c>
      <c r="E70" s="4">
        <v>3.3580000000000001</v>
      </c>
      <c r="F70" s="4">
        <v>5.3419999999999996</v>
      </c>
    </row>
    <row r="71" spans="1:6" x14ac:dyDescent="0.35">
      <c r="A71">
        <v>7</v>
      </c>
      <c r="B71">
        <v>4</v>
      </c>
      <c r="C71" t="s">
        <v>3</v>
      </c>
      <c r="D71" s="4">
        <v>6.8520000000000003</v>
      </c>
      <c r="E71" s="4">
        <v>11.41</v>
      </c>
      <c r="F71" s="4">
        <v>17.48</v>
      </c>
    </row>
    <row r="72" spans="1:6" x14ac:dyDescent="0.35">
      <c r="A72">
        <v>7</v>
      </c>
      <c r="B72">
        <v>5</v>
      </c>
      <c r="C72" t="s">
        <v>4</v>
      </c>
      <c r="D72" s="4">
        <v>1.224</v>
      </c>
      <c r="E72" s="4">
        <v>2.173</v>
      </c>
      <c r="F72" s="4">
        <v>3.556</v>
      </c>
    </row>
    <row r="73" spans="1:6" x14ac:dyDescent="0.35">
      <c r="A73">
        <v>7</v>
      </c>
      <c r="B73">
        <v>6</v>
      </c>
      <c r="C73" t="s">
        <v>5</v>
      </c>
      <c r="D73" s="4">
        <v>44.68</v>
      </c>
      <c r="E73" s="4">
        <v>63.49</v>
      </c>
      <c r="F73" s="4">
        <v>82.3</v>
      </c>
    </row>
    <row r="74" spans="1:6" x14ac:dyDescent="0.35">
      <c r="A74">
        <v>7</v>
      </c>
      <c r="B74">
        <v>7</v>
      </c>
      <c r="C74" t="s">
        <v>6</v>
      </c>
      <c r="D74" s="4">
        <v>0.17829999999999999</v>
      </c>
      <c r="E74" s="4">
        <v>0.54279999999999995</v>
      </c>
      <c r="F74" s="4">
        <v>0.94120000000000004</v>
      </c>
    </row>
    <row r="75" spans="1:6" x14ac:dyDescent="0.35">
      <c r="A75">
        <v>7</v>
      </c>
      <c r="B75">
        <v>8</v>
      </c>
      <c r="C75" t="s">
        <v>7</v>
      </c>
      <c r="D75" s="4">
        <v>0.63270000000000004</v>
      </c>
      <c r="E75" s="4">
        <v>1.8839999999999999</v>
      </c>
      <c r="F75" s="4">
        <v>3.2</v>
      </c>
    </row>
    <row r="76" spans="1:6" x14ac:dyDescent="0.35">
      <c r="A76">
        <v>7</v>
      </c>
      <c r="B76">
        <v>9</v>
      </c>
      <c r="C76" t="s">
        <v>8</v>
      </c>
      <c r="D76" s="4">
        <v>0.58289999999999997</v>
      </c>
      <c r="E76" s="4">
        <v>1.7390000000000001</v>
      </c>
      <c r="F76" s="4">
        <v>2.9620000000000002</v>
      </c>
    </row>
    <row r="77" spans="1:6" x14ac:dyDescent="0.35">
      <c r="A77">
        <v>7</v>
      </c>
      <c r="B77">
        <v>10</v>
      </c>
      <c r="C77" t="s">
        <v>9</v>
      </c>
      <c r="D77" s="4">
        <v>0.25090000000000001</v>
      </c>
      <c r="E77" s="4">
        <v>0.77729999999999999</v>
      </c>
      <c r="F77" s="4">
        <v>1.37</v>
      </c>
    </row>
    <row r="78" spans="1:6" x14ac:dyDescent="0.35">
      <c r="A78">
        <v>7</v>
      </c>
      <c r="B78">
        <v>11</v>
      </c>
      <c r="C78" t="s">
        <v>10</v>
      </c>
      <c r="D78" s="4">
        <v>0.70389999999999997</v>
      </c>
      <c r="E78" s="4">
        <v>2.3570000000000002</v>
      </c>
      <c r="F78" s="4">
        <v>4.173</v>
      </c>
    </row>
    <row r="79" spans="1:6" x14ac:dyDescent="0.35">
      <c r="A79">
        <v>8</v>
      </c>
      <c r="B79">
        <v>1</v>
      </c>
      <c r="C79" t="s">
        <v>0</v>
      </c>
      <c r="D79" s="4">
        <v>36.61</v>
      </c>
      <c r="E79" s="4">
        <v>76.430000000000007</v>
      </c>
      <c r="F79" s="4">
        <v>116.3</v>
      </c>
    </row>
    <row r="80" spans="1:6" x14ac:dyDescent="0.35">
      <c r="A80">
        <v>8</v>
      </c>
      <c r="B80">
        <v>2</v>
      </c>
      <c r="C80" t="s">
        <v>1</v>
      </c>
      <c r="D80" s="4">
        <v>39.9</v>
      </c>
      <c r="E80" s="4">
        <v>83.3</v>
      </c>
      <c r="F80" s="4">
        <v>126.7</v>
      </c>
    </row>
    <row r="81" spans="1:6" x14ac:dyDescent="0.35">
      <c r="A81">
        <v>8</v>
      </c>
      <c r="B81">
        <v>3</v>
      </c>
      <c r="C81" t="s">
        <v>2</v>
      </c>
      <c r="D81" s="4">
        <v>5.4560000000000004</v>
      </c>
      <c r="E81" s="4">
        <v>11.36</v>
      </c>
      <c r="F81" s="4">
        <v>17.260000000000002</v>
      </c>
    </row>
    <row r="82" spans="1:6" x14ac:dyDescent="0.35">
      <c r="A82">
        <v>8</v>
      </c>
      <c r="B82">
        <v>4</v>
      </c>
      <c r="C82" t="s">
        <v>3</v>
      </c>
      <c r="D82" s="4">
        <v>13.17</v>
      </c>
      <c r="E82" s="4">
        <v>27.49</v>
      </c>
      <c r="F82" s="4">
        <v>41.82</v>
      </c>
    </row>
    <row r="83" spans="1:6" x14ac:dyDescent="0.35">
      <c r="A83">
        <v>8</v>
      </c>
      <c r="B83">
        <v>5</v>
      </c>
      <c r="C83" t="s">
        <v>4</v>
      </c>
      <c r="D83" s="4">
        <v>2.3490000000000002</v>
      </c>
      <c r="E83" s="4">
        <v>4.8899999999999997</v>
      </c>
      <c r="F83" s="4">
        <v>7.431</v>
      </c>
    </row>
    <row r="84" spans="1:6" x14ac:dyDescent="0.35">
      <c r="A84">
        <v>8</v>
      </c>
      <c r="B84">
        <v>6</v>
      </c>
      <c r="C84" t="s">
        <v>5</v>
      </c>
      <c r="D84" s="4">
        <v>63.31</v>
      </c>
      <c r="E84" s="4">
        <v>132.18</v>
      </c>
      <c r="F84" s="4">
        <v>201</v>
      </c>
    </row>
    <row r="85" spans="1:6" x14ac:dyDescent="0.35">
      <c r="A85">
        <v>8</v>
      </c>
      <c r="B85">
        <v>7</v>
      </c>
      <c r="C85" t="s">
        <v>6</v>
      </c>
      <c r="D85" s="4">
        <v>0.16120000000000001</v>
      </c>
      <c r="E85" s="4">
        <v>0.37190000000000001</v>
      </c>
      <c r="F85" s="4">
        <v>0.58260000000000001</v>
      </c>
    </row>
    <row r="86" spans="1:6" x14ac:dyDescent="0.35">
      <c r="A86">
        <v>8</v>
      </c>
      <c r="B86">
        <v>8</v>
      </c>
      <c r="C86" t="s">
        <v>7</v>
      </c>
      <c r="D86" s="4">
        <v>0.81340000000000001</v>
      </c>
      <c r="E86" s="4">
        <v>1.647</v>
      </c>
      <c r="F86" s="4">
        <v>2.4809999999999999</v>
      </c>
    </row>
    <row r="87" spans="1:6" x14ac:dyDescent="0.35">
      <c r="A87">
        <v>8</v>
      </c>
      <c r="B87">
        <v>9</v>
      </c>
      <c r="C87" t="s">
        <v>8</v>
      </c>
      <c r="D87" s="4">
        <v>0.55349999999999999</v>
      </c>
      <c r="E87" s="4">
        <v>1.2769999999999999</v>
      </c>
      <c r="F87" s="4">
        <v>2.0009999999999999</v>
      </c>
    </row>
    <row r="88" spans="1:6" x14ac:dyDescent="0.35">
      <c r="A88">
        <v>8</v>
      </c>
      <c r="B88">
        <v>10</v>
      </c>
      <c r="C88" t="s">
        <v>9</v>
      </c>
      <c r="D88" s="4">
        <v>0.22789999999999999</v>
      </c>
      <c r="E88" s="4">
        <v>0.52590000000000003</v>
      </c>
      <c r="F88" s="4">
        <v>0.82389999999999997</v>
      </c>
    </row>
    <row r="89" spans="1:6" x14ac:dyDescent="0.35">
      <c r="A89">
        <v>8</v>
      </c>
      <c r="B89">
        <v>11</v>
      </c>
      <c r="C89" t="s">
        <v>10</v>
      </c>
      <c r="D89" s="4">
        <v>0.98919999999999997</v>
      </c>
      <c r="E89" s="4">
        <v>2.004</v>
      </c>
      <c r="F89" s="4">
        <v>3.0179999999999998</v>
      </c>
    </row>
    <row r="90" spans="1:6" x14ac:dyDescent="0.35">
      <c r="A90">
        <v>9</v>
      </c>
      <c r="B90">
        <v>1</v>
      </c>
      <c r="C90" t="s">
        <v>0</v>
      </c>
      <c r="D90" s="4">
        <v>20.2</v>
      </c>
      <c r="E90" s="4">
        <v>34.9</v>
      </c>
      <c r="F90" s="4">
        <v>53.3</v>
      </c>
    </row>
    <row r="91" spans="1:6" x14ac:dyDescent="0.35">
      <c r="A91">
        <v>9</v>
      </c>
      <c r="B91">
        <v>2</v>
      </c>
      <c r="C91" t="s">
        <v>1</v>
      </c>
      <c r="D91" s="4">
        <v>47.5</v>
      </c>
      <c r="E91" s="4">
        <v>82.3</v>
      </c>
      <c r="F91" s="4">
        <v>136.80000000000001</v>
      </c>
    </row>
    <row r="92" spans="1:6" x14ac:dyDescent="0.35">
      <c r="A92">
        <v>9</v>
      </c>
      <c r="B92">
        <v>3</v>
      </c>
      <c r="C92" t="s">
        <v>2</v>
      </c>
      <c r="D92" s="4">
        <v>4.5999999999999996</v>
      </c>
      <c r="E92" s="4">
        <v>9.4</v>
      </c>
      <c r="F92" s="4">
        <v>16.8</v>
      </c>
    </row>
    <row r="93" spans="1:6" x14ac:dyDescent="0.35">
      <c r="A93">
        <v>9</v>
      </c>
      <c r="B93">
        <v>4</v>
      </c>
      <c r="C93" t="s">
        <v>3</v>
      </c>
      <c r="D93" s="4">
        <v>13.1</v>
      </c>
      <c r="E93" s="4">
        <v>23.2</v>
      </c>
      <c r="F93" s="4">
        <v>39</v>
      </c>
    </row>
    <row r="94" spans="1:6" x14ac:dyDescent="0.35">
      <c r="A94">
        <v>9</v>
      </c>
      <c r="B94">
        <v>5</v>
      </c>
      <c r="C94" t="s">
        <v>4</v>
      </c>
      <c r="D94" s="4">
        <v>2.1</v>
      </c>
      <c r="E94" s="4">
        <v>4.2</v>
      </c>
      <c r="F94" s="4">
        <v>7.4</v>
      </c>
    </row>
    <row r="95" spans="1:6" x14ac:dyDescent="0.35">
      <c r="A95">
        <v>9</v>
      </c>
      <c r="B95">
        <v>6</v>
      </c>
      <c r="C95" t="s">
        <v>5</v>
      </c>
      <c r="D95" s="4">
        <v>85.2</v>
      </c>
      <c r="E95" s="4">
        <v>156</v>
      </c>
      <c r="F95" s="4">
        <v>261.3</v>
      </c>
    </row>
    <row r="96" spans="1:6" x14ac:dyDescent="0.35">
      <c r="A96">
        <v>9</v>
      </c>
      <c r="B96">
        <v>7</v>
      </c>
      <c r="C96" t="s">
        <v>6</v>
      </c>
      <c r="D96" s="4">
        <v>1</v>
      </c>
      <c r="E96" s="4">
        <v>3.9</v>
      </c>
      <c r="F96" s="4">
        <v>10.8</v>
      </c>
    </row>
    <row r="97" spans="1:6" x14ac:dyDescent="0.35">
      <c r="A97">
        <v>9</v>
      </c>
      <c r="B97">
        <v>8</v>
      </c>
      <c r="C97" t="s">
        <v>7</v>
      </c>
      <c r="D97" s="4">
        <v>75.099999999999994</v>
      </c>
      <c r="E97" s="4">
        <v>258.5</v>
      </c>
      <c r="F97" s="4">
        <v>648.20000000000005</v>
      </c>
    </row>
    <row r="98" spans="1:6" x14ac:dyDescent="0.35">
      <c r="A98">
        <v>9</v>
      </c>
      <c r="B98">
        <v>9</v>
      </c>
      <c r="C98" t="s">
        <v>8</v>
      </c>
      <c r="D98" s="4">
        <v>7.4</v>
      </c>
      <c r="E98" s="4">
        <v>24.1</v>
      </c>
      <c r="F98" s="4">
        <v>67.400000000000006</v>
      </c>
    </row>
    <row r="99" spans="1:6" x14ac:dyDescent="0.35">
      <c r="A99">
        <v>9</v>
      </c>
      <c r="B99">
        <v>10</v>
      </c>
      <c r="C99" t="s">
        <v>9</v>
      </c>
      <c r="D99" s="4">
        <v>1</v>
      </c>
      <c r="E99" s="4">
        <v>3.9</v>
      </c>
      <c r="F99" s="4">
        <v>11.1</v>
      </c>
    </row>
    <row r="100" spans="1:6" x14ac:dyDescent="0.35">
      <c r="A100">
        <v>9</v>
      </c>
      <c r="B100">
        <v>11</v>
      </c>
      <c r="C100" t="s">
        <v>10</v>
      </c>
      <c r="D100" s="4">
        <v>29.7</v>
      </c>
      <c r="E100" s="4">
        <v>96.7</v>
      </c>
      <c r="F100" s="4">
        <v>265.2</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31"/>
  <dimension ref="A1:H577"/>
  <sheetViews>
    <sheetView workbookViewId="0"/>
  </sheetViews>
  <sheetFormatPr defaultRowHeight="14.5" x14ac:dyDescent="0.35"/>
  <sheetData>
    <row r="1" spans="1:8" x14ac:dyDescent="0.35">
      <c r="A1" s="9" t="s">
        <v>33</v>
      </c>
      <c r="D1" s="21">
        <v>0.05</v>
      </c>
      <c r="E1" s="21">
        <v>0.5</v>
      </c>
      <c r="F1" s="21">
        <v>0.95</v>
      </c>
      <c r="H1" s="9" t="s">
        <v>34</v>
      </c>
    </row>
    <row r="2" spans="1:8" x14ac:dyDescent="0.35">
      <c r="A2" s="9">
        <v>1</v>
      </c>
      <c r="B2" s="9">
        <v>1</v>
      </c>
      <c r="C2" s="9" t="s">
        <v>15</v>
      </c>
      <c r="D2" s="15">
        <v>5</v>
      </c>
      <c r="E2" s="15">
        <v>15</v>
      </c>
      <c r="F2" s="15">
        <v>40</v>
      </c>
      <c r="H2" s="15">
        <v>25</v>
      </c>
    </row>
    <row r="3" spans="1:8" x14ac:dyDescent="0.35">
      <c r="A3" s="9">
        <v>1</v>
      </c>
      <c r="B3" s="9">
        <v>2</v>
      </c>
      <c r="C3" s="9" t="s">
        <v>16</v>
      </c>
      <c r="D3" s="15">
        <v>5</v>
      </c>
      <c r="E3" s="15">
        <v>20</v>
      </c>
      <c r="F3" s="15">
        <v>35</v>
      </c>
      <c r="H3" s="15">
        <v>14.7</v>
      </c>
    </row>
    <row r="4" spans="1:8" x14ac:dyDescent="0.35">
      <c r="A4" s="9">
        <v>1</v>
      </c>
      <c r="B4" s="9">
        <v>3</v>
      </c>
      <c r="C4" s="9" t="s">
        <v>17</v>
      </c>
      <c r="D4" s="15">
        <v>0.1</v>
      </c>
      <c r="E4" s="15">
        <v>4</v>
      </c>
      <c r="F4" s="15">
        <v>8</v>
      </c>
      <c r="H4" s="15">
        <v>15</v>
      </c>
    </row>
    <row r="5" spans="1:8" x14ac:dyDescent="0.35">
      <c r="A5" s="9">
        <v>1</v>
      </c>
      <c r="B5" s="9">
        <v>4</v>
      </c>
      <c r="C5" s="9" t="s">
        <v>18</v>
      </c>
      <c r="D5" s="15">
        <v>3</v>
      </c>
      <c r="E5" s="15">
        <v>10</v>
      </c>
      <c r="F5" s="15">
        <v>20</v>
      </c>
      <c r="H5" s="15">
        <v>10.199999999999999</v>
      </c>
    </row>
    <row r="6" spans="1:8" x14ac:dyDescent="0.35">
      <c r="A6" s="9">
        <v>1</v>
      </c>
      <c r="B6" s="9">
        <v>5</v>
      </c>
      <c r="C6" s="9" t="s">
        <v>19</v>
      </c>
      <c r="D6" s="15">
        <v>300</v>
      </c>
      <c r="E6" s="15">
        <v>800</v>
      </c>
      <c r="F6" s="15">
        <v>1500</v>
      </c>
      <c r="H6" s="15">
        <v>6000</v>
      </c>
    </row>
    <row r="7" spans="1:8" x14ac:dyDescent="0.35">
      <c r="A7" s="9">
        <v>1</v>
      </c>
      <c r="B7" s="9">
        <v>6</v>
      </c>
      <c r="C7" s="9" t="s">
        <v>20</v>
      </c>
      <c r="D7" s="15">
        <v>20</v>
      </c>
      <c r="E7" s="15">
        <v>100</v>
      </c>
      <c r="F7" s="15">
        <v>200</v>
      </c>
      <c r="H7" s="15">
        <v>49</v>
      </c>
    </row>
    <row r="8" spans="1:8" x14ac:dyDescent="0.35">
      <c r="A8" s="9">
        <v>1</v>
      </c>
      <c r="B8" s="9">
        <v>7</v>
      </c>
      <c r="C8" s="9" t="s">
        <v>21</v>
      </c>
      <c r="D8" s="15">
        <v>20</v>
      </c>
      <c r="E8" s="15">
        <v>90</v>
      </c>
      <c r="F8" s="15">
        <v>250</v>
      </c>
      <c r="H8" s="15">
        <v>44</v>
      </c>
    </row>
    <row r="9" spans="1:8" x14ac:dyDescent="0.35">
      <c r="A9" s="9">
        <v>1</v>
      </c>
      <c r="B9" s="9">
        <v>8</v>
      </c>
      <c r="C9" s="9" t="s">
        <v>22</v>
      </c>
      <c r="D9" s="15">
        <v>90</v>
      </c>
      <c r="E9" s="15">
        <v>99</v>
      </c>
      <c r="F9" s="15">
        <v>100</v>
      </c>
      <c r="H9" s="15">
        <v>40</v>
      </c>
    </row>
    <row r="10" spans="1:8" x14ac:dyDescent="0.35">
      <c r="A10" s="9">
        <v>1</v>
      </c>
      <c r="B10" s="9">
        <v>9</v>
      </c>
      <c r="C10" s="9" t="s">
        <v>23</v>
      </c>
      <c r="D10" s="15">
        <v>4</v>
      </c>
      <c r="E10" s="15">
        <v>10</v>
      </c>
      <c r="F10" s="15">
        <v>50</v>
      </c>
      <c r="H10" s="15">
        <v>46</v>
      </c>
    </row>
    <row r="11" spans="1:8" x14ac:dyDescent="0.35">
      <c r="A11" s="9">
        <v>1</v>
      </c>
      <c r="B11" s="9">
        <v>10</v>
      </c>
      <c r="C11" s="9" t="s">
        <v>24</v>
      </c>
      <c r="D11" s="15">
        <v>100</v>
      </c>
      <c r="E11" s="15">
        <v>300</v>
      </c>
      <c r="F11" s="15">
        <v>900</v>
      </c>
      <c r="H11" s="15">
        <v>2700</v>
      </c>
    </row>
    <row r="12" spans="1:8" x14ac:dyDescent="0.35">
      <c r="A12" s="9">
        <v>1</v>
      </c>
      <c r="B12" s="9">
        <v>11</v>
      </c>
      <c r="C12" s="9" t="s">
        <v>25</v>
      </c>
      <c r="D12" s="15">
        <v>1</v>
      </c>
      <c r="E12" s="15">
        <v>3</v>
      </c>
      <c r="F12" s="15">
        <v>6</v>
      </c>
      <c r="H12" s="15">
        <v>12</v>
      </c>
    </row>
    <row r="13" spans="1:8" x14ac:dyDescent="0.35">
      <c r="A13" s="9">
        <v>1</v>
      </c>
      <c r="B13" s="9">
        <v>12</v>
      </c>
      <c r="C13" s="9" t="s">
        <v>26</v>
      </c>
      <c r="D13" s="15">
        <v>3</v>
      </c>
      <c r="E13" s="15">
        <v>5</v>
      </c>
      <c r="F13" s="15">
        <v>8</v>
      </c>
      <c r="H13" s="15">
        <v>9</v>
      </c>
    </row>
    <row r="14" spans="1:8" x14ac:dyDescent="0.35">
      <c r="A14" s="9">
        <v>1</v>
      </c>
      <c r="B14" s="9">
        <v>13</v>
      </c>
      <c r="C14" s="9" t="s">
        <v>27</v>
      </c>
      <c r="D14" s="15">
        <v>10</v>
      </c>
      <c r="E14" s="15">
        <v>100</v>
      </c>
      <c r="F14" s="15">
        <v>200</v>
      </c>
      <c r="H14" s="15">
        <v>127</v>
      </c>
    </row>
    <row r="15" spans="1:8" x14ac:dyDescent="0.35">
      <c r="A15" s="9">
        <v>1</v>
      </c>
      <c r="B15" s="9">
        <v>14</v>
      </c>
      <c r="C15" s="9" t="s">
        <v>28</v>
      </c>
      <c r="D15" s="15">
        <v>50</v>
      </c>
      <c r="E15" s="15">
        <v>500</v>
      </c>
      <c r="F15" s="15">
        <v>10000</v>
      </c>
      <c r="H15" s="15">
        <v>1200</v>
      </c>
    </row>
    <row r="16" spans="1:8" x14ac:dyDescent="0.35">
      <c r="A16" s="9">
        <v>1</v>
      </c>
      <c r="B16" s="9">
        <v>15</v>
      </c>
      <c r="C16" s="9" t="s">
        <v>29</v>
      </c>
      <c r="D16" s="15">
        <v>10</v>
      </c>
      <c r="E16" s="15">
        <v>150</v>
      </c>
      <c r="F16" s="15">
        <v>350</v>
      </c>
      <c r="H16" s="15">
        <v>57</v>
      </c>
    </row>
    <row r="17" spans="1:8" x14ac:dyDescent="0.35">
      <c r="A17" s="9">
        <v>1</v>
      </c>
      <c r="B17" s="9">
        <v>16</v>
      </c>
      <c r="C17" s="9" t="s">
        <v>30</v>
      </c>
      <c r="D17" s="15">
        <v>7.5</v>
      </c>
      <c r="E17" s="15">
        <v>10</v>
      </c>
      <c r="F17" s="15">
        <v>12</v>
      </c>
      <c r="H17" s="15">
        <v>10.41</v>
      </c>
    </row>
    <row r="18" spans="1:8" x14ac:dyDescent="0.35">
      <c r="A18" s="9">
        <v>1</v>
      </c>
      <c r="B18" s="9">
        <v>17</v>
      </c>
      <c r="C18" s="9" t="s">
        <v>31</v>
      </c>
      <c r="D18" s="15">
        <v>150</v>
      </c>
      <c r="E18" s="15">
        <v>1000</v>
      </c>
      <c r="F18" s="15">
        <v>5000</v>
      </c>
      <c r="H18" s="15">
        <v>100</v>
      </c>
    </row>
    <row r="19" spans="1:8" x14ac:dyDescent="0.35">
      <c r="A19" s="9">
        <v>1</v>
      </c>
      <c r="B19" s="9">
        <v>18</v>
      </c>
      <c r="C19" s="9" t="s">
        <v>32</v>
      </c>
      <c r="D19" s="15">
        <v>1E-3</v>
      </c>
      <c r="E19" s="15">
        <v>20</v>
      </c>
      <c r="F19" s="15">
        <v>40</v>
      </c>
      <c r="H19" s="15">
        <v>175</v>
      </c>
    </row>
    <row r="20" spans="1:8" x14ac:dyDescent="0.35">
      <c r="A20" s="9">
        <v>2</v>
      </c>
      <c r="B20" s="9">
        <v>1</v>
      </c>
      <c r="C20" s="9" t="s">
        <v>15</v>
      </c>
      <c r="D20" s="15">
        <v>2</v>
      </c>
      <c r="E20" s="15">
        <v>5</v>
      </c>
      <c r="F20" s="15">
        <v>25</v>
      </c>
    </row>
    <row r="21" spans="1:8" x14ac:dyDescent="0.35">
      <c r="A21" s="9">
        <v>2</v>
      </c>
      <c r="B21" s="9">
        <v>2</v>
      </c>
      <c r="C21" s="9" t="s">
        <v>16</v>
      </c>
      <c r="D21" s="15">
        <v>1000</v>
      </c>
      <c r="E21" s="15">
        <v>100000</v>
      </c>
      <c r="F21" s="15">
        <v>1000000</v>
      </c>
    </row>
    <row r="22" spans="1:8" x14ac:dyDescent="0.35">
      <c r="A22" s="9">
        <v>2</v>
      </c>
      <c r="B22" s="9">
        <v>3</v>
      </c>
      <c r="C22" s="9" t="s">
        <v>17</v>
      </c>
      <c r="D22" s="15">
        <v>5</v>
      </c>
      <c r="E22" s="15">
        <v>12</v>
      </c>
      <c r="F22" s="15">
        <v>25</v>
      </c>
    </row>
    <row r="23" spans="1:8" x14ac:dyDescent="0.35">
      <c r="A23" s="9">
        <v>2</v>
      </c>
      <c r="B23" s="9">
        <v>4</v>
      </c>
      <c r="C23" s="9" t="s">
        <v>18</v>
      </c>
      <c r="D23" s="15">
        <v>2</v>
      </c>
      <c r="E23" s="15">
        <v>2.4</v>
      </c>
      <c r="F23" s="15">
        <v>7</v>
      </c>
    </row>
    <row r="24" spans="1:8" x14ac:dyDescent="0.35">
      <c r="A24" s="9">
        <v>2</v>
      </c>
      <c r="B24" s="9">
        <v>5</v>
      </c>
      <c r="C24" s="9" t="s">
        <v>19</v>
      </c>
      <c r="D24" s="15">
        <v>200</v>
      </c>
      <c r="E24" s="15">
        <v>500</v>
      </c>
      <c r="F24" s="15">
        <v>800</v>
      </c>
    </row>
    <row r="25" spans="1:8" x14ac:dyDescent="0.35">
      <c r="A25" s="9">
        <v>2</v>
      </c>
      <c r="B25" s="9">
        <v>6</v>
      </c>
      <c r="C25" s="9" t="s">
        <v>20</v>
      </c>
      <c r="D25" s="15">
        <v>5</v>
      </c>
      <c r="E25" s="15">
        <v>7</v>
      </c>
      <c r="F25" s="15">
        <v>30</v>
      </c>
    </row>
    <row r="26" spans="1:8" x14ac:dyDescent="0.35">
      <c r="A26" s="9">
        <v>2</v>
      </c>
      <c r="B26" s="9">
        <v>7</v>
      </c>
      <c r="C26" s="9" t="s">
        <v>21</v>
      </c>
      <c r="D26" s="15">
        <v>10</v>
      </c>
      <c r="E26" s="15">
        <v>20</v>
      </c>
      <c r="F26" s="15">
        <v>70</v>
      </c>
    </row>
    <row r="27" spans="1:8" x14ac:dyDescent="0.35">
      <c r="A27" s="9">
        <v>2</v>
      </c>
      <c r="B27" s="9">
        <v>8</v>
      </c>
      <c r="C27" s="9" t="s">
        <v>22</v>
      </c>
      <c r="D27" s="15">
        <v>5</v>
      </c>
      <c r="E27" s="15">
        <v>12</v>
      </c>
      <c r="F27" s="15">
        <v>25</v>
      </c>
    </row>
    <row r="28" spans="1:8" x14ac:dyDescent="0.35">
      <c r="A28" s="9">
        <v>2</v>
      </c>
      <c r="B28" s="9">
        <v>9</v>
      </c>
      <c r="C28" s="9" t="s">
        <v>23</v>
      </c>
      <c r="D28" s="15">
        <v>10.1</v>
      </c>
      <c r="E28" s="15">
        <v>10.3</v>
      </c>
      <c r="F28" s="15">
        <v>10.7</v>
      </c>
    </row>
    <row r="29" spans="1:8" x14ac:dyDescent="0.35">
      <c r="A29" s="9">
        <v>2</v>
      </c>
      <c r="B29" s="9">
        <v>10</v>
      </c>
      <c r="C29" s="9" t="s">
        <v>24</v>
      </c>
      <c r="D29" s="15">
        <v>6</v>
      </c>
      <c r="E29" s="15">
        <v>30</v>
      </c>
      <c r="F29" s="15">
        <v>60</v>
      </c>
    </row>
    <row r="30" spans="1:8" x14ac:dyDescent="0.35">
      <c r="A30" s="9">
        <v>2</v>
      </c>
      <c r="B30" s="9">
        <v>11</v>
      </c>
      <c r="C30" s="9" t="s">
        <v>25</v>
      </c>
      <c r="D30" s="15">
        <v>2</v>
      </c>
      <c r="E30" s="15">
        <v>3</v>
      </c>
      <c r="F30" s="15">
        <v>4</v>
      </c>
    </row>
    <row r="31" spans="1:8" x14ac:dyDescent="0.35">
      <c r="A31" s="9">
        <v>2</v>
      </c>
      <c r="B31" s="9">
        <v>12</v>
      </c>
      <c r="C31" s="9" t="s">
        <v>26</v>
      </c>
      <c r="D31" s="15">
        <v>5</v>
      </c>
      <c r="E31" s="15">
        <v>8</v>
      </c>
      <c r="F31" s="15">
        <v>20</v>
      </c>
    </row>
    <row r="32" spans="1:8" x14ac:dyDescent="0.35">
      <c r="A32" s="9">
        <v>2</v>
      </c>
      <c r="B32" s="9">
        <v>13</v>
      </c>
      <c r="C32" s="9" t="s">
        <v>27</v>
      </c>
      <c r="D32" s="15">
        <v>50</v>
      </c>
      <c r="E32" s="15">
        <v>180</v>
      </c>
      <c r="F32" s="15">
        <v>250</v>
      </c>
    </row>
    <row r="33" spans="1:6" x14ac:dyDescent="0.35">
      <c r="A33" s="9">
        <v>2</v>
      </c>
      <c r="B33" s="9">
        <v>14</v>
      </c>
      <c r="C33" s="9" t="s">
        <v>28</v>
      </c>
      <c r="D33" s="15">
        <v>1</v>
      </c>
      <c r="E33" s="15">
        <v>10</v>
      </c>
      <c r="F33" s="15">
        <v>1000</v>
      </c>
    </row>
    <row r="34" spans="1:6" x14ac:dyDescent="0.35">
      <c r="A34" s="9">
        <v>2</v>
      </c>
      <c r="B34" s="9">
        <v>15</v>
      </c>
      <c r="C34" s="9" t="s">
        <v>29</v>
      </c>
      <c r="D34" s="15">
        <v>50</v>
      </c>
      <c r="E34" s="15">
        <v>70</v>
      </c>
      <c r="F34" s="15">
        <v>100</v>
      </c>
    </row>
    <row r="35" spans="1:6" x14ac:dyDescent="0.35">
      <c r="A35" s="9">
        <v>2</v>
      </c>
      <c r="B35" s="9">
        <v>16</v>
      </c>
      <c r="C35" s="9" t="s">
        <v>30</v>
      </c>
      <c r="D35" s="15">
        <v>5</v>
      </c>
      <c r="E35" s="15">
        <v>6.5</v>
      </c>
      <c r="F35" s="15">
        <v>8</v>
      </c>
    </row>
    <row r="36" spans="1:6" x14ac:dyDescent="0.35">
      <c r="A36" s="9">
        <v>2</v>
      </c>
      <c r="B36" s="9">
        <v>17</v>
      </c>
      <c r="C36" s="9" t="s">
        <v>31</v>
      </c>
      <c r="D36" s="15">
        <v>400</v>
      </c>
      <c r="E36" s="15">
        <v>1000</v>
      </c>
      <c r="F36" s="15">
        <v>1200</v>
      </c>
    </row>
    <row r="37" spans="1:6" x14ac:dyDescent="0.35">
      <c r="A37" s="9">
        <v>2</v>
      </c>
      <c r="B37" s="9">
        <v>18</v>
      </c>
      <c r="C37" s="9" t="s">
        <v>32</v>
      </c>
      <c r="D37" s="15">
        <v>2</v>
      </c>
      <c r="E37" s="15">
        <v>5</v>
      </c>
      <c r="F37" s="15">
        <v>8</v>
      </c>
    </row>
    <row r="38" spans="1:6" x14ac:dyDescent="0.35">
      <c r="A38" s="9">
        <v>3</v>
      </c>
      <c r="B38" s="9">
        <v>1</v>
      </c>
      <c r="C38" s="9" t="s">
        <v>15</v>
      </c>
      <c r="D38" s="15">
        <v>5</v>
      </c>
      <c r="E38" s="15">
        <v>12</v>
      </c>
      <c r="F38" s="15">
        <v>20</v>
      </c>
    </row>
    <row r="39" spans="1:6" x14ac:dyDescent="0.35">
      <c r="A39" s="9">
        <v>3</v>
      </c>
      <c r="B39" s="9">
        <v>2</v>
      </c>
      <c r="C39" s="9" t="s">
        <v>16</v>
      </c>
      <c r="D39" s="15">
        <v>10</v>
      </c>
      <c r="E39" s="15">
        <v>45</v>
      </c>
      <c r="F39" s="15">
        <v>100</v>
      </c>
    </row>
    <row r="40" spans="1:6" x14ac:dyDescent="0.35">
      <c r="A40" s="9">
        <v>3</v>
      </c>
      <c r="B40" s="9">
        <v>3</v>
      </c>
      <c r="C40" s="9" t="s">
        <v>17</v>
      </c>
      <c r="D40" s="15">
        <v>5</v>
      </c>
      <c r="E40" s="15">
        <v>12</v>
      </c>
      <c r="F40" s="15">
        <v>30</v>
      </c>
    </row>
    <row r="41" spans="1:6" x14ac:dyDescent="0.35">
      <c r="A41" s="9">
        <v>3</v>
      </c>
      <c r="B41" s="9">
        <v>4</v>
      </c>
      <c r="C41" s="9" t="s">
        <v>18</v>
      </c>
      <c r="D41" s="15">
        <v>5</v>
      </c>
      <c r="E41" s="15">
        <v>10</v>
      </c>
      <c r="F41" s="15">
        <v>25</v>
      </c>
    </row>
    <row r="42" spans="1:6" x14ac:dyDescent="0.35">
      <c r="A42" s="9">
        <v>3</v>
      </c>
      <c r="B42" s="9">
        <v>5</v>
      </c>
      <c r="C42" s="9" t="s">
        <v>19</v>
      </c>
      <c r="D42" s="15">
        <v>500</v>
      </c>
      <c r="E42" s="15">
        <v>1200</v>
      </c>
      <c r="F42" s="15">
        <v>5000</v>
      </c>
    </row>
    <row r="43" spans="1:6" x14ac:dyDescent="0.35">
      <c r="A43" s="9">
        <v>3</v>
      </c>
      <c r="B43" s="9">
        <v>6</v>
      </c>
      <c r="C43" s="9" t="s">
        <v>20</v>
      </c>
      <c r="D43" s="15">
        <v>5</v>
      </c>
      <c r="E43" s="15">
        <v>12</v>
      </c>
      <c r="F43" s="15">
        <v>30</v>
      </c>
    </row>
    <row r="44" spans="1:6" x14ac:dyDescent="0.35">
      <c r="A44" s="9">
        <v>3</v>
      </c>
      <c r="B44" s="9">
        <v>7</v>
      </c>
      <c r="C44" s="9" t="s">
        <v>21</v>
      </c>
      <c r="D44" s="15">
        <v>100</v>
      </c>
      <c r="E44" s="15">
        <v>550</v>
      </c>
      <c r="F44" s="15">
        <v>1000</v>
      </c>
    </row>
    <row r="45" spans="1:6" x14ac:dyDescent="0.35">
      <c r="A45" s="9">
        <v>3</v>
      </c>
      <c r="B45" s="9">
        <v>8</v>
      </c>
      <c r="C45" s="9" t="s">
        <v>22</v>
      </c>
      <c r="D45" s="15">
        <v>10</v>
      </c>
      <c r="E45" s="15">
        <v>20</v>
      </c>
      <c r="F45" s="15">
        <v>21</v>
      </c>
    </row>
    <row r="46" spans="1:6" x14ac:dyDescent="0.35">
      <c r="A46" s="9">
        <v>3</v>
      </c>
      <c r="B46" s="9">
        <v>9</v>
      </c>
      <c r="C46" s="9" t="s">
        <v>23</v>
      </c>
      <c r="D46" s="15">
        <v>5</v>
      </c>
      <c r="E46" s="15">
        <v>48</v>
      </c>
      <c r="F46" s="15">
        <v>100</v>
      </c>
    </row>
    <row r="47" spans="1:6" x14ac:dyDescent="0.35">
      <c r="A47" s="9">
        <v>3</v>
      </c>
      <c r="B47" s="9">
        <v>10</v>
      </c>
      <c r="C47" s="9" t="s">
        <v>24</v>
      </c>
      <c r="D47" s="15">
        <v>500</v>
      </c>
      <c r="E47" s="15">
        <v>900</v>
      </c>
      <c r="F47" s="15">
        <v>1500</v>
      </c>
    </row>
    <row r="48" spans="1:6" x14ac:dyDescent="0.35">
      <c r="A48" s="9">
        <v>3</v>
      </c>
      <c r="B48" s="9">
        <v>11</v>
      </c>
      <c r="C48" s="9" t="s">
        <v>25</v>
      </c>
      <c r="D48" s="15">
        <v>10</v>
      </c>
      <c r="E48" s="15">
        <v>20</v>
      </c>
      <c r="F48" s="15">
        <v>30</v>
      </c>
    </row>
    <row r="49" spans="1:6" x14ac:dyDescent="0.35">
      <c r="A49" s="9">
        <v>3</v>
      </c>
      <c r="B49" s="9">
        <v>12</v>
      </c>
      <c r="C49" s="9" t="s">
        <v>26</v>
      </c>
      <c r="D49" s="15">
        <v>5</v>
      </c>
      <c r="E49" s="15">
        <v>12</v>
      </c>
      <c r="F49" s="15">
        <v>25</v>
      </c>
    </row>
    <row r="50" spans="1:6" x14ac:dyDescent="0.35">
      <c r="A50" s="9">
        <v>3</v>
      </c>
      <c r="B50" s="9">
        <v>13</v>
      </c>
      <c r="C50" s="9" t="s">
        <v>27</v>
      </c>
      <c r="D50" s="15">
        <v>750</v>
      </c>
      <c r="E50" s="15">
        <v>850</v>
      </c>
      <c r="F50" s="15">
        <v>1000</v>
      </c>
    </row>
    <row r="51" spans="1:6" x14ac:dyDescent="0.35">
      <c r="A51" s="9">
        <v>3</v>
      </c>
      <c r="B51" s="9">
        <v>14</v>
      </c>
      <c r="C51" s="9" t="s">
        <v>28</v>
      </c>
      <c r="D51" s="15">
        <v>1</v>
      </c>
      <c r="E51" s="15">
        <v>1.5</v>
      </c>
      <c r="F51" s="15">
        <v>2</v>
      </c>
    </row>
    <row r="52" spans="1:6" x14ac:dyDescent="0.35">
      <c r="A52" s="9">
        <v>3</v>
      </c>
      <c r="B52" s="9">
        <v>15</v>
      </c>
      <c r="C52" s="9" t="s">
        <v>29</v>
      </c>
      <c r="D52" s="15">
        <v>300</v>
      </c>
      <c r="E52" s="15">
        <v>900</v>
      </c>
      <c r="F52" s="15">
        <v>1500</v>
      </c>
    </row>
    <row r="53" spans="1:6" x14ac:dyDescent="0.35">
      <c r="A53" s="9">
        <v>3</v>
      </c>
      <c r="B53" s="9">
        <v>16</v>
      </c>
      <c r="C53" s="9" t="s">
        <v>30</v>
      </c>
      <c r="D53" s="15">
        <v>5</v>
      </c>
      <c r="E53" s="15">
        <v>10</v>
      </c>
      <c r="F53" s="15">
        <v>15</v>
      </c>
    </row>
    <row r="54" spans="1:6" x14ac:dyDescent="0.35">
      <c r="A54" s="9">
        <v>3</v>
      </c>
      <c r="B54" s="9">
        <v>17</v>
      </c>
      <c r="C54" s="9" t="s">
        <v>31</v>
      </c>
      <c r="D54" s="15">
        <v>400</v>
      </c>
      <c r="E54" s="15">
        <v>1000</v>
      </c>
      <c r="F54" s="15">
        <v>2000</v>
      </c>
    </row>
    <row r="55" spans="1:6" x14ac:dyDescent="0.35">
      <c r="A55" s="9">
        <v>3</v>
      </c>
      <c r="B55" s="9">
        <v>18</v>
      </c>
      <c r="C55" s="9" t="s">
        <v>32</v>
      </c>
      <c r="D55" s="15">
        <v>10</v>
      </c>
      <c r="E55" s="15">
        <v>35</v>
      </c>
      <c r="F55" s="15">
        <v>100</v>
      </c>
    </row>
    <row r="56" spans="1:6" x14ac:dyDescent="0.35">
      <c r="A56" s="9">
        <v>4</v>
      </c>
      <c r="B56" s="9">
        <v>1</v>
      </c>
      <c r="C56" s="9" t="s">
        <v>15</v>
      </c>
      <c r="D56" s="15">
        <v>1</v>
      </c>
      <c r="E56" s="15">
        <v>5</v>
      </c>
      <c r="F56" s="15">
        <v>20</v>
      </c>
    </row>
    <row r="57" spans="1:6" x14ac:dyDescent="0.35">
      <c r="A57" s="9">
        <v>4</v>
      </c>
      <c r="B57" s="9">
        <v>2</v>
      </c>
      <c r="C57" s="9" t="s">
        <v>16</v>
      </c>
      <c r="D57" s="15">
        <v>1</v>
      </c>
      <c r="E57" s="15">
        <v>30</v>
      </c>
      <c r="F57" s="15">
        <v>100</v>
      </c>
    </row>
    <row r="58" spans="1:6" x14ac:dyDescent="0.35">
      <c r="A58" s="9">
        <v>4</v>
      </c>
      <c r="B58" s="9">
        <v>3</v>
      </c>
      <c r="C58" s="9" t="s">
        <v>17</v>
      </c>
      <c r="D58" s="15">
        <v>1</v>
      </c>
      <c r="E58" s="15">
        <v>5</v>
      </c>
      <c r="F58" s="15">
        <v>25</v>
      </c>
    </row>
    <row r="59" spans="1:6" x14ac:dyDescent="0.35">
      <c r="A59" s="9">
        <v>4</v>
      </c>
      <c r="B59" s="9">
        <v>4</v>
      </c>
      <c r="C59" s="9" t="s">
        <v>18</v>
      </c>
      <c r="D59" s="15">
        <v>1</v>
      </c>
      <c r="E59" s="15">
        <v>2</v>
      </c>
      <c r="F59" s="15">
        <v>5</v>
      </c>
    </row>
    <row r="60" spans="1:6" x14ac:dyDescent="0.35">
      <c r="A60" s="9">
        <v>4</v>
      </c>
      <c r="B60" s="9">
        <v>5</v>
      </c>
      <c r="C60" s="9" t="s">
        <v>19</v>
      </c>
      <c r="D60" s="15">
        <v>5</v>
      </c>
      <c r="E60" s="15">
        <v>100</v>
      </c>
      <c r="F60" s="15">
        <v>1000</v>
      </c>
    </row>
    <row r="61" spans="1:6" x14ac:dyDescent="0.35">
      <c r="A61" s="9">
        <v>4</v>
      </c>
      <c r="B61" s="9">
        <v>6</v>
      </c>
      <c r="C61" s="9" t="s">
        <v>20</v>
      </c>
      <c r="D61" s="15">
        <v>1</v>
      </c>
      <c r="E61" s="15">
        <v>1000</v>
      </c>
      <c r="F61" s="15">
        <v>3650</v>
      </c>
    </row>
    <row r="62" spans="1:6" x14ac:dyDescent="0.35">
      <c r="A62" s="9">
        <v>4</v>
      </c>
      <c r="B62" s="9">
        <v>7</v>
      </c>
      <c r="C62" s="9" t="s">
        <v>21</v>
      </c>
      <c r="D62" s="15">
        <v>1E-3</v>
      </c>
      <c r="E62" s="15">
        <v>1</v>
      </c>
      <c r="F62" s="15">
        <v>5</v>
      </c>
    </row>
    <row r="63" spans="1:6" x14ac:dyDescent="0.35">
      <c r="A63" s="9">
        <v>4</v>
      </c>
      <c r="B63" s="9">
        <v>8</v>
      </c>
      <c r="C63" s="9" t="s">
        <v>22</v>
      </c>
      <c r="D63" s="15">
        <v>1</v>
      </c>
      <c r="E63" s="15">
        <v>10</v>
      </c>
      <c r="F63" s="15">
        <v>40</v>
      </c>
    </row>
    <row r="64" spans="1:6" x14ac:dyDescent="0.35">
      <c r="A64" s="9">
        <v>4</v>
      </c>
      <c r="B64" s="9">
        <v>9</v>
      </c>
      <c r="C64" s="9" t="s">
        <v>23</v>
      </c>
      <c r="D64" s="15">
        <v>1</v>
      </c>
      <c r="E64" s="15">
        <v>10</v>
      </c>
      <c r="F64" s="15">
        <v>100</v>
      </c>
    </row>
    <row r="65" spans="1:6" x14ac:dyDescent="0.35">
      <c r="A65" s="9">
        <v>4</v>
      </c>
      <c r="B65" s="9">
        <v>10</v>
      </c>
      <c r="C65" s="9" t="s">
        <v>24</v>
      </c>
      <c r="D65" s="15">
        <v>1E-3</v>
      </c>
      <c r="E65" s="15">
        <v>2000</v>
      </c>
      <c r="F65" s="15">
        <v>3000</v>
      </c>
    </row>
    <row r="66" spans="1:6" x14ac:dyDescent="0.35">
      <c r="A66" s="9">
        <v>4</v>
      </c>
      <c r="B66" s="9">
        <v>11</v>
      </c>
      <c r="C66" s="9" t="s">
        <v>25</v>
      </c>
      <c r="D66" s="15">
        <v>5</v>
      </c>
      <c r="E66" s="15">
        <v>20</v>
      </c>
      <c r="F66" s="15">
        <v>50</v>
      </c>
    </row>
    <row r="67" spans="1:6" x14ac:dyDescent="0.35">
      <c r="A67" s="9">
        <v>4</v>
      </c>
      <c r="B67" s="9">
        <v>12</v>
      </c>
      <c r="C67" s="9" t="s">
        <v>26</v>
      </c>
      <c r="D67" s="15">
        <v>1</v>
      </c>
      <c r="E67" s="15">
        <v>3</v>
      </c>
      <c r="F67" s="15">
        <v>6</v>
      </c>
    </row>
    <row r="68" spans="1:6" x14ac:dyDescent="0.35">
      <c r="A68" s="9">
        <v>4</v>
      </c>
      <c r="B68" s="9">
        <v>13</v>
      </c>
      <c r="C68" s="9" t="s">
        <v>27</v>
      </c>
      <c r="D68" s="15">
        <v>300</v>
      </c>
      <c r="E68" s="15">
        <v>1000</v>
      </c>
      <c r="F68" s="15">
        <v>2000</v>
      </c>
    </row>
    <row r="69" spans="1:6" x14ac:dyDescent="0.35">
      <c r="A69" s="9">
        <v>4</v>
      </c>
      <c r="B69" s="9">
        <v>14</v>
      </c>
      <c r="C69" s="9" t="s">
        <v>28</v>
      </c>
      <c r="D69" s="15">
        <v>0.1</v>
      </c>
      <c r="E69" s="15">
        <v>1</v>
      </c>
      <c r="F69" s="15">
        <v>100</v>
      </c>
    </row>
    <row r="70" spans="1:6" x14ac:dyDescent="0.35">
      <c r="A70" s="9">
        <v>4</v>
      </c>
      <c r="B70" s="9">
        <v>15</v>
      </c>
      <c r="C70" s="9" t="s">
        <v>29</v>
      </c>
      <c r="D70" s="15">
        <v>50</v>
      </c>
      <c r="E70" s="15">
        <v>100</v>
      </c>
      <c r="F70" s="15">
        <v>500</v>
      </c>
    </row>
    <row r="71" spans="1:6" x14ac:dyDescent="0.35">
      <c r="A71" s="9">
        <v>4</v>
      </c>
      <c r="B71" s="9">
        <v>16</v>
      </c>
      <c r="C71" s="9" t="s">
        <v>30</v>
      </c>
      <c r="D71" s="15">
        <v>6</v>
      </c>
      <c r="E71" s="15">
        <v>8</v>
      </c>
      <c r="F71" s="15">
        <v>10</v>
      </c>
    </row>
    <row r="72" spans="1:6" x14ac:dyDescent="0.35">
      <c r="A72" s="9">
        <v>4</v>
      </c>
      <c r="B72" s="9">
        <v>17</v>
      </c>
      <c r="C72" s="9" t="s">
        <v>31</v>
      </c>
      <c r="D72" s="15">
        <v>1E-3</v>
      </c>
      <c r="E72" s="15">
        <v>100</v>
      </c>
      <c r="F72" s="15">
        <v>3000</v>
      </c>
    </row>
    <row r="73" spans="1:6" x14ac:dyDescent="0.35">
      <c r="A73" s="9">
        <v>4</v>
      </c>
      <c r="B73" s="9">
        <v>18</v>
      </c>
      <c r="C73" s="9" t="s">
        <v>32</v>
      </c>
      <c r="D73" s="15">
        <v>1E-3</v>
      </c>
      <c r="E73" s="15">
        <v>10</v>
      </c>
      <c r="F73" s="15">
        <v>100</v>
      </c>
    </row>
    <row r="74" spans="1:6" x14ac:dyDescent="0.35">
      <c r="A74" s="9">
        <v>5</v>
      </c>
      <c r="B74" s="9">
        <v>1</v>
      </c>
      <c r="C74" s="9" t="s">
        <v>15</v>
      </c>
      <c r="D74" s="15">
        <v>40</v>
      </c>
      <c r="E74" s="15">
        <v>50</v>
      </c>
      <c r="F74" s="15">
        <v>85</v>
      </c>
    </row>
    <row r="75" spans="1:6" x14ac:dyDescent="0.35">
      <c r="A75" s="9">
        <v>5</v>
      </c>
      <c r="B75" s="9">
        <v>2</v>
      </c>
      <c r="C75" s="9" t="s">
        <v>16</v>
      </c>
      <c r="D75" s="15">
        <v>200</v>
      </c>
      <c r="E75" s="15">
        <v>400</v>
      </c>
      <c r="F75" s="15">
        <v>500</v>
      </c>
    </row>
    <row r="76" spans="1:6" x14ac:dyDescent="0.35">
      <c r="A76" s="9">
        <v>5</v>
      </c>
      <c r="B76" s="9">
        <v>3</v>
      </c>
      <c r="C76" s="9" t="s">
        <v>17</v>
      </c>
      <c r="D76" s="15">
        <v>10</v>
      </c>
      <c r="E76" s="15">
        <v>50</v>
      </c>
      <c r="F76" s="15">
        <v>80</v>
      </c>
    </row>
    <row r="77" spans="1:6" x14ac:dyDescent="0.35">
      <c r="A77" s="9">
        <v>5</v>
      </c>
      <c r="B77" s="9">
        <v>4</v>
      </c>
      <c r="C77" s="9" t="s">
        <v>18</v>
      </c>
      <c r="D77" s="15">
        <v>1</v>
      </c>
      <c r="E77" s="15">
        <v>5</v>
      </c>
      <c r="F77" s="15">
        <v>8</v>
      </c>
    </row>
    <row r="78" spans="1:6" x14ac:dyDescent="0.35">
      <c r="A78" s="9">
        <v>5</v>
      </c>
      <c r="B78" s="9">
        <v>5</v>
      </c>
      <c r="C78" s="9" t="s">
        <v>19</v>
      </c>
      <c r="D78" s="15">
        <v>100</v>
      </c>
      <c r="E78" s="15">
        <v>700</v>
      </c>
      <c r="F78" s="15">
        <v>1000</v>
      </c>
    </row>
    <row r="79" spans="1:6" x14ac:dyDescent="0.35">
      <c r="A79" s="9">
        <v>5</v>
      </c>
      <c r="B79" s="9">
        <v>6</v>
      </c>
      <c r="C79" s="9" t="s">
        <v>20</v>
      </c>
      <c r="D79" s="15">
        <v>20</v>
      </c>
      <c r="E79" s="15">
        <v>45</v>
      </c>
      <c r="F79" s="15">
        <v>55</v>
      </c>
    </row>
    <row r="80" spans="1:6" x14ac:dyDescent="0.35">
      <c r="A80" s="9">
        <v>5</v>
      </c>
      <c r="B80" s="9">
        <v>7</v>
      </c>
      <c r="C80" s="9" t="s">
        <v>21</v>
      </c>
      <c r="D80" s="15">
        <v>10</v>
      </c>
      <c r="E80" s="15">
        <v>300</v>
      </c>
      <c r="F80" s="15">
        <v>500</v>
      </c>
    </row>
    <row r="81" spans="1:6" x14ac:dyDescent="0.35">
      <c r="A81" s="9">
        <v>5</v>
      </c>
      <c r="B81" s="9">
        <v>8</v>
      </c>
      <c r="C81" s="9" t="s">
        <v>22</v>
      </c>
      <c r="D81" s="15">
        <v>50</v>
      </c>
      <c r="E81" s="15">
        <v>60</v>
      </c>
      <c r="F81" s="15">
        <v>90</v>
      </c>
    </row>
    <row r="82" spans="1:6" x14ac:dyDescent="0.35">
      <c r="A82" s="9">
        <v>5</v>
      </c>
      <c r="B82" s="9">
        <v>9</v>
      </c>
      <c r="C82" s="9" t="s">
        <v>23</v>
      </c>
      <c r="D82" s="15">
        <v>10</v>
      </c>
      <c r="E82" s="15">
        <v>35</v>
      </c>
      <c r="F82" s="15">
        <v>45</v>
      </c>
    </row>
    <row r="83" spans="1:6" x14ac:dyDescent="0.35">
      <c r="A83" s="9">
        <v>5</v>
      </c>
      <c r="B83" s="9">
        <v>10</v>
      </c>
      <c r="C83" s="9" t="s">
        <v>24</v>
      </c>
      <c r="D83" s="15">
        <v>500</v>
      </c>
      <c r="E83" s="15">
        <v>1500</v>
      </c>
      <c r="F83" s="15">
        <v>3000</v>
      </c>
    </row>
    <row r="84" spans="1:6" x14ac:dyDescent="0.35">
      <c r="A84" s="9">
        <v>5</v>
      </c>
      <c r="B84" s="9">
        <v>11</v>
      </c>
      <c r="C84" s="9" t="s">
        <v>25</v>
      </c>
      <c r="D84" s="15">
        <v>0.1</v>
      </c>
      <c r="E84" s="15">
        <v>0.5</v>
      </c>
      <c r="F84" s="15">
        <v>1</v>
      </c>
    </row>
    <row r="85" spans="1:6" x14ac:dyDescent="0.35">
      <c r="A85" s="9">
        <v>5</v>
      </c>
      <c r="B85" s="9">
        <v>12</v>
      </c>
      <c r="C85" s="9" t="s">
        <v>26</v>
      </c>
      <c r="D85" s="15">
        <v>2</v>
      </c>
      <c r="E85" s="15">
        <v>10</v>
      </c>
      <c r="F85" s="15">
        <v>20</v>
      </c>
    </row>
    <row r="86" spans="1:6" x14ac:dyDescent="0.35">
      <c r="A86" s="9">
        <v>5</v>
      </c>
      <c r="B86" s="9">
        <v>13</v>
      </c>
      <c r="C86" s="9" t="s">
        <v>27</v>
      </c>
      <c r="D86" s="15">
        <v>50</v>
      </c>
      <c r="E86" s="15">
        <v>300</v>
      </c>
      <c r="F86" s="15">
        <v>500</v>
      </c>
    </row>
    <row r="87" spans="1:6" x14ac:dyDescent="0.35">
      <c r="A87" s="9">
        <v>5</v>
      </c>
      <c r="B87" s="9">
        <v>14</v>
      </c>
      <c r="C87" s="9" t="s">
        <v>28</v>
      </c>
      <c r="D87" s="15">
        <v>2</v>
      </c>
      <c r="E87" s="15">
        <v>10</v>
      </c>
      <c r="F87" s="15">
        <v>15</v>
      </c>
    </row>
    <row r="88" spans="1:6" x14ac:dyDescent="0.35">
      <c r="A88" s="9">
        <v>5</v>
      </c>
      <c r="B88" s="9">
        <v>15</v>
      </c>
      <c r="C88" s="9" t="s">
        <v>29</v>
      </c>
      <c r="D88" s="15">
        <v>700</v>
      </c>
      <c r="E88" s="15">
        <v>10000</v>
      </c>
      <c r="F88" s="15">
        <v>15000</v>
      </c>
    </row>
    <row r="89" spans="1:6" x14ac:dyDescent="0.35">
      <c r="A89" s="9">
        <v>5</v>
      </c>
      <c r="B89" s="9">
        <v>16</v>
      </c>
      <c r="C89" s="9" t="s">
        <v>30</v>
      </c>
      <c r="D89" s="15">
        <v>0.5</v>
      </c>
      <c r="E89" s="15">
        <v>3</v>
      </c>
      <c r="F89" s="15">
        <v>5</v>
      </c>
    </row>
    <row r="90" spans="1:6" x14ac:dyDescent="0.35">
      <c r="A90" s="9">
        <v>5</v>
      </c>
      <c r="B90" s="9">
        <v>17</v>
      </c>
      <c r="C90" s="9" t="s">
        <v>31</v>
      </c>
      <c r="D90" s="15">
        <v>50</v>
      </c>
      <c r="E90" s="15">
        <v>200</v>
      </c>
      <c r="F90" s="15">
        <v>500</v>
      </c>
    </row>
    <row r="91" spans="1:6" x14ac:dyDescent="0.35">
      <c r="A91" s="9">
        <v>5</v>
      </c>
      <c r="B91" s="9">
        <v>18</v>
      </c>
      <c r="C91" s="9" t="s">
        <v>32</v>
      </c>
      <c r="D91" s="15">
        <v>100</v>
      </c>
      <c r="E91" s="15">
        <v>600</v>
      </c>
      <c r="F91" s="15">
        <v>700</v>
      </c>
    </row>
    <row r="92" spans="1:6" x14ac:dyDescent="0.35">
      <c r="A92" s="9">
        <v>6</v>
      </c>
      <c r="B92" s="9">
        <v>1</v>
      </c>
      <c r="C92" s="9" t="s">
        <v>15</v>
      </c>
      <c r="D92" s="15">
        <v>0.1</v>
      </c>
      <c r="E92" s="15">
        <v>0.9</v>
      </c>
      <c r="F92" s="15">
        <v>2</v>
      </c>
    </row>
    <row r="93" spans="1:6" x14ac:dyDescent="0.35">
      <c r="A93" s="9">
        <v>6</v>
      </c>
      <c r="B93" s="9">
        <v>2</v>
      </c>
      <c r="C93" s="9" t="s">
        <v>16</v>
      </c>
      <c r="D93" s="15">
        <v>10</v>
      </c>
      <c r="E93" s="15">
        <v>14</v>
      </c>
      <c r="F93" s="15">
        <v>18</v>
      </c>
    </row>
    <row r="94" spans="1:6" x14ac:dyDescent="0.35">
      <c r="A94" s="9">
        <v>6</v>
      </c>
      <c r="B94" s="9">
        <v>3</v>
      </c>
      <c r="C94" s="9" t="s">
        <v>17</v>
      </c>
      <c r="D94" s="15">
        <v>2</v>
      </c>
      <c r="E94" s="15">
        <v>5</v>
      </c>
      <c r="F94" s="15">
        <v>7</v>
      </c>
    </row>
    <row r="95" spans="1:6" x14ac:dyDescent="0.35">
      <c r="A95" s="9">
        <v>6</v>
      </c>
      <c r="B95" s="9">
        <v>4</v>
      </c>
      <c r="C95" s="9" t="s">
        <v>18</v>
      </c>
      <c r="D95" s="15">
        <v>0.2</v>
      </c>
      <c r="E95" s="15">
        <v>1.6</v>
      </c>
      <c r="F95" s="15">
        <v>3</v>
      </c>
    </row>
    <row r="96" spans="1:6" x14ac:dyDescent="0.35">
      <c r="A96" s="9">
        <v>6</v>
      </c>
      <c r="B96" s="9">
        <v>5</v>
      </c>
      <c r="C96" s="9" t="s">
        <v>19</v>
      </c>
      <c r="D96" s="15">
        <v>300</v>
      </c>
      <c r="E96" s="15">
        <v>450</v>
      </c>
      <c r="F96" s="15">
        <v>600</v>
      </c>
    </row>
    <row r="97" spans="1:6" x14ac:dyDescent="0.35">
      <c r="A97" s="9">
        <v>6</v>
      </c>
      <c r="B97" s="9">
        <v>6</v>
      </c>
      <c r="C97" s="9" t="s">
        <v>20</v>
      </c>
      <c r="D97" s="15">
        <v>2</v>
      </c>
      <c r="E97" s="15">
        <v>11</v>
      </c>
      <c r="F97" s="15">
        <v>20</v>
      </c>
    </row>
    <row r="98" spans="1:6" x14ac:dyDescent="0.35">
      <c r="A98" s="9">
        <v>6</v>
      </c>
      <c r="B98" s="9">
        <v>7</v>
      </c>
      <c r="C98" s="9" t="s">
        <v>21</v>
      </c>
      <c r="D98" s="15">
        <v>50</v>
      </c>
      <c r="E98" s="15">
        <v>275</v>
      </c>
      <c r="F98" s="15">
        <v>500</v>
      </c>
    </row>
    <row r="99" spans="1:6" x14ac:dyDescent="0.35">
      <c r="A99" s="9">
        <v>6</v>
      </c>
      <c r="B99" s="9">
        <v>8</v>
      </c>
      <c r="C99" s="9" t="s">
        <v>22</v>
      </c>
      <c r="D99" s="15">
        <v>3</v>
      </c>
      <c r="E99" s="15">
        <v>7</v>
      </c>
      <c r="F99" s="15">
        <v>11</v>
      </c>
    </row>
    <row r="100" spans="1:6" x14ac:dyDescent="0.35">
      <c r="A100" s="9">
        <v>6</v>
      </c>
      <c r="B100" s="9">
        <v>9</v>
      </c>
      <c r="C100" s="9" t="s">
        <v>23</v>
      </c>
      <c r="D100" s="15">
        <v>15</v>
      </c>
      <c r="E100" s="15">
        <v>20</v>
      </c>
      <c r="F100" s="15">
        <v>25</v>
      </c>
    </row>
    <row r="101" spans="1:6" x14ac:dyDescent="0.35">
      <c r="A101" s="9">
        <v>6</v>
      </c>
      <c r="B101" s="9">
        <v>10</v>
      </c>
      <c r="C101" s="9" t="s">
        <v>24</v>
      </c>
      <c r="D101" s="15">
        <v>50</v>
      </c>
      <c r="E101" s="15">
        <v>525</v>
      </c>
      <c r="F101" s="15">
        <v>1000</v>
      </c>
    </row>
    <row r="102" spans="1:6" x14ac:dyDescent="0.35">
      <c r="A102" s="9">
        <v>6</v>
      </c>
      <c r="B102" s="9">
        <v>11</v>
      </c>
      <c r="C102" s="9" t="s">
        <v>25</v>
      </c>
      <c r="D102" s="15">
        <v>300</v>
      </c>
      <c r="E102" s="15">
        <v>650</v>
      </c>
      <c r="F102" s="15">
        <v>700</v>
      </c>
    </row>
    <row r="103" spans="1:6" x14ac:dyDescent="0.35">
      <c r="A103" s="9">
        <v>6</v>
      </c>
      <c r="B103" s="9">
        <v>12</v>
      </c>
      <c r="C103" s="9" t="s">
        <v>26</v>
      </c>
      <c r="D103" s="15">
        <v>10</v>
      </c>
      <c r="E103" s="15">
        <v>17</v>
      </c>
      <c r="F103" s="15">
        <v>25</v>
      </c>
    </row>
    <row r="104" spans="1:6" x14ac:dyDescent="0.35">
      <c r="A104" s="9">
        <v>6</v>
      </c>
      <c r="B104" s="9">
        <v>13</v>
      </c>
      <c r="C104" s="9" t="s">
        <v>27</v>
      </c>
      <c r="D104" s="15">
        <v>100</v>
      </c>
      <c r="E104" s="15">
        <v>250</v>
      </c>
      <c r="F104" s="15">
        <v>400</v>
      </c>
    </row>
    <row r="105" spans="1:6" x14ac:dyDescent="0.35">
      <c r="A105" s="9">
        <v>6</v>
      </c>
      <c r="B105" s="9">
        <v>14</v>
      </c>
      <c r="C105" s="9" t="s">
        <v>28</v>
      </c>
      <c r="D105" s="15">
        <v>1</v>
      </c>
      <c r="E105" s="15">
        <v>2</v>
      </c>
      <c r="F105" s="15">
        <v>3</v>
      </c>
    </row>
    <row r="106" spans="1:6" x14ac:dyDescent="0.35">
      <c r="A106" s="9">
        <v>6</v>
      </c>
      <c r="B106" s="9">
        <v>15</v>
      </c>
      <c r="C106" s="9" t="s">
        <v>29</v>
      </c>
      <c r="D106" s="15">
        <v>50</v>
      </c>
      <c r="E106" s="15">
        <v>75</v>
      </c>
      <c r="F106" s="15">
        <v>150</v>
      </c>
    </row>
    <row r="107" spans="1:6" x14ac:dyDescent="0.35">
      <c r="A107" s="9">
        <v>6</v>
      </c>
      <c r="B107" s="9">
        <v>16</v>
      </c>
      <c r="C107" s="9" t="s">
        <v>30</v>
      </c>
      <c r="D107" s="15">
        <v>8.5</v>
      </c>
      <c r="E107" s="15">
        <v>11.75</v>
      </c>
      <c r="F107" s="15">
        <v>15</v>
      </c>
    </row>
    <row r="108" spans="1:6" x14ac:dyDescent="0.35">
      <c r="A108" s="9">
        <v>6</v>
      </c>
      <c r="B108" s="9">
        <v>17</v>
      </c>
      <c r="C108" s="9" t="s">
        <v>31</v>
      </c>
      <c r="D108" s="15">
        <v>1500</v>
      </c>
      <c r="E108" s="15">
        <v>2250</v>
      </c>
      <c r="F108" s="15">
        <v>3000</v>
      </c>
    </row>
    <row r="109" spans="1:6" x14ac:dyDescent="0.35">
      <c r="A109" s="9">
        <v>6</v>
      </c>
      <c r="B109" s="9">
        <v>18</v>
      </c>
      <c r="C109" s="9" t="s">
        <v>32</v>
      </c>
      <c r="D109" s="15">
        <v>10</v>
      </c>
      <c r="E109" s="15">
        <v>25</v>
      </c>
      <c r="F109" s="15">
        <v>40</v>
      </c>
    </row>
    <row r="110" spans="1:6" x14ac:dyDescent="0.35">
      <c r="A110" s="9">
        <v>7</v>
      </c>
      <c r="B110" s="9">
        <v>1</v>
      </c>
      <c r="C110" s="9" t="s">
        <v>15</v>
      </c>
      <c r="D110" s="15">
        <v>15</v>
      </c>
      <c r="E110" s="15">
        <v>20</v>
      </c>
      <c r="F110" s="15">
        <v>25</v>
      </c>
    </row>
    <row r="111" spans="1:6" x14ac:dyDescent="0.35">
      <c r="A111" s="9">
        <v>7</v>
      </c>
      <c r="B111" s="9">
        <v>2</v>
      </c>
      <c r="C111" s="9" t="s">
        <v>16</v>
      </c>
      <c r="D111" s="15">
        <v>2</v>
      </c>
      <c r="E111" s="15">
        <v>5</v>
      </c>
      <c r="F111" s="15">
        <v>10</v>
      </c>
    </row>
    <row r="112" spans="1:6" x14ac:dyDescent="0.35">
      <c r="A112" s="9">
        <v>7</v>
      </c>
      <c r="B112" s="9">
        <v>3</v>
      </c>
      <c r="C112" s="9" t="s">
        <v>17</v>
      </c>
      <c r="D112" s="15">
        <v>1</v>
      </c>
      <c r="E112" s="15">
        <v>10</v>
      </c>
      <c r="F112" s="15">
        <v>20</v>
      </c>
    </row>
    <row r="113" spans="1:6" x14ac:dyDescent="0.35">
      <c r="A113" s="9">
        <v>7</v>
      </c>
      <c r="B113" s="9">
        <v>4</v>
      </c>
      <c r="C113" s="9" t="s">
        <v>18</v>
      </c>
      <c r="D113" s="15">
        <v>1</v>
      </c>
      <c r="E113" s="15">
        <v>4</v>
      </c>
      <c r="F113" s="15">
        <v>8</v>
      </c>
    </row>
    <row r="114" spans="1:6" x14ac:dyDescent="0.35">
      <c r="A114" s="9">
        <v>7</v>
      </c>
      <c r="B114" s="9">
        <v>5</v>
      </c>
      <c r="C114" s="9" t="s">
        <v>19</v>
      </c>
      <c r="D114" s="15">
        <v>500</v>
      </c>
      <c r="E114" s="15">
        <v>2500</v>
      </c>
      <c r="F114" s="15">
        <v>5000</v>
      </c>
    </row>
    <row r="115" spans="1:6" x14ac:dyDescent="0.35">
      <c r="A115" s="9">
        <v>7</v>
      </c>
      <c r="B115" s="9">
        <v>6</v>
      </c>
      <c r="C115" s="9" t="s">
        <v>20</v>
      </c>
      <c r="D115" s="15">
        <v>5</v>
      </c>
      <c r="E115" s="15">
        <v>15</v>
      </c>
      <c r="F115" s="15">
        <v>30</v>
      </c>
    </row>
    <row r="116" spans="1:6" x14ac:dyDescent="0.35">
      <c r="A116" s="9">
        <v>7</v>
      </c>
      <c r="B116" s="9">
        <v>7</v>
      </c>
      <c r="C116" s="9" t="s">
        <v>21</v>
      </c>
      <c r="D116" s="15">
        <v>10</v>
      </c>
      <c r="E116" s="15">
        <v>30</v>
      </c>
      <c r="F116" s="15">
        <v>100</v>
      </c>
    </row>
    <row r="117" spans="1:6" x14ac:dyDescent="0.35">
      <c r="A117" s="9">
        <v>7</v>
      </c>
      <c r="B117" s="9">
        <v>8</v>
      </c>
      <c r="C117" s="9" t="s">
        <v>22</v>
      </c>
      <c r="D117" s="15">
        <v>20</v>
      </c>
      <c r="E117" s="15">
        <v>35</v>
      </c>
      <c r="F117" s="15">
        <v>50</v>
      </c>
    </row>
    <row r="118" spans="1:6" x14ac:dyDescent="0.35">
      <c r="A118" s="9">
        <v>7</v>
      </c>
      <c r="B118" s="9">
        <v>9</v>
      </c>
      <c r="C118" s="9" t="s">
        <v>23</v>
      </c>
      <c r="D118" s="15">
        <v>25</v>
      </c>
      <c r="E118" s="15">
        <v>55</v>
      </c>
      <c r="F118" s="15">
        <v>75</v>
      </c>
    </row>
    <row r="119" spans="1:6" x14ac:dyDescent="0.35">
      <c r="A119" s="9">
        <v>7</v>
      </c>
      <c r="B119" s="9">
        <v>10</v>
      </c>
      <c r="C119" s="9" t="s">
        <v>24</v>
      </c>
      <c r="D119" s="15">
        <v>1000</v>
      </c>
      <c r="E119" s="15">
        <v>1600</v>
      </c>
      <c r="F119" s="15">
        <v>2000</v>
      </c>
    </row>
    <row r="120" spans="1:6" x14ac:dyDescent="0.35">
      <c r="A120" s="9">
        <v>7</v>
      </c>
      <c r="B120" s="9">
        <v>11</v>
      </c>
      <c r="C120" s="9" t="s">
        <v>25</v>
      </c>
      <c r="D120" s="15">
        <v>2</v>
      </c>
      <c r="E120" s="15">
        <v>4</v>
      </c>
      <c r="F120" s="15">
        <v>6</v>
      </c>
    </row>
    <row r="121" spans="1:6" x14ac:dyDescent="0.35">
      <c r="A121" s="9">
        <v>7</v>
      </c>
      <c r="B121" s="9">
        <v>12</v>
      </c>
      <c r="C121" s="9" t="s">
        <v>26</v>
      </c>
      <c r="D121" s="15">
        <v>8</v>
      </c>
      <c r="E121" s="15">
        <v>11</v>
      </c>
      <c r="F121" s="15">
        <v>15</v>
      </c>
    </row>
    <row r="122" spans="1:6" x14ac:dyDescent="0.35">
      <c r="A122" s="9">
        <v>7</v>
      </c>
      <c r="B122" s="9">
        <v>13</v>
      </c>
      <c r="C122" s="9" t="s">
        <v>27</v>
      </c>
      <c r="D122" s="15">
        <v>100</v>
      </c>
      <c r="E122" s="15">
        <v>225</v>
      </c>
      <c r="F122" s="15">
        <v>300</v>
      </c>
    </row>
    <row r="123" spans="1:6" x14ac:dyDescent="0.35">
      <c r="A123" s="9">
        <v>7</v>
      </c>
      <c r="B123" s="9">
        <v>14</v>
      </c>
      <c r="C123" s="9" t="s">
        <v>28</v>
      </c>
      <c r="D123" s="15">
        <v>1000</v>
      </c>
      <c r="E123" s="15">
        <v>2500</v>
      </c>
      <c r="F123" s="15">
        <v>5000</v>
      </c>
    </row>
    <row r="124" spans="1:6" x14ac:dyDescent="0.35">
      <c r="A124" s="9">
        <v>7</v>
      </c>
      <c r="B124" s="9">
        <v>15</v>
      </c>
      <c r="C124" s="9" t="s">
        <v>29</v>
      </c>
      <c r="D124" s="15">
        <v>20</v>
      </c>
      <c r="E124" s="15">
        <v>60</v>
      </c>
      <c r="F124" s="15">
        <v>100</v>
      </c>
    </row>
    <row r="125" spans="1:6" x14ac:dyDescent="0.35">
      <c r="A125" s="9">
        <v>7</v>
      </c>
      <c r="B125" s="9">
        <v>16</v>
      </c>
      <c r="C125" s="9" t="s">
        <v>30</v>
      </c>
      <c r="D125" s="15">
        <v>10</v>
      </c>
      <c r="E125" s="15">
        <v>14</v>
      </c>
      <c r="F125" s="15">
        <v>18</v>
      </c>
    </row>
    <row r="126" spans="1:6" x14ac:dyDescent="0.35">
      <c r="A126" s="9">
        <v>7</v>
      </c>
      <c r="B126" s="9">
        <v>17</v>
      </c>
      <c r="C126" s="9" t="s">
        <v>31</v>
      </c>
      <c r="D126" s="15">
        <v>200</v>
      </c>
      <c r="E126" s="15">
        <v>800</v>
      </c>
      <c r="F126" s="15">
        <v>1500</v>
      </c>
    </row>
    <row r="127" spans="1:6" x14ac:dyDescent="0.35">
      <c r="A127" s="9">
        <v>7</v>
      </c>
      <c r="B127" s="9">
        <v>18</v>
      </c>
      <c r="C127" s="9" t="s">
        <v>32</v>
      </c>
      <c r="D127" s="15">
        <v>10</v>
      </c>
      <c r="E127" s="15">
        <v>35</v>
      </c>
      <c r="F127" s="15">
        <v>60</v>
      </c>
    </row>
    <row r="128" spans="1:6" x14ac:dyDescent="0.35">
      <c r="A128" s="9">
        <v>8</v>
      </c>
      <c r="B128" s="9">
        <v>1</v>
      </c>
      <c r="C128" s="9" t="s">
        <v>15</v>
      </c>
      <c r="D128" s="15">
        <v>5</v>
      </c>
      <c r="E128" s="15">
        <v>28</v>
      </c>
      <c r="F128" s="15">
        <v>50</v>
      </c>
    </row>
    <row r="129" spans="1:6" x14ac:dyDescent="0.35">
      <c r="A129" s="9">
        <v>8</v>
      </c>
      <c r="B129" s="9">
        <v>2</v>
      </c>
      <c r="C129" s="9" t="s">
        <v>16</v>
      </c>
      <c r="D129" s="15">
        <v>5</v>
      </c>
      <c r="E129" s="15">
        <v>7</v>
      </c>
      <c r="F129" s="15">
        <v>9</v>
      </c>
    </row>
    <row r="130" spans="1:6" x14ac:dyDescent="0.35">
      <c r="A130" s="9">
        <v>8</v>
      </c>
      <c r="B130" s="9">
        <v>3</v>
      </c>
      <c r="C130" s="9" t="s">
        <v>17</v>
      </c>
      <c r="D130" s="15">
        <v>2</v>
      </c>
      <c r="E130" s="15">
        <v>3</v>
      </c>
      <c r="F130" s="15">
        <v>5</v>
      </c>
    </row>
    <row r="131" spans="1:6" x14ac:dyDescent="0.35">
      <c r="A131" s="9">
        <v>8</v>
      </c>
      <c r="B131" s="9">
        <v>4</v>
      </c>
      <c r="C131" s="9" t="s">
        <v>18</v>
      </c>
      <c r="D131" s="15">
        <v>2</v>
      </c>
      <c r="E131" s="15">
        <v>25</v>
      </c>
      <c r="F131" s="15">
        <v>60</v>
      </c>
    </row>
    <row r="132" spans="1:6" x14ac:dyDescent="0.35">
      <c r="A132" s="9">
        <v>8</v>
      </c>
      <c r="B132" s="9">
        <v>5</v>
      </c>
      <c r="C132" s="9" t="s">
        <v>19</v>
      </c>
      <c r="D132" s="15">
        <v>1E-3</v>
      </c>
      <c r="E132" s="15">
        <v>1500</v>
      </c>
      <c r="F132" s="15">
        <v>12000</v>
      </c>
    </row>
    <row r="133" spans="1:6" x14ac:dyDescent="0.35">
      <c r="A133" s="9">
        <v>8</v>
      </c>
      <c r="B133" s="9">
        <v>6</v>
      </c>
      <c r="C133" s="9" t="s">
        <v>20</v>
      </c>
      <c r="D133" s="15">
        <v>10</v>
      </c>
      <c r="E133" s="15">
        <v>150</v>
      </c>
      <c r="F133" s="15">
        <v>10000</v>
      </c>
    </row>
    <row r="134" spans="1:6" x14ac:dyDescent="0.35">
      <c r="A134" s="9">
        <v>8</v>
      </c>
      <c r="B134" s="9">
        <v>7</v>
      </c>
      <c r="C134" s="9" t="s">
        <v>21</v>
      </c>
      <c r="D134" s="15">
        <v>1E-3</v>
      </c>
      <c r="E134" s="15">
        <v>10</v>
      </c>
      <c r="F134" s="15">
        <v>25</v>
      </c>
    </row>
    <row r="135" spans="1:6" x14ac:dyDescent="0.35">
      <c r="A135" s="9">
        <v>8</v>
      </c>
      <c r="B135" s="9">
        <v>8</v>
      </c>
      <c r="C135" s="9" t="s">
        <v>22</v>
      </c>
      <c r="D135" s="15">
        <v>50</v>
      </c>
      <c r="E135" s="15">
        <v>75</v>
      </c>
      <c r="F135" s="15">
        <v>90</v>
      </c>
    </row>
    <row r="136" spans="1:6" x14ac:dyDescent="0.35">
      <c r="A136" s="9">
        <v>8</v>
      </c>
      <c r="B136" s="9">
        <v>9</v>
      </c>
      <c r="C136" s="9" t="s">
        <v>23</v>
      </c>
      <c r="D136" s="15">
        <v>50</v>
      </c>
      <c r="E136" s="15">
        <v>150</v>
      </c>
      <c r="F136" s="15">
        <v>300</v>
      </c>
    </row>
    <row r="137" spans="1:6" x14ac:dyDescent="0.35">
      <c r="A137" s="9">
        <v>8</v>
      </c>
      <c r="B137" s="9">
        <v>10</v>
      </c>
      <c r="C137" s="9" t="s">
        <v>24</v>
      </c>
      <c r="D137" s="15">
        <v>500</v>
      </c>
      <c r="E137" s="15">
        <v>1000</v>
      </c>
      <c r="F137" s="15">
        <v>1500</v>
      </c>
    </row>
    <row r="138" spans="1:6" x14ac:dyDescent="0.35">
      <c r="A138" s="9">
        <v>8</v>
      </c>
      <c r="B138" s="9">
        <v>11</v>
      </c>
      <c r="C138" s="9" t="s">
        <v>25</v>
      </c>
      <c r="D138" s="15">
        <v>5</v>
      </c>
      <c r="E138" s="15">
        <v>12.5</v>
      </c>
      <c r="F138" s="15">
        <v>20</v>
      </c>
    </row>
    <row r="139" spans="1:6" x14ac:dyDescent="0.35">
      <c r="A139" s="9">
        <v>8</v>
      </c>
      <c r="B139" s="9">
        <v>12</v>
      </c>
      <c r="C139" s="9" t="s">
        <v>26</v>
      </c>
      <c r="D139" s="15">
        <v>5</v>
      </c>
      <c r="E139" s="15">
        <v>10</v>
      </c>
      <c r="F139" s="15">
        <v>15</v>
      </c>
    </row>
    <row r="140" spans="1:6" x14ac:dyDescent="0.35">
      <c r="A140" s="9">
        <v>8</v>
      </c>
      <c r="B140" s="9">
        <v>13</v>
      </c>
      <c r="C140" s="9" t="s">
        <v>27</v>
      </c>
      <c r="D140" s="15">
        <v>750</v>
      </c>
      <c r="E140" s="15">
        <v>850</v>
      </c>
      <c r="F140" s="15">
        <v>950</v>
      </c>
    </row>
    <row r="141" spans="1:6" x14ac:dyDescent="0.35">
      <c r="A141" s="9">
        <v>8</v>
      </c>
      <c r="B141" s="9">
        <v>14</v>
      </c>
      <c r="C141" s="9" t="s">
        <v>28</v>
      </c>
      <c r="D141" s="15">
        <v>30</v>
      </c>
      <c r="E141" s="15">
        <v>100</v>
      </c>
      <c r="F141" s="15">
        <v>300</v>
      </c>
    </row>
    <row r="142" spans="1:6" x14ac:dyDescent="0.35">
      <c r="A142" s="9">
        <v>8</v>
      </c>
      <c r="B142" s="9">
        <v>15</v>
      </c>
      <c r="C142" s="9" t="s">
        <v>29</v>
      </c>
      <c r="D142" s="15">
        <v>50</v>
      </c>
      <c r="E142" s="15">
        <v>200</v>
      </c>
      <c r="F142" s="15">
        <v>500</v>
      </c>
    </row>
    <row r="143" spans="1:6" x14ac:dyDescent="0.35">
      <c r="A143" s="9">
        <v>8</v>
      </c>
      <c r="B143" s="9">
        <v>16</v>
      </c>
      <c r="C143" s="9" t="s">
        <v>30</v>
      </c>
      <c r="D143" s="15">
        <v>4</v>
      </c>
      <c r="E143" s="15">
        <v>6</v>
      </c>
      <c r="F143" s="15">
        <v>12</v>
      </c>
    </row>
    <row r="144" spans="1:6" x14ac:dyDescent="0.35">
      <c r="A144" s="9">
        <v>8</v>
      </c>
      <c r="B144" s="9">
        <v>17</v>
      </c>
      <c r="C144" s="9" t="s">
        <v>31</v>
      </c>
      <c r="D144" s="15">
        <v>500</v>
      </c>
      <c r="E144" s="15">
        <v>1000</v>
      </c>
      <c r="F144" s="15">
        <v>2000</v>
      </c>
    </row>
    <row r="145" spans="1:6" x14ac:dyDescent="0.35">
      <c r="A145" s="9">
        <v>8</v>
      </c>
      <c r="B145" s="9">
        <v>18</v>
      </c>
      <c r="C145" s="9" t="s">
        <v>32</v>
      </c>
      <c r="D145" s="15">
        <v>30</v>
      </c>
      <c r="E145" s="15">
        <v>50</v>
      </c>
      <c r="F145" s="15">
        <v>100</v>
      </c>
    </row>
    <row r="146" spans="1:6" x14ac:dyDescent="0.35">
      <c r="A146" s="9">
        <v>9</v>
      </c>
      <c r="B146" s="9">
        <v>1</v>
      </c>
      <c r="C146" s="9" t="s">
        <v>15</v>
      </c>
      <c r="D146" s="15">
        <v>15</v>
      </c>
      <c r="E146" s="15">
        <v>25</v>
      </c>
      <c r="F146" s="15">
        <v>35</v>
      </c>
    </row>
    <row r="147" spans="1:6" x14ac:dyDescent="0.35">
      <c r="A147" s="9">
        <v>9</v>
      </c>
      <c r="B147" s="9">
        <v>2</v>
      </c>
      <c r="C147" s="9" t="s">
        <v>16</v>
      </c>
      <c r="D147" s="15">
        <v>3</v>
      </c>
      <c r="E147" s="15">
        <v>5</v>
      </c>
      <c r="F147" s="15">
        <v>8</v>
      </c>
    </row>
    <row r="148" spans="1:6" x14ac:dyDescent="0.35">
      <c r="A148" s="9">
        <v>9</v>
      </c>
      <c r="B148" s="9">
        <v>3</v>
      </c>
      <c r="C148" s="9" t="s">
        <v>17</v>
      </c>
      <c r="D148" s="15">
        <v>3</v>
      </c>
      <c r="E148" s="15">
        <v>5</v>
      </c>
      <c r="F148" s="15">
        <v>8</v>
      </c>
    </row>
    <row r="149" spans="1:6" x14ac:dyDescent="0.35">
      <c r="A149" s="9">
        <v>9</v>
      </c>
      <c r="B149" s="9">
        <v>4</v>
      </c>
      <c r="C149" s="9" t="s">
        <v>18</v>
      </c>
      <c r="D149" s="15">
        <v>30</v>
      </c>
      <c r="E149" s="15">
        <v>40</v>
      </c>
      <c r="F149" s="15">
        <v>50</v>
      </c>
    </row>
    <row r="150" spans="1:6" x14ac:dyDescent="0.35">
      <c r="A150" s="9">
        <v>9</v>
      </c>
      <c r="B150" s="9">
        <v>5</v>
      </c>
      <c r="C150" s="9" t="s">
        <v>19</v>
      </c>
      <c r="D150" s="15">
        <v>3000</v>
      </c>
      <c r="E150" s="15">
        <v>6000</v>
      </c>
      <c r="F150" s="15">
        <v>10000</v>
      </c>
    </row>
    <row r="151" spans="1:6" x14ac:dyDescent="0.35">
      <c r="A151" s="9">
        <v>9</v>
      </c>
      <c r="B151" s="9">
        <v>6</v>
      </c>
      <c r="C151" s="9" t="s">
        <v>20</v>
      </c>
      <c r="D151" s="15">
        <v>0.1</v>
      </c>
      <c r="E151" s="15">
        <v>2</v>
      </c>
      <c r="F151" s="15">
        <v>10</v>
      </c>
    </row>
    <row r="152" spans="1:6" x14ac:dyDescent="0.35">
      <c r="A152" s="9">
        <v>9</v>
      </c>
      <c r="B152" s="9">
        <v>7</v>
      </c>
      <c r="C152" s="9" t="s">
        <v>21</v>
      </c>
      <c r="D152" s="15">
        <v>50</v>
      </c>
      <c r="E152" s="15">
        <v>100</v>
      </c>
      <c r="F152" s="15">
        <v>1000</v>
      </c>
    </row>
    <row r="153" spans="1:6" x14ac:dyDescent="0.35">
      <c r="A153" s="9">
        <v>9</v>
      </c>
      <c r="B153" s="9">
        <v>8</v>
      </c>
      <c r="C153" s="9" t="s">
        <v>22</v>
      </c>
      <c r="D153" s="15">
        <v>20</v>
      </c>
      <c r="E153" s="15">
        <v>40</v>
      </c>
      <c r="F153" s="15">
        <v>60</v>
      </c>
    </row>
    <row r="154" spans="1:6" x14ac:dyDescent="0.35">
      <c r="A154" s="9">
        <v>9</v>
      </c>
      <c r="B154" s="9">
        <v>9</v>
      </c>
      <c r="C154" s="9" t="s">
        <v>23</v>
      </c>
      <c r="D154" s="15">
        <v>30</v>
      </c>
      <c r="E154" s="15">
        <v>50</v>
      </c>
      <c r="F154" s="15">
        <v>100</v>
      </c>
    </row>
    <row r="155" spans="1:6" x14ac:dyDescent="0.35">
      <c r="A155" s="9">
        <v>9</v>
      </c>
      <c r="B155" s="9">
        <v>10</v>
      </c>
      <c r="C155" s="9" t="s">
        <v>24</v>
      </c>
      <c r="D155" s="15">
        <v>500</v>
      </c>
      <c r="E155" s="15">
        <v>2000</v>
      </c>
      <c r="F155" s="15">
        <v>3000</v>
      </c>
    </row>
    <row r="156" spans="1:6" x14ac:dyDescent="0.35">
      <c r="A156" s="9">
        <v>9</v>
      </c>
      <c r="B156" s="9">
        <v>11</v>
      </c>
      <c r="C156" s="9" t="s">
        <v>25</v>
      </c>
      <c r="D156" s="15">
        <v>10</v>
      </c>
      <c r="E156" s="15">
        <v>20</v>
      </c>
      <c r="F156" s="15">
        <v>50</v>
      </c>
    </row>
    <row r="157" spans="1:6" x14ac:dyDescent="0.35">
      <c r="A157" s="9">
        <v>9</v>
      </c>
      <c r="B157" s="9">
        <v>12</v>
      </c>
      <c r="C157" s="9" t="s">
        <v>26</v>
      </c>
      <c r="D157" s="15">
        <v>2</v>
      </c>
      <c r="E157" s="15">
        <v>8</v>
      </c>
      <c r="F157" s="15">
        <v>10</v>
      </c>
    </row>
    <row r="158" spans="1:6" x14ac:dyDescent="0.35">
      <c r="A158" s="9">
        <v>9</v>
      </c>
      <c r="B158" s="9">
        <v>13</v>
      </c>
      <c r="C158" s="9" t="s">
        <v>27</v>
      </c>
      <c r="D158" s="15">
        <v>50</v>
      </c>
      <c r="E158" s="15">
        <v>80</v>
      </c>
      <c r="F158" s="15">
        <v>150</v>
      </c>
    </row>
    <row r="159" spans="1:6" x14ac:dyDescent="0.35">
      <c r="A159" s="9">
        <v>9</v>
      </c>
      <c r="B159" s="9">
        <v>14</v>
      </c>
      <c r="C159" s="9" t="s">
        <v>28</v>
      </c>
      <c r="D159" s="15">
        <v>0.5</v>
      </c>
      <c r="E159" s="15">
        <v>2000</v>
      </c>
      <c r="F159" s="15">
        <v>5000</v>
      </c>
    </row>
    <row r="160" spans="1:6" x14ac:dyDescent="0.35">
      <c r="A160" s="9">
        <v>9</v>
      </c>
      <c r="B160" s="9">
        <v>15</v>
      </c>
      <c r="C160" s="9" t="s">
        <v>29</v>
      </c>
      <c r="D160" s="15">
        <v>30</v>
      </c>
      <c r="E160" s="15">
        <v>50</v>
      </c>
      <c r="F160" s="15">
        <v>250</v>
      </c>
    </row>
    <row r="161" spans="1:6" x14ac:dyDescent="0.35">
      <c r="A161" s="9">
        <v>9</v>
      </c>
      <c r="B161" s="9">
        <v>16</v>
      </c>
      <c r="C161" s="9" t="s">
        <v>30</v>
      </c>
      <c r="D161" s="15">
        <v>4</v>
      </c>
      <c r="E161" s="15">
        <v>9</v>
      </c>
      <c r="F161" s="15">
        <v>15</v>
      </c>
    </row>
    <row r="162" spans="1:6" x14ac:dyDescent="0.35">
      <c r="A162" s="9">
        <v>9</v>
      </c>
      <c r="B162" s="9">
        <v>17</v>
      </c>
      <c r="C162" s="9" t="s">
        <v>31</v>
      </c>
      <c r="D162" s="15">
        <v>500</v>
      </c>
      <c r="E162" s="15">
        <v>3000</v>
      </c>
      <c r="F162" s="15">
        <v>4000</v>
      </c>
    </row>
    <row r="163" spans="1:6" x14ac:dyDescent="0.35">
      <c r="A163" s="9">
        <v>9</v>
      </c>
      <c r="B163" s="9">
        <v>18</v>
      </c>
      <c r="C163" s="9" t="s">
        <v>32</v>
      </c>
      <c r="D163" s="15">
        <v>50</v>
      </c>
      <c r="E163" s="15">
        <v>500</v>
      </c>
      <c r="F163" s="15">
        <v>1000</v>
      </c>
    </row>
    <row r="164" spans="1:6" x14ac:dyDescent="0.35">
      <c r="A164" s="9">
        <v>10</v>
      </c>
      <c r="B164" s="9">
        <v>1</v>
      </c>
      <c r="C164" s="9" t="s">
        <v>15</v>
      </c>
      <c r="D164" s="15">
        <v>10</v>
      </c>
      <c r="E164" s="15">
        <v>30</v>
      </c>
      <c r="F164" s="15">
        <v>50</v>
      </c>
    </row>
    <row r="165" spans="1:6" x14ac:dyDescent="0.35">
      <c r="A165" s="9">
        <v>10</v>
      </c>
      <c r="B165" s="9">
        <v>2</v>
      </c>
      <c r="C165" s="9" t="s">
        <v>16</v>
      </c>
      <c r="D165" s="15">
        <v>50</v>
      </c>
      <c r="E165" s="15">
        <v>100</v>
      </c>
      <c r="F165" s="15">
        <v>150</v>
      </c>
    </row>
    <row r="166" spans="1:6" x14ac:dyDescent="0.35">
      <c r="A166" s="9">
        <v>10</v>
      </c>
      <c r="B166" s="9">
        <v>3</v>
      </c>
      <c r="C166" s="9" t="s">
        <v>17</v>
      </c>
      <c r="D166" s="15">
        <v>5</v>
      </c>
      <c r="E166" s="15">
        <v>12</v>
      </c>
      <c r="F166" s="15">
        <v>20</v>
      </c>
    </row>
    <row r="167" spans="1:6" x14ac:dyDescent="0.35">
      <c r="A167" s="9">
        <v>10</v>
      </c>
      <c r="B167" s="9">
        <v>4</v>
      </c>
      <c r="C167" s="9" t="s">
        <v>18</v>
      </c>
      <c r="D167" s="15">
        <v>2</v>
      </c>
      <c r="E167" s="15">
        <v>9</v>
      </c>
      <c r="F167" s="15">
        <v>16</v>
      </c>
    </row>
    <row r="168" spans="1:6" x14ac:dyDescent="0.35">
      <c r="A168" s="9">
        <v>10</v>
      </c>
      <c r="B168" s="9">
        <v>5</v>
      </c>
      <c r="C168" s="9" t="s">
        <v>19</v>
      </c>
      <c r="D168" s="15">
        <v>2000</v>
      </c>
      <c r="E168" s="15">
        <v>3500</v>
      </c>
      <c r="F168" s="15">
        <v>5000</v>
      </c>
    </row>
    <row r="169" spans="1:6" x14ac:dyDescent="0.35">
      <c r="A169" s="9">
        <v>10</v>
      </c>
      <c r="B169" s="9">
        <v>6</v>
      </c>
      <c r="C169" s="9" t="s">
        <v>20</v>
      </c>
      <c r="D169" s="15">
        <v>2</v>
      </c>
      <c r="E169" s="15">
        <v>4</v>
      </c>
      <c r="F169" s="15">
        <v>20</v>
      </c>
    </row>
    <row r="170" spans="1:6" x14ac:dyDescent="0.35">
      <c r="A170" s="9">
        <v>10</v>
      </c>
      <c r="B170" s="9">
        <v>7</v>
      </c>
      <c r="C170" s="9" t="s">
        <v>21</v>
      </c>
      <c r="D170" s="15">
        <v>20</v>
      </c>
      <c r="E170" s="15">
        <v>110</v>
      </c>
      <c r="F170" s="15">
        <v>200</v>
      </c>
    </row>
    <row r="171" spans="1:6" x14ac:dyDescent="0.35">
      <c r="A171" s="9">
        <v>10</v>
      </c>
      <c r="B171" s="9">
        <v>8</v>
      </c>
      <c r="C171" s="9" t="s">
        <v>22</v>
      </c>
      <c r="D171" s="15">
        <v>20</v>
      </c>
      <c r="E171" s="15">
        <v>30</v>
      </c>
      <c r="F171" s="15">
        <v>40</v>
      </c>
    </row>
    <row r="172" spans="1:6" x14ac:dyDescent="0.35">
      <c r="A172" s="9">
        <v>10</v>
      </c>
      <c r="B172" s="9">
        <v>9</v>
      </c>
      <c r="C172" s="9" t="s">
        <v>23</v>
      </c>
      <c r="D172" s="15">
        <v>50</v>
      </c>
      <c r="E172" s="15">
        <v>100</v>
      </c>
      <c r="F172" s="15">
        <v>150</v>
      </c>
    </row>
    <row r="173" spans="1:6" x14ac:dyDescent="0.35">
      <c r="A173" s="9">
        <v>10</v>
      </c>
      <c r="B173" s="9">
        <v>10</v>
      </c>
      <c r="C173" s="9" t="s">
        <v>24</v>
      </c>
      <c r="D173" s="15">
        <v>600</v>
      </c>
      <c r="E173" s="15">
        <v>1300</v>
      </c>
      <c r="F173" s="15">
        <v>2000</v>
      </c>
    </row>
    <row r="174" spans="1:6" x14ac:dyDescent="0.35">
      <c r="A174" s="9">
        <v>10</v>
      </c>
      <c r="B174" s="9">
        <v>11</v>
      </c>
      <c r="C174" s="9" t="s">
        <v>25</v>
      </c>
      <c r="D174" s="15">
        <v>10</v>
      </c>
      <c r="E174" s="15">
        <v>30</v>
      </c>
      <c r="F174" s="15">
        <v>50</v>
      </c>
    </row>
    <row r="175" spans="1:6" x14ac:dyDescent="0.35">
      <c r="A175" s="9">
        <v>10</v>
      </c>
      <c r="B175" s="9">
        <v>12</v>
      </c>
      <c r="C175" s="9" t="s">
        <v>26</v>
      </c>
      <c r="D175" s="15">
        <v>4</v>
      </c>
      <c r="E175" s="15">
        <v>7</v>
      </c>
      <c r="F175" s="15">
        <v>10</v>
      </c>
    </row>
    <row r="176" spans="1:6" x14ac:dyDescent="0.35">
      <c r="A176" s="9">
        <v>10</v>
      </c>
      <c r="B176" s="9">
        <v>13</v>
      </c>
      <c r="C176" s="9" t="s">
        <v>27</v>
      </c>
      <c r="D176" s="15">
        <v>30</v>
      </c>
      <c r="E176" s="15">
        <v>90</v>
      </c>
      <c r="F176" s="15">
        <v>150</v>
      </c>
    </row>
    <row r="177" spans="1:6" x14ac:dyDescent="0.35">
      <c r="A177" s="9">
        <v>10</v>
      </c>
      <c r="B177" s="9">
        <v>14</v>
      </c>
      <c r="C177" s="9" t="s">
        <v>28</v>
      </c>
      <c r="D177" s="15">
        <v>800</v>
      </c>
      <c r="E177" s="15">
        <v>1400</v>
      </c>
      <c r="F177" s="15">
        <v>2000</v>
      </c>
    </row>
    <row r="178" spans="1:6" x14ac:dyDescent="0.35">
      <c r="A178" s="9">
        <v>10</v>
      </c>
      <c r="B178" s="9">
        <v>15</v>
      </c>
      <c r="C178" s="9" t="s">
        <v>29</v>
      </c>
      <c r="D178" s="15">
        <v>10</v>
      </c>
      <c r="E178" s="15">
        <v>100</v>
      </c>
      <c r="F178" s="15">
        <v>200</v>
      </c>
    </row>
    <row r="179" spans="1:6" x14ac:dyDescent="0.35">
      <c r="A179" s="9">
        <v>10</v>
      </c>
      <c r="B179" s="9">
        <v>16</v>
      </c>
      <c r="C179" s="9" t="s">
        <v>30</v>
      </c>
      <c r="D179" s="15">
        <v>6</v>
      </c>
      <c r="E179" s="15">
        <v>8</v>
      </c>
      <c r="F179" s="15">
        <v>10</v>
      </c>
    </row>
    <row r="180" spans="1:6" x14ac:dyDescent="0.35">
      <c r="A180" s="9">
        <v>10</v>
      </c>
      <c r="B180" s="9">
        <v>17</v>
      </c>
      <c r="C180" s="9" t="s">
        <v>31</v>
      </c>
      <c r="D180" s="15">
        <v>100</v>
      </c>
      <c r="E180" s="15">
        <v>350</v>
      </c>
      <c r="F180" s="15">
        <v>600</v>
      </c>
    </row>
    <row r="181" spans="1:6" x14ac:dyDescent="0.35">
      <c r="A181" s="9">
        <v>10</v>
      </c>
      <c r="B181" s="9">
        <v>18</v>
      </c>
      <c r="C181" s="9" t="s">
        <v>32</v>
      </c>
      <c r="D181" s="15">
        <v>20</v>
      </c>
      <c r="E181" s="15">
        <v>70</v>
      </c>
      <c r="F181" s="15">
        <v>120</v>
      </c>
    </row>
    <row r="182" spans="1:6" x14ac:dyDescent="0.35">
      <c r="A182" s="9">
        <v>11</v>
      </c>
      <c r="B182" s="9">
        <v>1</v>
      </c>
      <c r="C182" s="9" t="s">
        <v>15</v>
      </c>
      <c r="D182" s="15">
        <v>2</v>
      </c>
      <c r="E182" s="15">
        <v>15</v>
      </c>
      <c r="F182" s="15">
        <v>20</v>
      </c>
    </row>
    <row r="183" spans="1:6" x14ac:dyDescent="0.35">
      <c r="A183" s="9">
        <v>11</v>
      </c>
      <c r="B183" s="9">
        <v>2</v>
      </c>
      <c r="C183" s="9" t="s">
        <v>16</v>
      </c>
      <c r="D183" s="15">
        <v>5</v>
      </c>
      <c r="E183" s="15">
        <v>8</v>
      </c>
      <c r="F183" s="15">
        <v>15</v>
      </c>
    </row>
    <row r="184" spans="1:6" x14ac:dyDescent="0.35">
      <c r="A184" s="9">
        <v>11</v>
      </c>
      <c r="B184" s="9">
        <v>3</v>
      </c>
      <c r="C184" s="9" t="s">
        <v>17</v>
      </c>
      <c r="D184" s="15">
        <v>1</v>
      </c>
      <c r="E184" s="15">
        <v>4</v>
      </c>
      <c r="F184" s="15">
        <v>10</v>
      </c>
    </row>
    <row r="185" spans="1:6" x14ac:dyDescent="0.35">
      <c r="A185" s="9">
        <v>11</v>
      </c>
      <c r="B185" s="9">
        <v>4</v>
      </c>
      <c r="C185" s="9" t="s">
        <v>18</v>
      </c>
      <c r="D185" s="15">
        <v>1</v>
      </c>
      <c r="E185" s="15">
        <v>6</v>
      </c>
      <c r="F185" s="15">
        <v>8</v>
      </c>
    </row>
    <row r="186" spans="1:6" x14ac:dyDescent="0.35">
      <c r="A186" s="9">
        <v>11</v>
      </c>
      <c r="B186" s="9">
        <v>5</v>
      </c>
      <c r="C186" s="9" t="s">
        <v>19</v>
      </c>
      <c r="D186" s="15">
        <v>100</v>
      </c>
      <c r="E186" s="15">
        <v>150</v>
      </c>
      <c r="F186" s="15">
        <v>250</v>
      </c>
    </row>
    <row r="187" spans="1:6" x14ac:dyDescent="0.35">
      <c r="A187" s="9">
        <v>11</v>
      </c>
      <c r="B187" s="9">
        <v>6</v>
      </c>
      <c r="C187" s="9" t="s">
        <v>20</v>
      </c>
      <c r="D187" s="15">
        <v>100</v>
      </c>
      <c r="E187" s="15">
        <v>150</v>
      </c>
      <c r="F187" s="15">
        <v>250</v>
      </c>
    </row>
    <row r="188" spans="1:6" x14ac:dyDescent="0.35">
      <c r="A188" s="9">
        <v>11</v>
      </c>
      <c r="B188" s="9">
        <v>7</v>
      </c>
      <c r="C188" s="9" t="s">
        <v>21</v>
      </c>
      <c r="D188" s="15">
        <v>1</v>
      </c>
      <c r="E188" s="15">
        <v>4</v>
      </c>
      <c r="F188" s="15">
        <v>9</v>
      </c>
    </row>
    <row r="189" spans="1:6" x14ac:dyDescent="0.35">
      <c r="A189" s="9">
        <v>11</v>
      </c>
      <c r="B189" s="9">
        <v>8</v>
      </c>
      <c r="C189" s="9" t="s">
        <v>22</v>
      </c>
      <c r="D189" s="15">
        <v>10</v>
      </c>
      <c r="E189" s="15">
        <v>30</v>
      </c>
      <c r="F189" s="15">
        <v>50</v>
      </c>
    </row>
    <row r="190" spans="1:6" x14ac:dyDescent="0.35">
      <c r="A190" s="9">
        <v>11</v>
      </c>
      <c r="B190" s="9">
        <v>9</v>
      </c>
      <c r="C190" s="9" t="s">
        <v>23</v>
      </c>
      <c r="D190" s="15">
        <v>2</v>
      </c>
      <c r="E190" s="15">
        <v>3</v>
      </c>
      <c r="F190" s="15">
        <v>6</v>
      </c>
    </row>
    <row r="191" spans="1:6" x14ac:dyDescent="0.35">
      <c r="A191" s="9">
        <v>11</v>
      </c>
      <c r="B191" s="9">
        <v>10</v>
      </c>
      <c r="C191" s="9" t="s">
        <v>24</v>
      </c>
      <c r="D191" s="15">
        <v>400</v>
      </c>
      <c r="E191" s="15">
        <v>440</v>
      </c>
      <c r="F191" s="15">
        <v>500</v>
      </c>
    </row>
    <row r="192" spans="1:6" x14ac:dyDescent="0.35">
      <c r="A192" s="9">
        <v>11</v>
      </c>
      <c r="B192" s="9">
        <v>11</v>
      </c>
      <c r="C192" s="9" t="s">
        <v>25</v>
      </c>
      <c r="D192" s="15">
        <v>1</v>
      </c>
      <c r="E192" s="15">
        <v>2</v>
      </c>
      <c r="F192" s="15">
        <v>3</v>
      </c>
    </row>
    <row r="193" spans="1:6" x14ac:dyDescent="0.35">
      <c r="A193" s="9">
        <v>11</v>
      </c>
      <c r="B193" s="9">
        <v>12</v>
      </c>
      <c r="C193" s="9" t="s">
        <v>26</v>
      </c>
      <c r="D193" s="15">
        <v>2</v>
      </c>
      <c r="E193" s="15">
        <v>3</v>
      </c>
      <c r="F193" s="15">
        <v>5</v>
      </c>
    </row>
    <row r="194" spans="1:6" x14ac:dyDescent="0.35">
      <c r="A194" s="9">
        <v>11</v>
      </c>
      <c r="B194" s="9">
        <v>13</v>
      </c>
      <c r="C194" s="9" t="s">
        <v>27</v>
      </c>
      <c r="D194" s="15">
        <v>400</v>
      </c>
      <c r="E194" s="15">
        <v>600</v>
      </c>
      <c r="F194" s="15">
        <v>900</v>
      </c>
    </row>
    <row r="195" spans="1:6" x14ac:dyDescent="0.35">
      <c r="A195" s="9">
        <v>11</v>
      </c>
      <c r="B195" s="9">
        <v>14</v>
      </c>
      <c r="C195" s="9" t="s">
        <v>28</v>
      </c>
      <c r="D195" s="15">
        <v>2</v>
      </c>
      <c r="E195" s="15">
        <v>4</v>
      </c>
      <c r="F195" s="15">
        <v>6</v>
      </c>
    </row>
    <row r="196" spans="1:6" x14ac:dyDescent="0.35">
      <c r="A196" s="9">
        <v>11</v>
      </c>
      <c r="B196" s="9">
        <v>15</v>
      </c>
      <c r="C196" s="9" t="s">
        <v>29</v>
      </c>
      <c r="D196" s="15">
        <v>5</v>
      </c>
      <c r="E196" s="15">
        <v>17</v>
      </c>
      <c r="F196" s="15">
        <v>30</v>
      </c>
    </row>
    <row r="197" spans="1:6" x14ac:dyDescent="0.35">
      <c r="A197" s="9">
        <v>11</v>
      </c>
      <c r="B197" s="9">
        <v>16</v>
      </c>
      <c r="C197" s="9" t="s">
        <v>30</v>
      </c>
      <c r="D197" s="15">
        <v>8</v>
      </c>
      <c r="E197" s="15">
        <v>11</v>
      </c>
      <c r="F197" s="15">
        <v>14</v>
      </c>
    </row>
    <row r="198" spans="1:6" x14ac:dyDescent="0.35">
      <c r="A198" s="9">
        <v>11</v>
      </c>
      <c r="B198" s="9">
        <v>17</v>
      </c>
      <c r="C198" s="9" t="s">
        <v>31</v>
      </c>
      <c r="D198" s="15">
        <v>400</v>
      </c>
      <c r="E198" s="15">
        <v>500</v>
      </c>
      <c r="F198" s="15">
        <v>700</v>
      </c>
    </row>
    <row r="199" spans="1:6" x14ac:dyDescent="0.35">
      <c r="A199" s="9">
        <v>11</v>
      </c>
      <c r="B199" s="9">
        <v>18</v>
      </c>
      <c r="C199" s="9" t="s">
        <v>32</v>
      </c>
      <c r="D199" s="15">
        <v>2</v>
      </c>
      <c r="E199" s="15">
        <v>7</v>
      </c>
      <c r="F199" s="15">
        <v>12</v>
      </c>
    </row>
    <row r="200" spans="1:6" x14ac:dyDescent="0.35">
      <c r="A200" s="9">
        <v>12</v>
      </c>
      <c r="B200" s="9">
        <v>1</v>
      </c>
      <c r="C200" s="9" t="s">
        <v>15</v>
      </c>
      <c r="D200" s="15">
        <v>5</v>
      </c>
      <c r="E200" s="15">
        <v>15</v>
      </c>
      <c r="F200" s="15">
        <v>30</v>
      </c>
    </row>
    <row r="201" spans="1:6" x14ac:dyDescent="0.35">
      <c r="A201" s="9">
        <v>12</v>
      </c>
      <c r="B201" s="9">
        <v>2</v>
      </c>
      <c r="C201" s="9" t="s">
        <v>16</v>
      </c>
      <c r="D201" s="15">
        <v>7</v>
      </c>
      <c r="E201" s="15">
        <v>10</v>
      </c>
      <c r="F201" s="15">
        <v>25</v>
      </c>
    </row>
    <row r="202" spans="1:6" x14ac:dyDescent="0.35">
      <c r="A202" s="9">
        <v>12</v>
      </c>
      <c r="B202" s="9">
        <v>3</v>
      </c>
      <c r="C202" s="9" t="s">
        <v>17</v>
      </c>
      <c r="D202" s="15">
        <v>2</v>
      </c>
      <c r="E202" s="15">
        <v>5</v>
      </c>
      <c r="F202" s="15">
        <v>10</v>
      </c>
    </row>
    <row r="203" spans="1:6" x14ac:dyDescent="0.35">
      <c r="A203" s="9">
        <v>12</v>
      </c>
      <c r="B203" s="9">
        <v>4</v>
      </c>
      <c r="C203" s="9" t="s">
        <v>18</v>
      </c>
      <c r="D203" s="15">
        <v>0.5</v>
      </c>
      <c r="E203" s="15">
        <v>1</v>
      </c>
      <c r="F203" s="15">
        <v>2</v>
      </c>
    </row>
    <row r="204" spans="1:6" x14ac:dyDescent="0.35">
      <c r="A204" s="9">
        <v>12</v>
      </c>
      <c r="B204" s="9">
        <v>5</v>
      </c>
      <c r="C204" s="9" t="s">
        <v>19</v>
      </c>
      <c r="D204" s="15">
        <v>2000</v>
      </c>
      <c r="E204" s="15">
        <v>7000</v>
      </c>
      <c r="F204" s="15">
        <v>10000</v>
      </c>
    </row>
    <row r="205" spans="1:6" x14ac:dyDescent="0.35">
      <c r="A205" s="9">
        <v>12</v>
      </c>
      <c r="B205" s="9">
        <v>6</v>
      </c>
      <c r="C205" s="9" t="s">
        <v>20</v>
      </c>
      <c r="D205" s="15">
        <v>30</v>
      </c>
      <c r="E205" s="15">
        <v>350</v>
      </c>
      <c r="F205" s="15">
        <v>500</v>
      </c>
    </row>
    <row r="206" spans="1:6" x14ac:dyDescent="0.35">
      <c r="A206" s="9">
        <v>12</v>
      </c>
      <c r="B206" s="9">
        <v>7</v>
      </c>
      <c r="C206" s="9" t="s">
        <v>21</v>
      </c>
      <c r="D206" s="15">
        <v>10</v>
      </c>
      <c r="E206" s="15">
        <v>70</v>
      </c>
      <c r="F206" s="15">
        <v>100</v>
      </c>
    </row>
    <row r="207" spans="1:6" x14ac:dyDescent="0.35">
      <c r="A207" s="9">
        <v>12</v>
      </c>
      <c r="B207" s="9">
        <v>8</v>
      </c>
      <c r="C207" s="9" t="s">
        <v>22</v>
      </c>
      <c r="D207" s="15">
        <v>65</v>
      </c>
      <c r="E207" s="15">
        <v>75</v>
      </c>
      <c r="F207" s="15">
        <v>85</v>
      </c>
    </row>
    <row r="208" spans="1:6" x14ac:dyDescent="0.35">
      <c r="A208" s="9">
        <v>12</v>
      </c>
      <c r="B208" s="9">
        <v>9</v>
      </c>
      <c r="C208" s="9" t="s">
        <v>23</v>
      </c>
      <c r="D208" s="15">
        <v>1</v>
      </c>
      <c r="E208" s="15">
        <v>7</v>
      </c>
      <c r="F208" s="15">
        <v>15</v>
      </c>
    </row>
    <row r="209" spans="1:6" x14ac:dyDescent="0.35">
      <c r="A209" s="9">
        <v>12</v>
      </c>
      <c r="B209" s="9">
        <v>10</v>
      </c>
      <c r="C209" s="9" t="s">
        <v>24</v>
      </c>
      <c r="D209" s="15">
        <v>5</v>
      </c>
      <c r="E209" s="15">
        <v>12</v>
      </c>
      <c r="F209" s="15">
        <v>30</v>
      </c>
    </row>
    <row r="210" spans="1:6" x14ac:dyDescent="0.35">
      <c r="A210" s="9">
        <v>12</v>
      </c>
      <c r="B210" s="9">
        <v>11</v>
      </c>
      <c r="C210" s="9" t="s">
        <v>25</v>
      </c>
      <c r="D210" s="15">
        <v>1</v>
      </c>
      <c r="E210" s="15">
        <v>4</v>
      </c>
      <c r="F210" s="15">
        <v>4.0999999999999996</v>
      </c>
    </row>
    <row r="211" spans="1:6" x14ac:dyDescent="0.35">
      <c r="A211" s="9">
        <v>12</v>
      </c>
      <c r="B211" s="9">
        <v>12</v>
      </c>
      <c r="C211" s="9" t="s">
        <v>26</v>
      </c>
      <c r="D211" s="15">
        <v>4</v>
      </c>
      <c r="E211" s="15">
        <v>6</v>
      </c>
      <c r="F211" s="15">
        <v>7</v>
      </c>
    </row>
    <row r="212" spans="1:6" x14ac:dyDescent="0.35">
      <c r="A212" s="9">
        <v>12</v>
      </c>
      <c r="B212" s="9">
        <v>13</v>
      </c>
      <c r="C212" s="9" t="s">
        <v>27</v>
      </c>
      <c r="D212" s="15">
        <v>100</v>
      </c>
      <c r="E212" s="15">
        <v>140</v>
      </c>
      <c r="F212" s="15">
        <v>160</v>
      </c>
    </row>
    <row r="213" spans="1:6" x14ac:dyDescent="0.35">
      <c r="A213" s="9">
        <v>12</v>
      </c>
      <c r="B213" s="9">
        <v>14</v>
      </c>
      <c r="C213" s="9" t="s">
        <v>28</v>
      </c>
      <c r="D213" s="15">
        <v>25</v>
      </c>
      <c r="E213" s="15">
        <v>50</v>
      </c>
      <c r="F213" s="15">
        <v>75</v>
      </c>
    </row>
    <row r="214" spans="1:6" x14ac:dyDescent="0.35">
      <c r="A214" s="9">
        <v>12</v>
      </c>
      <c r="B214" s="9">
        <v>15</v>
      </c>
      <c r="C214" s="9" t="s">
        <v>29</v>
      </c>
      <c r="D214" s="15">
        <v>20</v>
      </c>
      <c r="E214" s="15">
        <v>25</v>
      </c>
      <c r="F214" s="15">
        <v>60</v>
      </c>
    </row>
    <row r="215" spans="1:6" x14ac:dyDescent="0.35">
      <c r="A215" s="9">
        <v>12</v>
      </c>
      <c r="B215" s="9">
        <v>16</v>
      </c>
      <c r="C215" s="9" t="s">
        <v>30</v>
      </c>
      <c r="D215" s="15">
        <v>3</v>
      </c>
      <c r="E215" s="15">
        <v>5</v>
      </c>
      <c r="F215" s="15">
        <v>7</v>
      </c>
    </row>
    <row r="216" spans="1:6" x14ac:dyDescent="0.35">
      <c r="A216" s="9">
        <v>12</v>
      </c>
      <c r="B216" s="9">
        <v>17</v>
      </c>
      <c r="C216" s="9" t="s">
        <v>31</v>
      </c>
      <c r="D216" s="15">
        <v>100</v>
      </c>
      <c r="E216" s="15">
        <v>400</v>
      </c>
      <c r="F216" s="15">
        <v>750</v>
      </c>
    </row>
    <row r="217" spans="1:6" x14ac:dyDescent="0.35">
      <c r="A217" s="9">
        <v>12</v>
      </c>
      <c r="B217" s="9">
        <v>18</v>
      </c>
      <c r="C217" s="9" t="s">
        <v>32</v>
      </c>
      <c r="D217" s="15">
        <v>10</v>
      </c>
      <c r="E217" s="15">
        <v>20</v>
      </c>
      <c r="F217" s="15">
        <v>50</v>
      </c>
    </row>
    <row r="218" spans="1:6" x14ac:dyDescent="0.35">
      <c r="A218" s="9">
        <v>13</v>
      </c>
      <c r="B218" s="9">
        <v>1</v>
      </c>
      <c r="C218" s="9" t="s">
        <v>15</v>
      </c>
      <c r="D218" s="15">
        <v>1</v>
      </c>
      <c r="E218" s="15">
        <v>15</v>
      </c>
      <c r="F218" s="15">
        <v>20</v>
      </c>
    </row>
    <row r="219" spans="1:6" x14ac:dyDescent="0.35">
      <c r="A219" s="9">
        <v>13</v>
      </c>
      <c r="B219" s="9">
        <v>2</v>
      </c>
      <c r="C219" s="9" t="s">
        <v>16</v>
      </c>
      <c r="D219" s="15">
        <v>10</v>
      </c>
      <c r="E219" s="15">
        <v>30</v>
      </c>
      <c r="F219" s="15">
        <v>50</v>
      </c>
    </row>
    <row r="220" spans="1:6" x14ac:dyDescent="0.35">
      <c r="A220" s="9">
        <v>13</v>
      </c>
      <c r="B220" s="9">
        <v>3</v>
      </c>
      <c r="C220" s="9" t="s">
        <v>17</v>
      </c>
      <c r="D220" s="15">
        <v>10</v>
      </c>
      <c r="E220" s="15">
        <v>20</v>
      </c>
      <c r="F220" s="15">
        <v>30</v>
      </c>
    </row>
    <row r="221" spans="1:6" x14ac:dyDescent="0.35">
      <c r="A221" s="9">
        <v>13</v>
      </c>
      <c r="B221" s="9">
        <v>4</v>
      </c>
      <c r="C221" s="9" t="s">
        <v>18</v>
      </c>
      <c r="D221" s="15">
        <v>1</v>
      </c>
      <c r="E221" s="15">
        <v>15</v>
      </c>
      <c r="F221" s="15">
        <v>20</v>
      </c>
    </row>
    <row r="222" spans="1:6" x14ac:dyDescent="0.35">
      <c r="A222" s="9">
        <v>13</v>
      </c>
      <c r="B222" s="9">
        <v>5</v>
      </c>
      <c r="C222" s="9" t="s">
        <v>19</v>
      </c>
      <c r="D222" s="15">
        <v>1E-3</v>
      </c>
      <c r="E222" s="15">
        <v>2500</v>
      </c>
      <c r="F222" s="15">
        <v>5000</v>
      </c>
    </row>
    <row r="223" spans="1:6" x14ac:dyDescent="0.35">
      <c r="A223" s="9">
        <v>13</v>
      </c>
      <c r="B223" s="9">
        <v>6</v>
      </c>
      <c r="C223" s="9" t="s">
        <v>20</v>
      </c>
      <c r="D223" s="15">
        <v>0.1</v>
      </c>
      <c r="E223" s="15">
        <v>5</v>
      </c>
      <c r="F223" s="15">
        <v>10</v>
      </c>
    </row>
    <row r="224" spans="1:6" x14ac:dyDescent="0.35">
      <c r="A224" s="9">
        <v>13</v>
      </c>
      <c r="B224" s="9">
        <v>7</v>
      </c>
      <c r="C224" s="9" t="s">
        <v>21</v>
      </c>
      <c r="D224" s="15">
        <v>10</v>
      </c>
      <c r="E224" s="15">
        <v>55</v>
      </c>
      <c r="F224" s="15">
        <v>100</v>
      </c>
    </row>
    <row r="225" spans="1:6" x14ac:dyDescent="0.35">
      <c r="A225" s="9">
        <v>13</v>
      </c>
      <c r="B225" s="9">
        <v>8</v>
      </c>
      <c r="C225" s="9" t="s">
        <v>22</v>
      </c>
      <c r="D225" s="15">
        <v>1E-3</v>
      </c>
      <c r="E225" s="15">
        <v>5</v>
      </c>
      <c r="F225" s="15">
        <v>10</v>
      </c>
    </row>
    <row r="226" spans="1:6" x14ac:dyDescent="0.35">
      <c r="A226" s="9">
        <v>13</v>
      </c>
      <c r="B226" s="9">
        <v>9</v>
      </c>
      <c r="C226" s="9" t="s">
        <v>23</v>
      </c>
      <c r="D226" s="15">
        <v>1.5</v>
      </c>
      <c r="E226" s="15">
        <v>5.5</v>
      </c>
      <c r="F226" s="15">
        <v>10</v>
      </c>
    </row>
    <row r="227" spans="1:6" x14ac:dyDescent="0.35">
      <c r="A227" s="9">
        <v>13</v>
      </c>
      <c r="B227" s="9">
        <v>10</v>
      </c>
      <c r="C227" s="9" t="s">
        <v>24</v>
      </c>
      <c r="D227" s="15">
        <v>100</v>
      </c>
      <c r="E227" s="15">
        <v>2400</v>
      </c>
      <c r="F227" s="15">
        <v>5000</v>
      </c>
    </row>
    <row r="228" spans="1:6" x14ac:dyDescent="0.35">
      <c r="A228" s="9">
        <v>13</v>
      </c>
      <c r="B228" s="9">
        <v>11</v>
      </c>
      <c r="C228" s="9" t="s">
        <v>25</v>
      </c>
      <c r="D228" s="15">
        <v>10</v>
      </c>
      <c r="E228" s="15">
        <v>55</v>
      </c>
      <c r="F228" s="15">
        <v>80</v>
      </c>
    </row>
    <row r="229" spans="1:6" x14ac:dyDescent="0.35">
      <c r="A229" s="9">
        <v>13</v>
      </c>
      <c r="B229" s="9">
        <v>12</v>
      </c>
      <c r="C229" s="9" t="s">
        <v>26</v>
      </c>
      <c r="D229" s="15">
        <v>3</v>
      </c>
      <c r="E229" s="15">
        <v>8</v>
      </c>
      <c r="F229" s="15">
        <v>12</v>
      </c>
    </row>
    <row r="230" spans="1:6" x14ac:dyDescent="0.35">
      <c r="A230" s="9">
        <v>13</v>
      </c>
      <c r="B230" s="9">
        <v>13</v>
      </c>
      <c r="C230" s="9" t="s">
        <v>27</v>
      </c>
      <c r="D230" s="15">
        <v>200</v>
      </c>
      <c r="E230" s="15">
        <v>600</v>
      </c>
      <c r="F230" s="15">
        <v>1000</v>
      </c>
    </row>
    <row r="231" spans="1:6" x14ac:dyDescent="0.35">
      <c r="A231" s="9">
        <v>13</v>
      </c>
      <c r="B231" s="9">
        <v>14</v>
      </c>
      <c r="C231" s="9" t="s">
        <v>28</v>
      </c>
      <c r="D231" s="15">
        <v>10</v>
      </c>
      <c r="E231" s="15">
        <v>500</v>
      </c>
      <c r="F231" s="15">
        <v>1000</v>
      </c>
    </row>
    <row r="232" spans="1:6" x14ac:dyDescent="0.35">
      <c r="A232" s="9">
        <v>13</v>
      </c>
      <c r="B232" s="9">
        <v>15</v>
      </c>
      <c r="C232" s="9" t="s">
        <v>29</v>
      </c>
      <c r="D232" s="15">
        <v>1000</v>
      </c>
      <c r="E232" s="15">
        <v>24000</v>
      </c>
      <c r="F232" s="15">
        <v>50000</v>
      </c>
    </row>
    <row r="233" spans="1:6" x14ac:dyDescent="0.35">
      <c r="A233" s="9">
        <v>13</v>
      </c>
      <c r="B233" s="9">
        <v>16</v>
      </c>
      <c r="C233" s="9" t="s">
        <v>30</v>
      </c>
      <c r="D233" s="15">
        <v>5</v>
      </c>
      <c r="E233" s="15">
        <v>12</v>
      </c>
      <c r="F233" s="15">
        <v>20</v>
      </c>
    </row>
    <row r="234" spans="1:6" x14ac:dyDescent="0.35">
      <c r="A234" s="9">
        <v>13</v>
      </c>
      <c r="B234" s="9">
        <v>17</v>
      </c>
      <c r="C234" s="9" t="s">
        <v>31</v>
      </c>
      <c r="D234" s="15">
        <v>100</v>
      </c>
      <c r="E234" s="15">
        <v>2400</v>
      </c>
      <c r="F234" s="15">
        <v>5000</v>
      </c>
    </row>
    <row r="235" spans="1:6" x14ac:dyDescent="0.35">
      <c r="A235" s="9">
        <v>13</v>
      </c>
      <c r="B235" s="9">
        <v>18</v>
      </c>
      <c r="C235" s="9" t="s">
        <v>32</v>
      </c>
      <c r="D235" s="15">
        <v>20</v>
      </c>
      <c r="E235" s="15">
        <v>110</v>
      </c>
      <c r="F235" s="15">
        <v>200</v>
      </c>
    </row>
    <row r="236" spans="1:6" x14ac:dyDescent="0.35">
      <c r="A236" s="9">
        <v>14</v>
      </c>
      <c r="B236" s="9">
        <v>1</v>
      </c>
      <c r="C236" s="9" t="s">
        <v>15</v>
      </c>
      <c r="D236" s="15">
        <v>10</v>
      </c>
      <c r="E236" s="15">
        <v>25</v>
      </c>
      <c r="F236" s="15">
        <v>50</v>
      </c>
    </row>
    <row r="237" spans="1:6" x14ac:dyDescent="0.35">
      <c r="A237" s="9">
        <v>14</v>
      </c>
      <c r="B237" s="9">
        <v>2</v>
      </c>
      <c r="C237" s="9" t="s">
        <v>16</v>
      </c>
      <c r="D237" s="15">
        <v>100</v>
      </c>
      <c r="E237" s="15">
        <v>500</v>
      </c>
      <c r="F237" s="15">
        <v>1000</v>
      </c>
    </row>
    <row r="238" spans="1:6" x14ac:dyDescent="0.35">
      <c r="A238" s="9">
        <v>14</v>
      </c>
      <c r="B238" s="9">
        <v>3</v>
      </c>
      <c r="C238" s="9" t="s">
        <v>17</v>
      </c>
      <c r="D238" s="15">
        <v>3</v>
      </c>
      <c r="E238" s="15">
        <v>5</v>
      </c>
      <c r="F238" s="15">
        <v>10</v>
      </c>
    </row>
    <row r="239" spans="1:6" x14ac:dyDescent="0.35">
      <c r="A239" s="9">
        <v>14</v>
      </c>
      <c r="B239" s="9">
        <v>4</v>
      </c>
      <c r="C239" s="9" t="s">
        <v>18</v>
      </c>
      <c r="D239" s="15">
        <v>10</v>
      </c>
      <c r="E239" s="15">
        <v>30</v>
      </c>
      <c r="F239" s="15">
        <v>50</v>
      </c>
    </row>
    <row r="240" spans="1:6" x14ac:dyDescent="0.35">
      <c r="A240" s="9">
        <v>14</v>
      </c>
      <c r="B240" s="9">
        <v>5</v>
      </c>
      <c r="C240" s="9" t="s">
        <v>19</v>
      </c>
      <c r="D240" s="15">
        <v>500</v>
      </c>
      <c r="E240" s="15">
        <v>2500</v>
      </c>
      <c r="F240" s="15">
        <v>5000</v>
      </c>
    </row>
    <row r="241" spans="1:6" x14ac:dyDescent="0.35">
      <c r="A241" s="9">
        <v>14</v>
      </c>
      <c r="B241" s="9">
        <v>6</v>
      </c>
      <c r="C241" s="9" t="s">
        <v>20</v>
      </c>
      <c r="D241" s="15">
        <v>5</v>
      </c>
      <c r="E241" s="15">
        <v>40</v>
      </c>
      <c r="F241" s="15">
        <v>100</v>
      </c>
    </row>
    <row r="242" spans="1:6" x14ac:dyDescent="0.35">
      <c r="A242" s="9">
        <v>14</v>
      </c>
      <c r="B242" s="9">
        <v>7</v>
      </c>
      <c r="C242" s="9" t="s">
        <v>21</v>
      </c>
      <c r="D242" s="15">
        <v>100</v>
      </c>
      <c r="E242" s="15">
        <v>500</v>
      </c>
      <c r="F242" s="15">
        <v>1000</v>
      </c>
    </row>
    <row r="243" spans="1:6" x14ac:dyDescent="0.35">
      <c r="A243" s="9">
        <v>14</v>
      </c>
      <c r="B243" s="9">
        <v>8</v>
      </c>
      <c r="C243" s="9" t="s">
        <v>22</v>
      </c>
      <c r="D243" s="15">
        <v>30</v>
      </c>
      <c r="E243" s="15">
        <v>40</v>
      </c>
      <c r="F243" s="15">
        <v>60</v>
      </c>
    </row>
    <row r="244" spans="1:6" x14ac:dyDescent="0.35">
      <c r="A244" s="9">
        <v>14</v>
      </c>
      <c r="B244" s="9">
        <v>9</v>
      </c>
      <c r="C244" s="9" t="s">
        <v>23</v>
      </c>
      <c r="D244" s="15">
        <v>0.5</v>
      </c>
      <c r="E244" s="15">
        <v>1</v>
      </c>
      <c r="F244" s="15">
        <v>2</v>
      </c>
    </row>
    <row r="245" spans="1:6" x14ac:dyDescent="0.35">
      <c r="A245" s="9">
        <v>14</v>
      </c>
      <c r="B245" s="9">
        <v>10</v>
      </c>
      <c r="C245" s="9" t="s">
        <v>24</v>
      </c>
      <c r="D245" s="15">
        <v>1</v>
      </c>
      <c r="E245" s="15">
        <v>10</v>
      </c>
      <c r="F245" s="15">
        <v>100</v>
      </c>
    </row>
    <row r="246" spans="1:6" x14ac:dyDescent="0.35">
      <c r="A246" s="9">
        <v>14</v>
      </c>
      <c r="B246" s="9">
        <v>11</v>
      </c>
      <c r="C246" s="9" t="s">
        <v>25</v>
      </c>
      <c r="D246" s="15">
        <v>10</v>
      </c>
      <c r="E246" s="15">
        <v>50</v>
      </c>
      <c r="F246" s="15">
        <v>100</v>
      </c>
    </row>
    <row r="247" spans="1:6" x14ac:dyDescent="0.35">
      <c r="A247" s="9">
        <v>14</v>
      </c>
      <c r="B247" s="9">
        <v>12</v>
      </c>
      <c r="C247" s="9" t="s">
        <v>26</v>
      </c>
      <c r="D247" s="15">
        <v>5</v>
      </c>
      <c r="E247" s="15">
        <v>15</v>
      </c>
      <c r="F247" s="15">
        <v>30</v>
      </c>
    </row>
    <row r="248" spans="1:6" x14ac:dyDescent="0.35">
      <c r="A248" s="9">
        <v>14</v>
      </c>
      <c r="B248" s="9">
        <v>13</v>
      </c>
      <c r="C248" s="9" t="s">
        <v>27</v>
      </c>
      <c r="D248" s="15">
        <v>100</v>
      </c>
      <c r="E248" s="15">
        <v>200</v>
      </c>
      <c r="F248" s="15">
        <v>300</v>
      </c>
    </row>
    <row r="249" spans="1:6" x14ac:dyDescent="0.35">
      <c r="A249" s="9">
        <v>14</v>
      </c>
      <c r="B249" s="9">
        <v>14</v>
      </c>
      <c r="C249" s="9" t="s">
        <v>28</v>
      </c>
      <c r="D249" s="15">
        <v>500</v>
      </c>
      <c r="E249" s="15">
        <v>1000</v>
      </c>
      <c r="F249" s="15">
        <v>3000</v>
      </c>
    </row>
    <row r="250" spans="1:6" x14ac:dyDescent="0.35">
      <c r="A250" s="9">
        <v>14</v>
      </c>
      <c r="B250" s="9">
        <v>15</v>
      </c>
      <c r="C250" s="9" t="s">
        <v>29</v>
      </c>
      <c r="D250" s="15">
        <v>5</v>
      </c>
      <c r="E250" s="15">
        <v>10</v>
      </c>
      <c r="F250" s="15">
        <v>20</v>
      </c>
    </row>
    <row r="251" spans="1:6" x14ac:dyDescent="0.35">
      <c r="A251" s="9">
        <v>14</v>
      </c>
      <c r="B251" s="9">
        <v>16</v>
      </c>
      <c r="C251" s="9" t="s">
        <v>30</v>
      </c>
      <c r="D251" s="15">
        <v>1</v>
      </c>
      <c r="E251" s="15">
        <v>5</v>
      </c>
      <c r="F251" s="15">
        <v>10</v>
      </c>
    </row>
    <row r="252" spans="1:6" x14ac:dyDescent="0.35">
      <c r="A252" s="9">
        <v>14</v>
      </c>
      <c r="B252" s="9">
        <v>17</v>
      </c>
      <c r="C252" s="9" t="s">
        <v>31</v>
      </c>
      <c r="D252" s="15">
        <v>5</v>
      </c>
      <c r="E252" s="15">
        <v>100</v>
      </c>
      <c r="F252" s="15">
        <v>500</v>
      </c>
    </row>
    <row r="253" spans="1:6" x14ac:dyDescent="0.35">
      <c r="A253" s="9">
        <v>14</v>
      </c>
      <c r="B253" s="9">
        <v>18</v>
      </c>
      <c r="C253" s="9" t="s">
        <v>32</v>
      </c>
      <c r="D253" s="15">
        <v>100</v>
      </c>
      <c r="E253" s="15">
        <v>500</v>
      </c>
      <c r="F253" s="15">
        <v>1000</v>
      </c>
    </row>
    <row r="254" spans="1:6" x14ac:dyDescent="0.35">
      <c r="A254" s="9">
        <v>15</v>
      </c>
      <c r="B254" s="9">
        <v>1</v>
      </c>
      <c r="C254" s="9" t="s">
        <v>15</v>
      </c>
      <c r="D254" s="15">
        <v>40</v>
      </c>
      <c r="E254" s="15">
        <v>55</v>
      </c>
      <c r="F254" s="15">
        <v>60</v>
      </c>
    </row>
    <row r="255" spans="1:6" x14ac:dyDescent="0.35">
      <c r="A255" s="9">
        <v>15</v>
      </c>
      <c r="B255" s="9">
        <v>2</v>
      </c>
      <c r="C255" s="9" t="s">
        <v>16</v>
      </c>
      <c r="D255" s="15">
        <v>10</v>
      </c>
      <c r="E255" s="15">
        <v>13</v>
      </c>
      <c r="F255" s="15">
        <v>18</v>
      </c>
    </row>
    <row r="256" spans="1:6" x14ac:dyDescent="0.35">
      <c r="A256" s="9">
        <v>15</v>
      </c>
      <c r="B256" s="9">
        <v>3</v>
      </c>
      <c r="C256" s="9" t="s">
        <v>17</v>
      </c>
      <c r="D256" s="15">
        <v>2</v>
      </c>
      <c r="E256" s="15">
        <v>7</v>
      </c>
      <c r="F256" s="15">
        <v>10</v>
      </c>
    </row>
    <row r="257" spans="1:6" x14ac:dyDescent="0.35">
      <c r="A257" s="9">
        <v>15</v>
      </c>
      <c r="B257" s="9">
        <v>4</v>
      </c>
      <c r="C257" s="9" t="s">
        <v>18</v>
      </c>
      <c r="D257" s="15">
        <v>6</v>
      </c>
      <c r="E257" s="15">
        <v>10</v>
      </c>
      <c r="F257" s="15">
        <v>12</v>
      </c>
    </row>
    <row r="258" spans="1:6" x14ac:dyDescent="0.35">
      <c r="A258" s="9">
        <v>15</v>
      </c>
      <c r="B258" s="9">
        <v>5</v>
      </c>
      <c r="C258" s="9" t="s">
        <v>19</v>
      </c>
      <c r="D258" s="15">
        <v>600</v>
      </c>
      <c r="E258" s="15">
        <v>1000</v>
      </c>
      <c r="F258" s="15">
        <v>1500</v>
      </c>
    </row>
    <row r="259" spans="1:6" x14ac:dyDescent="0.35">
      <c r="A259" s="9">
        <v>15</v>
      </c>
      <c r="B259" s="9">
        <v>6</v>
      </c>
      <c r="C259" s="9" t="s">
        <v>20</v>
      </c>
      <c r="D259" s="15">
        <v>5</v>
      </c>
      <c r="E259" s="15">
        <v>40</v>
      </c>
      <c r="F259" s="15">
        <v>90</v>
      </c>
    </row>
    <row r="260" spans="1:6" x14ac:dyDescent="0.35">
      <c r="A260" s="9">
        <v>15</v>
      </c>
      <c r="B260" s="9">
        <v>7</v>
      </c>
      <c r="C260" s="9" t="s">
        <v>21</v>
      </c>
      <c r="D260" s="15">
        <v>5</v>
      </c>
      <c r="E260" s="15">
        <v>10</v>
      </c>
      <c r="F260" s="15">
        <v>20</v>
      </c>
    </row>
    <row r="261" spans="1:6" x14ac:dyDescent="0.35">
      <c r="A261" s="9">
        <v>15</v>
      </c>
      <c r="B261" s="9">
        <v>8</v>
      </c>
      <c r="C261" s="9" t="s">
        <v>22</v>
      </c>
      <c r="D261" s="15">
        <v>5</v>
      </c>
      <c r="E261" s="15">
        <v>12</v>
      </c>
      <c r="F261" s="15">
        <v>25</v>
      </c>
    </row>
    <row r="262" spans="1:6" x14ac:dyDescent="0.35">
      <c r="A262" s="9">
        <v>15</v>
      </c>
      <c r="B262" s="9">
        <v>9</v>
      </c>
      <c r="C262" s="9" t="s">
        <v>23</v>
      </c>
      <c r="D262" s="15">
        <v>6</v>
      </c>
      <c r="E262" s="15">
        <v>10</v>
      </c>
      <c r="F262" s="15">
        <v>15</v>
      </c>
    </row>
    <row r="263" spans="1:6" x14ac:dyDescent="0.35">
      <c r="A263" s="9">
        <v>15</v>
      </c>
      <c r="B263" s="9">
        <v>10</v>
      </c>
      <c r="C263" s="9" t="s">
        <v>24</v>
      </c>
      <c r="D263" s="15">
        <v>6500</v>
      </c>
      <c r="E263" s="15">
        <v>10000</v>
      </c>
      <c r="F263" s="15">
        <v>12000</v>
      </c>
    </row>
    <row r="264" spans="1:6" x14ac:dyDescent="0.35">
      <c r="A264" s="9">
        <v>15</v>
      </c>
      <c r="B264" s="9">
        <v>11</v>
      </c>
      <c r="C264" s="9" t="s">
        <v>25</v>
      </c>
      <c r="D264" s="15">
        <v>5</v>
      </c>
      <c r="E264" s="15">
        <v>18</v>
      </c>
      <c r="F264" s="15">
        <v>25</v>
      </c>
    </row>
    <row r="265" spans="1:6" x14ac:dyDescent="0.35">
      <c r="A265" s="9">
        <v>15</v>
      </c>
      <c r="B265" s="9">
        <v>12</v>
      </c>
      <c r="C265" s="9" t="s">
        <v>26</v>
      </c>
      <c r="D265" s="15">
        <v>6</v>
      </c>
      <c r="E265" s="15">
        <v>8</v>
      </c>
      <c r="F265" s="15">
        <v>10</v>
      </c>
    </row>
    <row r="266" spans="1:6" x14ac:dyDescent="0.35">
      <c r="A266" s="9">
        <v>15</v>
      </c>
      <c r="B266" s="9">
        <v>13</v>
      </c>
      <c r="C266" s="9" t="s">
        <v>27</v>
      </c>
      <c r="D266" s="15">
        <v>10</v>
      </c>
      <c r="E266" s="15">
        <v>25</v>
      </c>
      <c r="F266" s="15">
        <v>40</v>
      </c>
    </row>
    <row r="267" spans="1:6" x14ac:dyDescent="0.35">
      <c r="A267" s="9">
        <v>15</v>
      </c>
      <c r="B267" s="9">
        <v>14</v>
      </c>
      <c r="C267" s="9" t="s">
        <v>28</v>
      </c>
      <c r="D267" s="15">
        <v>300</v>
      </c>
      <c r="E267" s="15">
        <v>600</v>
      </c>
      <c r="F267" s="15">
        <v>800</v>
      </c>
    </row>
    <row r="268" spans="1:6" x14ac:dyDescent="0.35">
      <c r="A268" s="9">
        <v>15</v>
      </c>
      <c r="B268" s="9">
        <v>15</v>
      </c>
      <c r="C268" s="9" t="s">
        <v>29</v>
      </c>
      <c r="D268" s="15">
        <v>80</v>
      </c>
      <c r="E268" s="15">
        <v>150</v>
      </c>
      <c r="F268" s="15">
        <v>300</v>
      </c>
    </row>
    <row r="269" spans="1:6" x14ac:dyDescent="0.35">
      <c r="A269" s="9">
        <v>15</v>
      </c>
      <c r="B269" s="9">
        <v>16</v>
      </c>
      <c r="C269" s="9" t="s">
        <v>30</v>
      </c>
      <c r="D269" s="15">
        <v>5</v>
      </c>
      <c r="E269" s="15">
        <v>7</v>
      </c>
      <c r="F269" s="15">
        <v>9</v>
      </c>
    </row>
    <row r="270" spans="1:6" x14ac:dyDescent="0.35">
      <c r="A270" s="9">
        <v>15</v>
      </c>
      <c r="B270" s="9">
        <v>17</v>
      </c>
      <c r="C270" s="9" t="s">
        <v>31</v>
      </c>
      <c r="D270" s="15">
        <v>2000</v>
      </c>
      <c r="E270" s="15">
        <v>4000</v>
      </c>
      <c r="F270" s="15">
        <v>5000</v>
      </c>
    </row>
    <row r="271" spans="1:6" x14ac:dyDescent="0.35">
      <c r="A271" s="9">
        <v>15</v>
      </c>
      <c r="B271" s="9">
        <v>18</v>
      </c>
      <c r="C271" s="9" t="s">
        <v>32</v>
      </c>
      <c r="D271" s="15">
        <v>90</v>
      </c>
      <c r="E271" s="15">
        <v>120</v>
      </c>
      <c r="F271" s="15">
        <v>150</v>
      </c>
    </row>
    <row r="272" spans="1:6" x14ac:dyDescent="0.35">
      <c r="A272" s="9">
        <v>16</v>
      </c>
      <c r="B272" s="9">
        <v>1</v>
      </c>
      <c r="C272" s="9" t="s">
        <v>15</v>
      </c>
      <c r="D272" s="15">
        <v>20</v>
      </c>
      <c r="E272" s="15">
        <v>40</v>
      </c>
      <c r="F272" s="15">
        <v>70</v>
      </c>
    </row>
    <row r="273" spans="1:6" x14ac:dyDescent="0.35">
      <c r="A273" s="9">
        <v>16</v>
      </c>
      <c r="B273" s="9">
        <v>2</v>
      </c>
      <c r="C273" s="9" t="s">
        <v>16</v>
      </c>
      <c r="D273" s="15">
        <v>3</v>
      </c>
      <c r="E273" s="15">
        <v>7</v>
      </c>
      <c r="F273" s="15">
        <v>15</v>
      </c>
    </row>
    <row r="274" spans="1:6" x14ac:dyDescent="0.35">
      <c r="A274" s="9">
        <v>16</v>
      </c>
      <c r="B274" s="9">
        <v>3</v>
      </c>
      <c r="C274" s="9" t="s">
        <v>17</v>
      </c>
      <c r="D274" s="15">
        <v>5</v>
      </c>
      <c r="E274" s="15">
        <v>10</v>
      </c>
      <c r="F274" s="15">
        <v>20</v>
      </c>
    </row>
    <row r="275" spans="1:6" x14ac:dyDescent="0.35">
      <c r="A275" s="9">
        <v>16</v>
      </c>
      <c r="B275" s="9">
        <v>4</v>
      </c>
      <c r="C275" s="9" t="s">
        <v>18</v>
      </c>
      <c r="D275" s="15">
        <v>5</v>
      </c>
      <c r="E275" s="15">
        <v>10</v>
      </c>
      <c r="F275" s="15">
        <v>15</v>
      </c>
    </row>
    <row r="276" spans="1:6" x14ac:dyDescent="0.35">
      <c r="A276" s="9">
        <v>16</v>
      </c>
      <c r="B276" s="9">
        <v>5</v>
      </c>
      <c r="C276" s="9" t="s">
        <v>19</v>
      </c>
      <c r="D276" s="15">
        <v>100</v>
      </c>
      <c r="E276" s="15">
        <v>200</v>
      </c>
      <c r="F276" s="15">
        <v>500</v>
      </c>
    </row>
    <row r="277" spans="1:6" x14ac:dyDescent="0.35">
      <c r="A277" s="9">
        <v>16</v>
      </c>
      <c r="B277" s="9">
        <v>6</v>
      </c>
      <c r="C277" s="9" t="s">
        <v>20</v>
      </c>
      <c r="D277" s="15">
        <v>60</v>
      </c>
      <c r="E277" s="15">
        <v>120</v>
      </c>
      <c r="F277" s="15">
        <v>180</v>
      </c>
    </row>
    <row r="278" spans="1:6" x14ac:dyDescent="0.35">
      <c r="A278" s="9">
        <v>16</v>
      </c>
      <c r="B278" s="9">
        <v>7</v>
      </c>
      <c r="C278" s="9" t="s">
        <v>21</v>
      </c>
      <c r="D278" s="15">
        <v>20</v>
      </c>
      <c r="E278" s="15">
        <v>50</v>
      </c>
      <c r="F278" s="15">
        <v>100</v>
      </c>
    </row>
    <row r="279" spans="1:6" x14ac:dyDescent="0.35">
      <c r="A279" s="9">
        <v>16</v>
      </c>
      <c r="B279" s="9">
        <v>8</v>
      </c>
      <c r="C279" s="9" t="s">
        <v>22</v>
      </c>
      <c r="D279" s="15">
        <v>4</v>
      </c>
      <c r="E279" s="15">
        <v>10</v>
      </c>
      <c r="F279" s="15">
        <v>25</v>
      </c>
    </row>
    <row r="280" spans="1:6" x14ac:dyDescent="0.35">
      <c r="A280" s="9">
        <v>16</v>
      </c>
      <c r="B280" s="9">
        <v>9</v>
      </c>
      <c r="C280" s="9" t="s">
        <v>23</v>
      </c>
      <c r="D280" s="15">
        <v>5</v>
      </c>
      <c r="E280" s="15">
        <v>10</v>
      </c>
      <c r="F280" s="15">
        <v>15</v>
      </c>
    </row>
    <row r="281" spans="1:6" x14ac:dyDescent="0.35">
      <c r="A281" s="9">
        <v>16</v>
      </c>
      <c r="B281" s="9">
        <v>10</v>
      </c>
      <c r="C281" s="9" t="s">
        <v>24</v>
      </c>
      <c r="D281" s="15">
        <v>500</v>
      </c>
      <c r="E281" s="15">
        <v>600</v>
      </c>
      <c r="F281" s="15">
        <v>1000</v>
      </c>
    </row>
    <row r="282" spans="1:6" x14ac:dyDescent="0.35">
      <c r="A282" s="9">
        <v>16</v>
      </c>
      <c r="B282" s="9">
        <v>11</v>
      </c>
      <c r="C282" s="9" t="s">
        <v>25</v>
      </c>
      <c r="D282" s="15">
        <v>0.1</v>
      </c>
      <c r="E282" s="15">
        <v>1</v>
      </c>
      <c r="F282" s="15">
        <v>10</v>
      </c>
    </row>
    <row r="283" spans="1:6" x14ac:dyDescent="0.35">
      <c r="A283" s="9">
        <v>16</v>
      </c>
      <c r="B283" s="9">
        <v>12</v>
      </c>
      <c r="C283" s="9" t="s">
        <v>26</v>
      </c>
      <c r="D283" s="15">
        <v>10</v>
      </c>
      <c r="E283" s="15">
        <v>20</v>
      </c>
      <c r="F283" s="15">
        <v>50</v>
      </c>
    </row>
    <row r="284" spans="1:6" x14ac:dyDescent="0.35">
      <c r="A284" s="9">
        <v>16</v>
      </c>
      <c r="B284" s="9">
        <v>13</v>
      </c>
      <c r="C284" s="9" t="s">
        <v>27</v>
      </c>
      <c r="D284" s="15">
        <v>400</v>
      </c>
      <c r="E284" s="15">
        <v>500</v>
      </c>
      <c r="F284" s="15">
        <v>650</v>
      </c>
    </row>
    <row r="285" spans="1:6" x14ac:dyDescent="0.35">
      <c r="A285" s="9">
        <v>16</v>
      </c>
      <c r="B285" s="9">
        <v>14</v>
      </c>
      <c r="C285" s="9" t="s">
        <v>28</v>
      </c>
      <c r="D285" s="15">
        <v>0.5</v>
      </c>
      <c r="E285" s="15">
        <v>1</v>
      </c>
      <c r="F285" s="15">
        <v>3</v>
      </c>
    </row>
    <row r="286" spans="1:6" x14ac:dyDescent="0.35">
      <c r="A286" s="9">
        <v>16</v>
      </c>
      <c r="B286" s="9">
        <v>15</v>
      </c>
      <c r="C286" s="9" t="s">
        <v>29</v>
      </c>
      <c r="D286" s="15">
        <v>800</v>
      </c>
      <c r="E286" s="15">
        <v>1500</v>
      </c>
      <c r="F286" s="15">
        <v>5000</v>
      </c>
    </row>
    <row r="287" spans="1:6" x14ac:dyDescent="0.35">
      <c r="A287" s="9">
        <v>16</v>
      </c>
      <c r="B287" s="9">
        <v>16</v>
      </c>
      <c r="C287" s="9" t="s">
        <v>30</v>
      </c>
      <c r="D287" s="15">
        <v>6</v>
      </c>
      <c r="E287" s="15">
        <v>8</v>
      </c>
      <c r="F287" s="15">
        <v>12</v>
      </c>
    </row>
    <row r="288" spans="1:6" x14ac:dyDescent="0.35">
      <c r="A288" s="9">
        <v>16</v>
      </c>
      <c r="B288" s="9">
        <v>17</v>
      </c>
      <c r="C288" s="9" t="s">
        <v>31</v>
      </c>
      <c r="D288" s="15">
        <v>800</v>
      </c>
      <c r="E288" s="15">
        <v>2500</v>
      </c>
      <c r="F288" s="15">
        <v>4000</v>
      </c>
    </row>
    <row r="289" spans="1:6" x14ac:dyDescent="0.35">
      <c r="A289" s="9">
        <v>16</v>
      </c>
      <c r="B289" s="9">
        <v>18</v>
      </c>
      <c r="C289" s="9" t="s">
        <v>32</v>
      </c>
      <c r="D289" s="15">
        <v>1000</v>
      </c>
      <c r="E289" s="15">
        <v>5000</v>
      </c>
      <c r="F289" s="15">
        <v>20000</v>
      </c>
    </row>
    <row r="290" spans="1:6" x14ac:dyDescent="0.35">
      <c r="A290" s="9">
        <v>17</v>
      </c>
      <c r="B290" s="9">
        <v>1</v>
      </c>
      <c r="C290" s="9" t="s">
        <v>15</v>
      </c>
      <c r="D290" s="15">
        <v>50</v>
      </c>
      <c r="E290" s="15">
        <v>60</v>
      </c>
      <c r="F290" s="15">
        <v>90</v>
      </c>
    </row>
    <row r="291" spans="1:6" x14ac:dyDescent="0.35">
      <c r="A291" s="9">
        <v>17</v>
      </c>
      <c r="B291" s="9">
        <v>2</v>
      </c>
      <c r="C291" s="9" t="s">
        <v>16</v>
      </c>
      <c r="D291" s="15">
        <v>25</v>
      </c>
      <c r="E291" s="15">
        <v>75</v>
      </c>
      <c r="F291" s="15">
        <v>100</v>
      </c>
    </row>
    <row r="292" spans="1:6" x14ac:dyDescent="0.35">
      <c r="A292" s="9">
        <v>17</v>
      </c>
      <c r="B292" s="9">
        <v>3</v>
      </c>
      <c r="C292" s="9" t="s">
        <v>17</v>
      </c>
      <c r="D292" s="15">
        <v>1</v>
      </c>
      <c r="E292" s="15">
        <v>5</v>
      </c>
      <c r="F292" s="15">
        <v>10</v>
      </c>
    </row>
    <row r="293" spans="1:6" x14ac:dyDescent="0.35">
      <c r="A293" s="9">
        <v>17</v>
      </c>
      <c r="B293" s="9">
        <v>4</v>
      </c>
      <c r="C293" s="9" t="s">
        <v>18</v>
      </c>
      <c r="D293" s="15">
        <v>0.5</v>
      </c>
      <c r="E293" s="15">
        <v>2</v>
      </c>
      <c r="F293" s="15">
        <v>5</v>
      </c>
    </row>
    <row r="294" spans="1:6" x14ac:dyDescent="0.35">
      <c r="A294" s="9">
        <v>17</v>
      </c>
      <c r="B294" s="9">
        <v>5</v>
      </c>
      <c r="C294" s="9" t="s">
        <v>19</v>
      </c>
      <c r="D294" s="15">
        <v>300</v>
      </c>
      <c r="E294" s="15">
        <v>500</v>
      </c>
      <c r="F294" s="15">
        <v>750</v>
      </c>
    </row>
    <row r="295" spans="1:6" x14ac:dyDescent="0.35">
      <c r="A295" s="9">
        <v>17</v>
      </c>
      <c r="B295" s="9">
        <v>6</v>
      </c>
      <c r="C295" s="9" t="s">
        <v>20</v>
      </c>
      <c r="D295" s="15">
        <v>5</v>
      </c>
      <c r="E295" s="15">
        <v>102</v>
      </c>
      <c r="F295" s="15">
        <v>200</v>
      </c>
    </row>
    <row r="296" spans="1:6" x14ac:dyDescent="0.35">
      <c r="A296" s="9">
        <v>17</v>
      </c>
      <c r="B296" s="9">
        <v>7</v>
      </c>
      <c r="C296" s="9" t="s">
        <v>21</v>
      </c>
      <c r="D296" s="15">
        <v>2000</v>
      </c>
      <c r="E296" s="15">
        <v>3600</v>
      </c>
      <c r="F296" s="15">
        <v>5000</v>
      </c>
    </row>
    <row r="297" spans="1:6" x14ac:dyDescent="0.35">
      <c r="A297" s="9">
        <v>17</v>
      </c>
      <c r="B297" s="9">
        <v>8</v>
      </c>
      <c r="C297" s="9" t="s">
        <v>22</v>
      </c>
      <c r="D297" s="15">
        <v>80</v>
      </c>
      <c r="E297" s="15">
        <v>90</v>
      </c>
      <c r="F297" s="15">
        <v>100</v>
      </c>
    </row>
    <row r="298" spans="1:6" x14ac:dyDescent="0.35">
      <c r="A298" s="9">
        <v>17</v>
      </c>
      <c r="B298" s="9">
        <v>9</v>
      </c>
      <c r="C298" s="9" t="s">
        <v>23</v>
      </c>
      <c r="D298" s="15">
        <v>12</v>
      </c>
      <c r="E298" s="15">
        <v>30</v>
      </c>
      <c r="F298" s="15">
        <v>50</v>
      </c>
    </row>
    <row r="299" spans="1:6" x14ac:dyDescent="0.35">
      <c r="A299" s="9">
        <v>17</v>
      </c>
      <c r="B299" s="9">
        <v>10</v>
      </c>
      <c r="C299" s="9" t="s">
        <v>24</v>
      </c>
      <c r="D299" s="15">
        <v>250</v>
      </c>
      <c r="E299" s="15">
        <v>500</v>
      </c>
      <c r="F299" s="15">
        <v>1000</v>
      </c>
    </row>
    <row r="300" spans="1:6" x14ac:dyDescent="0.35">
      <c r="A300" s="9">
        <v>17</v>
      </c>
      <c r="B300" s="9">
        <v>11</v>
      </c>
      <c r="C300" s="9" t="s">
        <v>25</v>
      </c>
      <c r="D300" s="15">
        <v>1E-3</v>
      </c>
      <c r="E300" s="15">
        <v>1.5</v>
      </c>
      <c r="F300" s="15">
        <v>3</v>
      </c>
    </row>
    <row r="301" spans="1:6" x14ac:dyDescent="0.35">
      <c r="A301" s="9">
        <v>17</v>
      </c>
      <c r="B301" s="9">
        <v>12</v>
      </c>
      <c r="C301" s="9" t="s">
        <v>26</v>
      </c>
      <c r="D301" s="15">
        <v>4</v>
      </c>
      <c r="E301" s="15">
        <v>4.5</v>
      </c>
      <c r="F301" s="15">
        <v>5</v>
      </c>
    </row>
    <row r="302" spans="1:6" x14ac:dyDescent="0.35">
      <c r="A302" s="9">
        <v>17</v>
      </c>
      <c r="B302" s="9">
        <v>13</v>
      </c>
      <c r="C302" s="9" t="s">
        <v>27</v>
      </c>
      <c r="D302" s="15">
        <v>625</v>
      </c>
      <c r="E302" s="15">
        <v>635</v>
      </c>
      <c r="F302" s="15">
        <v>650</v>
      </c>
    </row>
    <row r="303" spans="1:6" x14ac:dyDescent="0.35">
      <c r="A303" s="9">
        <v>17</v>
      </c>
      <c r="B303" s="9">
        <v>14</v>
      </c>
      <c r="C303" s="9" t="s">
        <v>28</v>
      </c>
      <c r="D303" s="15">
        <v>1</v>
      </c>
      <c r="E303" s="15">
        <v>5</v>
      </c>
      <c r="F303" s="15">
        <v>10</v>
      </c>
    </row>
    <row r="304" spans="1:6" x14ac:dyDescent="0.35">
      <c r="A304" s="9">
        <v>17</v>
      </c>
      <c r="B304" s="9">
        <v>15</v>
      </c>
      <c r="C304" s="9" t="s">
        <v>29</v>
      </c>
      <c r="D304" s="15">
        <v>150</v>
      </c>
      <c r="E304" s="15">
        <v>225</v>
      </c>
      <c r="F304" s="15">
        <v>600</v>
      </c>
    </row>
    <row r="305" spans="1:6" x14ac:dyDescent="0.35">
      <c r="A305" s="9">
        <v>17</v>
      </c>
      <c r="B305" s="9">
        <v>16</v>
      </c>
      <c r="C305" s="9" t="s">
        <v>30</v>
      </c>
      <c r="D305" s="15">
        <v>8.6999999999999993</v>
      </c>
      <c r="E305" s="15">
        <v>12.7</v>
      </c>
      <c r="F305" s="15">
        <v>15</v>
      </c>
    </row>
    <row r="306" spans="1:6" x14ac:dyDescent="0.35">
      <c r="A306" s="9">
        <v>17</v>
      </c>
      <c r="B306" s="9">
        <v>17</v>
      </c>
      <c r="C306" s="9" t="s">
        <v>31</v>
      </c>
      <c r="D306" s="15">
        <v>200</v>
      </c>
      <c r="E306" s="15">
        <v>500</v>
      </c>
      <c r="F306" s="15">
        <v>700</v>
      </c>
    </row>
    <row r="307" spans="1:6" x14ac:dyDescent="0.35">
      <c r="A307" s="9">
        <v>17</v>
      </c>
      <c r="B307" s="9">
        <v>18</v>
      </c>
      <c r="C307" s="9" t="s">
        <v>32</v>
      </c>
      <c r="D307" s="15">
        <v>5</v>
      </c>
      <c r="E307" s="15">
        <v>12</v>
      </c>
      <c r="F307" s="15">
        <v>20</v>
      </c>
    </row>
    <row r="308" spans="1:6" x14ac:dyDescent="0.35">
      <c r="A308" s="9">
        <v>18</v>
      </c>
      <c r="B308" s="9">
        <v>1</v>
      </c>
      <c r="C308" s="9" t="s">
        <v>15</v>
      </c>
      <c r="D308" s="15">
        <v>10</v>
      </c>
      <c r="E308" s="15">
        <v>20</v>
      </c>
      <c r="F308" s="15">
        <v>30</v>
      </c>
    </row>
    <row r="309" spans="1:6" x14ac:dyDescent="0.35">
      <c r="A309" s="9">
        <v>18</v>
      </c>
      <c r="B309" s="9">
        <v>2</v>
      </c>
      <c r="C309" s="9" t="s">
        <v>16</v>
      </c>
      <c r="D309" s="15">
        <v>5</v>
      </c>
      <c r="E309" s="15">
        <v>10</v>
      </c>
      <c r="F309" s="15">
        <v>25</v>
      </c>
    </row>
    <row r="310" spans="1:6" x14ac:dyDescent="0.35">
      <c r="A310" s="9">
        <v>18</v>
      </c>
      <c r="B310" s="9">
        <v>3</v>
      </c>
      <c r="C310" s="9" t="s">
        <v>17</v>
      </c>
      <c r="D310" s="15">
        <v>1E-3</v>
      </c>
      <c r="E310" s="15">
        <v>20</v>
      </c>
      <c r="F310" s="15">
        <v>30</v>
      </c>
    </row>
    <row r="311" spans="1:6" x14ac:dyDescent="0.35">
      <c r="A311" s="9">
        <v>18</v>
      </c>
      <c r="B311" s="9">
        <v>4</v>
      </c>
      <c r="C311" s="9" t="s">
        <v>18</v>
      </c>
      <c r="D311" s="15">
        <v>2</v>
      </c>
      <c r="E311" s="15">
        <v>8</v>
      </c>
      <c r="F311" s="15">
        <v>15</v>
      </c>
    </row>
    <row r="312" spans="1:6" x14ac:dyDescent="0.35">
      <c r="A312" s="9">
        <v>18</v>
      </c>
      <c r="B312" s="9">
        <v>5</v>
      </c>
      <c r="C312" s="9" t="s">
        <v>19</v>
      </c>
      <c r="D312" s="15">
        <v>1000</v>
      </c>
      <c r="E312" s="15">
        <v>4000</v>
      </c>
      <c r="F312" s="15">
        <v>10000</v>
      </c>
    </row>
    <row r="313" spans="1:6" x14ac:dyDescent="0.35">
      <c r="A313" s="9">
        <v>18</v>
      </c>
      <c r="B313" s="9">
        <v>6</v>
      </c>
      <c r="C313" s="9" t="s">
        <v>20</v>
      </c>
      <c r="D313" s="15">
        <v>2</v>
      </c>
      <c r="E313" s="15">
        <v>7</v>
      </c>
      <c r="F313" s="15">
        <v>50</v>
      </c>
    </row>
    <row r="314" spans="1:6" x14ac:dyDescent="0.35">
      <c r="A314" s="9">
        <v>18</v>
      </c>
      <c r="B314" s="9">
        <v>7</v>
      </c>
      <c r="C314" s="9" t="s">
        <v>21</v>
      </c>
      <c r="D314" s="15">
        <v>20</v>
      </c>
      <c r="E314" s="15">
        <v>100</v>
      </c>
      <c r="F314" s="15">
        <v>200</v>
      </c>
    </row>
    <row r="315" spans="1:6" x14ac:dyDescent="0.35">
      <c r="A315" s="9">
        <v>18</v>
      </c>
      <c r="B315" s="9">
        <v>8</v>
      </c>
      <c r="C315" s="9" t="s">
        <v>22</v>
      </c>
      <c r="D315" s="15">
        <v>10</v>
      </c>
      <c r="E315" s="15">
        <v>50</v>
      </c>
      <c r="F315" s="15">
        <v>90</v>
      </c>
    </row>
    <row r="316" spans="1:6" x14ac:dyDescent="0.35">
      <c r="A316" s="9">
        <v>18</v>
      </c>
      <c r="B316" s="9">
        <v>9</v>
      </c>
      <c r="C316" s="9" t="s">
        <v>23</v>
      </c>
      <c r="D316" s="15">
        <v>3</v>
      </c>
      <c r="E316" s="15">
        <v>10</v>
      </c>
      <c r="F316" s="15">
        <v>20</v>
      </c>
    </row>
    <row r="317" spans="1:6" x14ac:dyDescent="0.35">
      <c r="A317" s="9">
        <v>18</v>
      </c>
      <c r="B317" s="9">
        <v>10</v>
      </c>
      <c r="C317" s="9" t="s">
        <v>24</v>
      </c>
      <c r="D317" s="15">
        <v>1E-3</v>
      </c>
      <c r="E317" s="15">
        <v>100</v>
      </c>
      <c r="F317" s="15">
        <v>2000</v>
      </c>
    </row>
    <row r="318" spans="1:6" x14ac:dyDescent="0.35">
      <c r="A318" s="9">
        <v>18</v>
      </c>
      <c r="B318" s="9">
        <v>11</v>
      </c>
      <c r="C318" s="9" t="s">
        <v>25</v>
      </c>
      <c r="D318" s="15">
        <v>3</v>
      </c>
      <c r="E318" s="15">
        <v>5</v>
      </c>
      <c r="F318" s="15">
        <v>15</v>
      </c>
    </row>
    <row r="319" spans="1:6" x14ac:dyDescent="0.35">
      <c r="A319" s="9">
        <v>18</v>
      </c>
      <c r="B319" s="9">
        <v>12</v>
      </c>
      <c r="C319" s="9" t="s">
        <v>26</v>
      </c>
      <c r="D319" s="15">
        <v>2</v>
      </c>
      <c r="E319" s="15">
        <v>5</v>
      </c>
      <c r="F319" s="15">
        <v>15</v>
      </c>
    </row>
    <row r="320" spans="1:6" x14ac:dyDescent="0.35">
      <c r="A320" s="9">
        <v>18</v>
      </c>
      <c r="B320" s="9">
        <v>13</v>
      </c>
      <c r="C320" s="9" t="s">
        <v>27</v>
      </c>
      <c r="D320" s="15">
        <v>30</v>
      </c>
      <c r="E320" s="15">
        <v>75</v>
      </c>
      <c r="F320" s="15">
        <v>200</v>
      </c>
    </row>
    <row r="321" spans="1:6" x14ac:dyDescent="0.35">
      <c r="A321" s="9">
        <v>18</v>
      </c>
      <c r="B321" s="9">
        <v>14</v>
      </c>
      <c r="C321" s="9" t="s">
        <v>28</v>
      </c>
      <c r="D321" s="15">
        <v>10</v>
      </c>
      <c r="E321" s="15">
        <v>20</v>
      </c>
      <c r="F321" s="15">
        <v>150</v>
      </c>
    </row>
    <row r="322" spans="1:6" x14ac:dyDescent="0.35">
      <c r="A322" s="9">
        <v>18</v>
      </c>
      <c r="B322" s="9">
        <v>15</v>
      </c>
      <c r="C322" s="9" t="s">
        <v>29</v>
      </c>
      <c r="D322" s="15">
        <v>50</v>
      </c>
      <c r="E322" s="15">
        <v>100</v>
      </c>
      <c r="F322" s="15">
        <v>200</v>
      </c>
    </row>
    <row r="323" spans="1:6" x14ac:dyDescent="0.35">
      <c r="A323" s="9">
        <v>18</v>
      </c>
      <c r="B323" s="9">
        <v>16</v>
      </c>
      <c r="C323" s="9" t="s">
        <v>30</v>
      </c>
      <c r="D323" s="15">
        <v>5</v>
      </c>
      <c r="E323" s="15">
        <v>7</v>
      </c>
      <c r="F323" s="15">
        <v>12</v>
      </c>
    </row>
    <row r="324" spans="1:6" x14ac:dyDescent="0.35">
      <c r="A324" s="9">
        <v>18</v>
      </c>
      <c r="B324" s="9">
        <v>17</v>
      </c>
      <c r="C324" s="9" t="s">
        <v>31</v>
      </c>
      <c r="D324" s="15">
        <v>400</v>
      </c>
      <c r="E324" s="15">
        <v>1000</v>
      </c>
      <c r="F324" s="15">
        <v>3000</v>
      </c>
    </row>
    <row r="325" spans="1:6" x14ac:dyDescent="0.35">
      <c r="A325" s="9">
        <v>18</v>
      </c>
      <c r="B325" s="9">
        <v>18</v>
      </c>
      <c r="C325" s="9" t="s">
        <v>32</v>
      </c>
      <c r="D325" s="15">
        <v>3</v>
      </c>
      <c r="E325" s="15">
        <v>5</v>
      </c>
      <c r="F325" s="15">
        <v>12</v>
      </c>
    </row>
    <row r="326" spans="1:6" x14ac:dyDescent="0.35">
      <c r="A326" s="9">
        <v>19</v>
      </c>
      <c r="B326" s="9">
        <v>1</v>
      </c>
      <c r="C326" s="9" t="s">
        <v>15</v>
      </c>
      <c r="D326" s="15">
        <v>5</v>
      </c>
      <c r="E326" s="15">
        <v>10</v>
      </c>
      <c r="F326" s="15">
        <v>20</v>
      </c>
    </row>
    <row r="327" spans="1:6" x14ac:dyDescent="0.35">
      <c r="A327" s="9">
        <v>19</v>
      </c>
      <c r="B327" s="9">
        <v>2</v>
      </c>
      <c r="C327" s="9" t="s">
        <v>16</v>
      </c>
      <c r="D327" s="15">
        <v>5</v>
      </c>
      <c r="E327" s="15">
        <v>7</v>
      </c>
      <c r="F327" s="15">
        <v>15</v>
      </c>
    </row>
    <row r="328" spans="1:6" x14ac:dyDescent="0.35">
      <c r="A328" s="9">
        <v>19</v>
      </c>
      <c r="B328" s="9">
        <v>3</v>
      </c>
      <c r="C328" s="9" t="s">
        <v>17</v>
      </c>
      <c r="D328" s="15">
        <v>10</v>
      </c>
      <c r="E328" s="15">
        <v>20</v>
      </c>
      <c r="F328" s="15">
        <v>30</v>
      </c>
    </row>
    <row r="329" spans="1:6" x14ac:dyDescent="0.35">
      <c r="A329" s="9">
        <v>19</v>
      </c>
      <c r="B329" s="9">
        <v>4</v>
      </c>
      <c r="C329" s="9" t="s">
        <v>18</v>
      </c>
      <c r="D329" s="15">
        <v>5</v>
      </c>
      <c r="E329" s="15">
        <v>10</v>
      </c>
      <c r="F329" s="15">
        <v>20</v>
      </c>
    </row>
    <row r="330" spans="1:6" x14ac:dyDescent="0.35">
      <c r="A330" s="9">
        <v>19</v>
      </c>
      <c r="B330" s="9">
        <v>5</v>
      </c>
      <c r="C330" s="9" t="s">
        <v>19</v>
      </c>
      <c r="D330" s="15">
        <v>50</v>
      </c>
      <c r="E330" s="15">
        <v>200</v>
      </c>
      <c r="F330" s="15">
        <v>2000</v>
      </c>
    </row>
    <row r="331" spans="1:6" x14ac:dyDescent="0.35">
      <c r="A331" s="9">
        <v>19</v>
      </c>
      <c r="B331" s="9">
        <v>6</v>
      </c>
      <c r="C331" s="9" t="s">
        <v>20</v>
      </c>
      <c r="D331" s="15">
        <v>10</v>
      </c>
      <c r="E331" s="15">
        <v>40</v>
      </c>
      <c r="F331" s="15">
        <v>140</v>
      </c>
    </row>
    <row r="332" spans="1:6" x14ac:dyDescent="0.35">
      <c r="A332" s="9">
        <v>19</v>
      </c>
      <c r="B332" s="9">
        <v>7</v>
      </c>
      <c r="C332" s="9" t="s">
        <v>21</v>
      </c>
      <c r="D332" s="15">
        <v>25</v>
      </c>
      <c r="E332" s="15">
        <v>75</v>
      </c>
      <c r="F332" s="15">
        <v>150</v>
      </c>
    </row>
    <row r="333" spans="1:6" x14ac:dyDescent="0.35">
      <c r="A333" s="9">
        <v>19</v>
      </c>
      <c r="B333" s="9">
        <v>8</v>
      </c>
      <c r="C333" s="9" t="s">
        <v>22</v>
      </c>
      <c r="D333" s="15">
        <v>20</v>
      </c>
      <c r="E333" s="15">
        <v>40</v>
      </c>
      <c r="F333" s="15">
        <v>60</v>
      </c>
    </row>
    <row r="334" spans="1:6" x14ac:dyDescent="0.35">
      <c r="A334" s="9">
        <v>19</v>
      </c>
      <c r="B334" s="9">
        <v>9</v>
      </c>
      <c r="C334" s="9" t="s">
        <v>23</v>
      </c>
      <c r="D334" s="15">
        <v>0.1</v>
      </c>
      <c r="E334" s="15">
        <v>0.2</v>
      </c>
      <c r="F334" s="15">
        <v>0.3</v>
      </c>
    </row>
    <row r="335" spans="1:6" x14ac:dyDescent="0.35">
      <c r="A335" s="9">
        <v>19</v>
      </c>
      <c r="B335" s="9">
        <v>10</v>
      </c>
      <c r="C335" s="9" t="s">
        <v>24</v>
      </c>
      <c r="D335" s="15">
        <v>100</v>
      </c>
      <c r="E335" s="15">
        <v>250</v>
      </c>
      <c r="F335" s="15">
        <v>1000</v>
      </c>
    </row>
    <row r="336" spans="1:6" x14ac:dyDescent="0.35">
      <c r="A336" s="9">
        <v>19</v>
      </c>
      <c r="B336" s="9">
        <v>11</v>
      </c>
      <c r="C336" s="9" t="s">
        <v>25</v>
      </c>
      <c r="D336" s="15">
        <v>3</v>
      </c>
      <c r="E336" s="15">
        <v>5</v>
      </c>
      <c r="F336" s="15">
        <v>12</v>
      </c>
    </row>
    <row r="337" spans="1:6" x14ac:dyDescent="0.35">
      <c r="A337" s="9">
        <v>19</v>
      </c>
      <c r="B337" s="9">
        <v>12</v>
      </c>
      <c r="C337" s="9" t="s">
        <v>26</v>
      </c>
      <c r="D337" s="15">
        <v>12</v>
      </c>
      <c r="E337" s="15">
        <v>15</v>
      </c>
      <c r="F337" s="15">
        <v>20</v>
      </c>
    </row>
    <row r="338" spans="1:6" x14ac:dyDescent="0.35">
      <c r="A338" s="9">
        <v>19</v>
      </c>
      <c r="B338" s="9">
        <v>13</v>
      </c>
      <c r="C338" s="9" t="s">
        <v>27</v>
      </c>
      <c r="D338" s="15">
        <v>70</v>
      </c>
      <c r="E338" s="15">
        <v>90</v>
      </c>
      <c r="F338" s="15">
        <v>130</v>
      </c>
    </row>
    <row r="339" spans="1:6" x14ac:dyDescent="0.35">
      <c r="A339" s="9">
        <v>19</v>
      </c>
      <c r="B339" s="9">
        <v>14</v>
      </c>
      <c r="C339" s="9" t="s">
        <v>28</v>
      </c>
      <c r="D339" s="15">
        <v>100</v>
      </c>
      <c r="E339" s="15">
        <v>700</v>
      </c>
      <c r="F339" s="15">
        <v>2000</v>
      </c>
    </row>
    <row r="340" spans="1:6" x14ac:dyDescent="0.35">
      <c r="A340" s="9">
        <v>19</v>
      </c>
      <c r="B340" s="9">
        <v>15</v>
      </c>
      <c r="C340" s="9" t="s">
        <v>29</v>
      </c>
      <c r="D340" s="15">
        <v>50</v>
      </c>
      <c r="E340" s="15">
        <v>75</v>
      </c>
      <c r="F340" s="15">
        <v>150</v>
      </c>
    </row>
    <row r="341" spans="1:6" x14ac:dyDescent="0.35">
      <c r="A341" s="9">
        <v>19</v>
      </c>
      <c r="B341" s="9">
        <v>16</v>
      </c>
      <c r="C341" s="9" t="s">
        <v>30</v>
      </c>
      <c r="D341" s="15">
        <v>4.3</v>
      </c>
      <c r="E341" s="15">
        <v>7</v>
      </c>
      <c r="F341" s="15">
        <v>8</v>
      </c>
    </row>
    <row r="342" spans="1:6" x14ac:dyDescent="0.35">
      <c r="A342" s="9">
        <v>19</v>
      </c>
      <c r="B342" s="9">
        <v>17</v>
      </c>
      <c r="C342" s="9" t="s">
        <v>31</v>
      </c>
      <c r="D342" s="15">
        <v>500</v>
      </c>
      <c r="E342" s="15">
        <v>1500</v>
      </c>
      <c r="F342" s="15">
        <v>2500</v>
      </c>
    </row>
    <row r="343" spans="1:6" x14ac:dyDescent="0.35">
      <c r="A343" s="9">
        <v>19</v>
      </c>
      <c r="B343" s="9">
        <v>18</v>
      </c>
      <c r="C343" s="9" t="s">
        <v>32</v>
      </c>
      <c r="D343" s="15">
        <v>10</v>
      </c>
      <c r="E343" s="15">
        <v>30</v>
      </c>
      <c r="F343" s="15">
        <v>40</v>
      </c>
    </row>
    <row r="344" spans="1:6" x14ac:dyDescent="0.35">
      <c r="A344" s="9">
        <v>20</v>
      </c>
      <c r="B344" s="9">
        <v>1</v>
      </c>
      <c r="C344" s="9" t="s">
        <v>15</v>
      </c>
      <c r="D344" s="15">
        <v>10</v>
      </c>
      <c r="E344" s="15">
        <v>40</v>
      </c>
      <c r="F344" s="15">
        <v>60</v>
      </c>
    </row>
    <row r="345" spans="1:6" x14ac:dyDescent="0.35">
      <c r="A345" s="9">
        <v>20</v>
      </c>
      <c r="B345" s="9">
        <v>2</v>
      </c>
      <c r="C345" s="9" t="s">
        <v>16</v>
      </c>
      <c r="D345" s="15">
        <v>800</v>
      </c>
      <c r="E345" s="15">
        <v>1300</v>
      </c>
      <c r="F345" s="15">
        <v>1800</v>
      </c>
    </row>
    <row r="346" spans="1:6" x14ac:dyDescent="0.35">
      <c r="A346" s="9">
        <v>20</v>
      </c>
      <c r="B346" s="9">
        <v>3</v>
      </c>
      <c r="C346" s="9" t="s">
        <v>17</v>
      </c>
      <c r="D346" s="15">
        <v>0.5</v>
      </c>
      <c r="E346" s="15">
        <v>2.5</v>
      </c>
      <c r="F346" s="15">
        <v>5</v>
      </c>
    </row>
    <row r="347" spans="1:6" x14ac:dyDescent="0.35">
      <c r="A347" s="9">
        <v>20</v>
      </c>
      <c r="B347" s="9">
        <v>4</v>
      </c>
      <c r="C347" s="9" t="s">
        <v>18</v>
      </c>
      <c r="D347" s="15">
        <v>5</v>
      </c>
      <c r="E347" s="15">
        <v>8</v>
      </c>
      <c r="F347" s="15">
        <v>15</v>
      </c>
    </row>
    <row r="348" spans="1:6" x14ac:dyDescent="0.35">
      <c r="A348" s="9">
        <v>20</v>
      </c>
      <c r="B348" s="9">
        <v>5</v>
      </c>
      <c r="C348" s="9" t="s">
        <v>19</v>
      </c>
      <c r="D348" s="15">
        <v>1</v>
      </c>
      <c r="E348" s="15">
        <v>4</v>
      </c>
      <c r="F348" s="15">
        <v>7</v>
      </c>
    </row>
    <row r="349" spans="1:6" x14ac:dyDescent="0.35">
      <c r="A349" s="9">
        <v>20</v>
      </c>
      <c r="B349" s="9">
        <v>6</v>
      </c>
      <c r="C349" s="9" t="s">
        <v>20</v>
      </c>
      <c r="D349" s="15">
        <v>1</v>
      </c>
      <c r="E349" s="15">
        <v>28</v>
      </c>
      <c r="F349" s="15">
        <v>1000</v>
      </c>
    </row>
    <row r="350" spans="1:6" x14ac:dyDescent="0.35">
      <c r="A350" s="9">
        <v>20</v>
      </c>
      <c r="B350" s="9">
        <v>7</v>
      </c>
      <c r="C350" s="9" t="s">
        <v>21</v>
      </c>
      <c r="D350" s="15">
        <v>100</v>
      </c>
      <c r="E350" s="15">
        <v>1500</v>
      </c>
      <c r="F350" s="15">
        <v>3000</v>
      </c>
    </row>
    <row r="351" spans="1:6" x14ac:dyDescent="0.35">
      <c r="A351" s="9">
        <v>20</v>
      </c>
      <c r="B351" s="9">
        <v>8</v>
      </c>
      <c r="C351" s="9" t="s">
        <v>22</v>
      </c>
      <c r="D351" s="15">
        <v>5</v>
      </c>
      <c r="E351" s="15">
        <v>15</v>
      </c>
      <c r="F351" s="15">
        <v>30</v>
      </c>
    </row>
    <row r="352" spans="1:6" x14ac:dyDescent="0.35">
      <c r="A352" s="9">
        <v>20</v>
      </c>
      <c r="B352" s="9">
        <v>9</v>
      </c>
      <c r="C352" s="9" t="s">
        <v>23</v>
      </c>
      <c r="D352" s="15">
        <v>0.5</v>
      </c>
      <c r="E352" s="15">
        <v>1</v>
      </c>
      <c r="F352" s="15">
        <v>10</v>
      </c>
    </row>
    <row r="353" spans="1:6" x14ac:dyDescent="0.35">
      <c r="A353" s="9">
        <v>20</v>
      </c>
      <c r="B353" s="9">
        <v>10</v>
      </c>
      <c r="C353" s="9" t="s">
        <v>24</v>
      </c>
      <c r="D353" s="15">
        <v>100</v>
      </c>
      <c r="E353" s="15">
        <v>1500</v>
      </c>
      <c r="F353" s="15">
        <v>3000</v>
      </c>
    </row>
    <row r="354" spans="1:6" x14ac:dyDescent="0.35">
      <c r="A354" s="9">
        <v>20</v>
      </c>
      <c r="B354" s="9">
        <v>11</v>
      </c>
      <c r="C354" s="9" t="s">
        <v>25</v>
      </c>
      <c r="D354" s="15">
        <v>1</v>
      </c>
      <c r="E354" s="15">
        <v>3</v>
      </c>
      <c r="F354" s="15">
        <v>25</v>
      </c>
    </row>
    <row r="355" spans="1:6" x14ac:dyDescent="0.35">
      <c r="A355" s="9">
        <v>20</v>
      </c>
      <c r="B355" s="9">
        <v>12</v>
      </c>
      <c r="C355" s="9" t="s">
        <v>26</v>
      </c>
      <c r="D355" s="15">
        <v>4</v>
      </c>
      <c r="E355" s="15">
        <v>12</v>
      </c>
      <c r="F355" s="15">
        <v>20</v>
      </c>
    </row>
    <row r="356" spans="1:6" x14ac:dyDescent="0.35">
      <c r="A356" s="9">
        <v>20</v>
      </c>
      <c r="B356" s="9">
        <v>13</v>
      </c>
      <c r="C356" s="9" t="s">
        <v>27</v>
      </c>
      <c r="D356" s="15">
        <v>50</v>
      </c>
      <c r="E356" s="15">
        <v>125</v>
      </c>
      <c r="F356" s="15">
        <v>200</v>
      </c>
    </row>
    <row r="357" spans="1:6" x14ac:dyDescent="0.35">
      <c r="A357" s="9">
        <v>20</v>
      </c>
      <c r="B357" s="9">
        <v>14</v>
      </c>
      <c r="C357" s="9" t="s">
        <v>28</v>
      </c>
      <c r="D357" s="15">
        <v>0.25</v>
      </c>
      <c r="E357" s="15">
        <v>5</v>
      </c>
      <c r="F357" s="15">
        <v>10</v>
      </c>
    </row>
    <row r="358" spans="1:6" x14ac:dyDescent="0.35">
      <c r="A358" s="9">
        <v>20</v>
      </c>
      <c r="B358" s="9">
        <v>15</v>
      </c>
      <c r="C358" s="9" t="s">
        <v>29</v>
      </c>
      <c r="D358" s="15">
        <v>300</v>
      </c>
      <c r="E358" s="15">
        <v>1000</v>
      </c>
      <c r="F358" s="15">
        <v>1600</v>
      </c>
    </row>
    <row r="359" spans="1:6" x14ac:dyDescent="0.35">
      <c r="A359" s="9">
        <v>20</v>
      </c>
      <c r="B359" s="9">
        <v>16</v>
      </c>
      <c r="C359" s="9" t="s">
        <v>30</v>
      </c>
      <c r="D359" s="15">
        <v>1</v>
      </c>
      <c r="E359" s="15">
        <v>10</v>
      </c>
      <c r="F359" s="15">
        <v>20</v>
      </c>
    </row>
    <row r="360" spans="1:6" x14ac:dyDescent="0.35">
      <c r="A360" s="9">
        <v>20</v>
      </c>
      <c r="B360" s="9">
        <v>17</v>
      </c>
      <c r="C360" s="9" t="s">
        <v>31</v>
      </c>
      <c r="D360" s="15">
        <v>500</v>
      </c>
      <c r="E360" s="15">
        <v>1800</v>
      </c>
      <c r="F360" s="15">
        <v>3000</v>
      </c>
    </row>
    <row r="361" spans="1:6" x14ac:dyDescent="0.35">
      <c r="A361" s="9">
        <v>20</v>
      </c>
      <c r="B361" s="9">
        <v>18</v>
      </c>
      <c r="C361" s="9" t="s">
        <v>32</v>
      </c>
      <c r="D361" s="15">
        <v>3</v>
      </c>
      <c r="E361" s="15">
        <v>17</v>
      </c>
      <c r="F361" s="15">
        <v>30</v>
      </c>
    </row>
    <row r="362" spans="1:6" x14ac:dyDescent="0.35">
      <c r="A362" s="9">
        <v>21</v>
      </c>
      <c r="B362" s="9">
        <v>1</v>
      </c>
      <c r="C362" s="9" t="s">
        <v>15</v>
      </c>
      <c r="D362" s="15">
        <v>10</v>
      </c>
      <c r="E362" s="15">
        <v>20</v>
      </c>
      <c r="F362" s="15">
        <v>40</v>
      </c>
    </row>
    <row r="363" spans="1:6" x14ac:dyDescent="0.35">
      <c r="A363" s="9">
        <v>21</v>
      </c>
      <c r="B363" s="9">
        <v>2</v>
      </c>
      <c r="C363" s="9" t="s">
        <v>16</v>
      </c>
      <c r="D363" s="15">
        <v>20</v>
      </c>
      <c r="E363" s="15">
        <v>60</v>
      </c>
      <c r="F363" s="15">
        <v>75</v>
      </c>
    </row>
    <row r="364" spans="1:6" x14ac:dyDescent="0.35">
      <c r="A364" s="9">
        <v>21</v>
      </c>
      <c r="B364" s="9">
        <v>3</v>
      </c>
      <c r="C364" s="9" t="s">
        <v>17</v>
      </c>
      <c r="D364" s="15">
        <v>5</v>
      </c>
      <c r="E364" s="15">
        <v>17</v>
      </c>
      <c r="F364" s="15">
        <v>30</v>
      </c>
    </row>
    <row r="365" spans="1:6" x14ac:dyDescent="0.35">
      <c r="A365" s="9">
        <v>21</v>
      </c>
      <c r="B365" s="9">
        <v>4</v>
      </c>
      <c r="C365" s="9" t="s">
        <v>18</v>
      </c>
      <c r="D365" s="15">
        <v>5</v>
      </c>
      <c r="E365" s="15">
        <v>10</v>
      </c>
      <c r="F365" s="15">
        <v>20</v>
      </c>
    </row>
    <row r="366" spans="1:6" x14ac:dyDescent="0.35">
      <c r="A366" s="9">
        <v>21</v>
      </c>
      <c r="B366" s="9">
        <v>5</v>
      </c>
      <c r="C366" s="9" t="s">
        <v>19</v>
      </c>
      <c r="D366" s="15">
        <v>500</v>
      </c>
      <c r="E366" s="15">
        <v>2000</v>
      </c>
      <c r="F366" s="15">
        <v>3000</v>
      </c>
    </row>
    <row r="367" spans="1:6" x14ac:dyDescent="0.35">
      <c r="A367" s="9">
        <v>21</v>
      </c>
      <c r="B367" s="9">
        <v>6</v>
      </c>
      <c r="C367" s="9" t="s">
        <v>20</v>
      </c>
      <c r="D367" s="15">
        <v>20</v>
      </c>
      <c r="E367" s="15">
        <v>40</v>
      </c>
      <c r="F367" s="15">
        <v>60</v>
      </c>
    </row>
    <row r="368" spans="1:6" x14ac:dyDescent="0.35">
      <c r="A368" s="9">
        <v>21</v>
      </c>
      <c r="B368" s="9">
        <v>7</v>
      </c>
      <c r="C368" s="9" t="s">
        <v>21</v>
      </c>
      <c r="D368" s="15">
        <v>5</v>
      </c>
      <c r="E368" s="15">
        <v>20</v>
      </c>
      <c r="F368" s="15">
        <v>30</v>
      </c>
    </row>
    <row r="369" spans="1:6" x14ac:dyDescent="0.35">
      <c r="A369" s="9">
        <v>21</v>
      </c>
      <c r="B369" s="9">
        <v>8</v>
      </c>
      <c r="C369" s="9" t="s">
        <v>22</v>
      </c>
      <c r="D369" s="15">
        <v>5</v>
      </c>
      <c r="E369" s="15">
        <v>10</v>
      </c>
      <c r="F369" s="15">
        <v>15</v>
      </c>
    </row>
    <row r="370" spans="1:6" x14ac:dyDescent="0.35">
      <c r="A370" s="9">
        <v>21</v>
      </c>
      <c r="B370" s="9">
        <v>9</v>
      </c>
      <c r="C370" s="9" t="s">
        <v>23</v>
      </c>
      <c r="D370" s="15">
        <v>1</v>
      </c>
      <c r="E370" s="15">
        <v>5</v>
      </c>
      <c r="F370" s="15">
        <v>10</v>
      </c>
    </row>
    <row r="371" spans="1:6" x14ac:dyDescent="0.35">
      <c r="A371" s="9">
        <v>21</v>
      </c>
      <c r="B371" s="9">
        <v>10</v>
      </c>
      <c r="C371" s="9" t="s">
        <v>24</v>
      </c>
      <c r="D371" s="15">
        <v>500</v>
      </c>
      <c r="E371" s="15">
        <v>1000</v>
      </c>
      <c r="F371" s="15">
        <v>2000</v>
      </c>
    </row>
    <row r="372" spans="1:6" x14ac:dyDescent="0.35">
      <c r="A372" s="9">
        <v>21</v>
      </c>
      <c r="B372" s="9">
        <v>11</v>
      </c>
      <c r="C372" s="9" t="s">
        <v>25</v>
      </c>
      <c r="D372" s="15">
        <v>5</v>
      </c>
      <c r="E372" s="15">
        <v>30</v>
      </c>
      <c r="F372" s="15">
        <v>50</v>
      </c>
    </row>
    <row r="373" spans="1:6" x14ac:dyDescent="0.35">
      <c r="A373" s="9">
        <v>21</v>
      </c>
      <c r="B373" s="9">
        <v>12</v>
      </c>
      <c r="C373" s="9" t="s">
        <v>26</v>
      </c>
      <c r="D373" s="15">
        <v>4</v>
      </c>
      <c r="E373" s="15">
        <v>5</v>
      </c>
      <c r="F373" s="15">
        <v>7</v>
      </c>
    </row>
    <row r="374" spans="1:6" x14ac:dyDescent="0.35">
      <c r="A374" s="9">
        <v>21</v>
      </c>
      <c r="B374" s="9">
        <v>13</v>
      </c>
      <c r="C374" s="9" t="s">
        <v>27</v>
      </c>
      <c r="D374" s="15">
        <v>100</v>
      </c>
      <c r="E374" s="15">
        <v>200</v>
      </c>
      <c r="F374" s="15">
        <v>300</v>
      </c>
    </row>
    <row r="375" spans="1:6" x14ac:dyDescent="0.35">
      <c r="A375" s="9">
        <v>21</v>
      </c>
      <c r="B375" s="9">
        <v>14</v>
      </c>
      <c r="C375" s="9" t="s">
        <v>28</v>
      </c>
      <c r="D375" s="15">
        <v>200</v>
      </c>
      <c r="E375" s="15">
        <v>600</v>
      </c>
      <c r="F375" s="15">
        <v>1000</v>
      </c>
    </row>
    <row r="376" spans="1:6" x14ac:dyDescent="0.35">
      <c r="A376" s="9">
        <v>21</v>
      </c>
      <c r="B376" s="9">
        <v>15</v>
      </c>
      <c r="C376" s="9" t="s">
        <v>29</v>
      </c>
      <c r="D376" s="15">
        <v>50</v>
      </c>
      <c r="E376" s="15">
        <v>75</v>
      </c>
      <c r="F376" s="15">
        <v>150</v>
      </c>
    </row>
    <row r="377" spans="1:6" x14ac:dyDescent="0.35">
      <c r="A377" s="9">
        <v>21</v>
      </c>
      <c r="B377" s="9">
        <v>16</v>
      </c>
      <c r="C377" s="9" t="s">
        <v>30</v>
      </c>
      <c r="D377" s="15">
        <v>10</v>
      </c>
      <c r="E377" s="15">
        <v>12</v>
      </c>
      <c r="F377" s="15">
        <v>14</v>
      </c>
    </row>
    <row r="378" spans="1:6" x14ac:dyDescent="0.35">
      <c r="A378" s="9">
        <v>21</v>
      </c>
      <c r="B378" s="9">
        <v>17</v>
      </c>
      <c r="C378" s="9" t="s">
        <v>31</v>
      </c>
      <c r="D378" s="15">
        <v>100</v>
      </c>
      <c r="E378" s="15">
        <v>750</v>
      </c>
      <c r="F378" s="15">
        <v>1500</v>
      </c>
    </row>
    <row r="379" spans="1:6" x14ac:dyDescent="0.35">
      <c r="A379" s="9">
        <v>21</v>
      </c>
      <c r="B379" s="9">
        <v>18</v>
      </c>
      <c r="C379" s="9" t="s">
        <v>32</v>
      </c>
      <c r="D379" s="15">
        <v>10</v>
      </c>
      <c r="E379" s="15">
        <v>30</v>
      </c>
      <c r="F379" s="15">
        <v>50</v>
      </c>
    </row>
    <row r="380" spans="1:6" x14ac:dyDescent="0.35">
      <c r="A380" s="9">
        <v>22</v>
      </c>
      <c r="B380" s="9">
        <v>1</v>
      </c>
      <c r="C380" s="9" t="s">
        <v>15</v>
      </c>
      <c r="D380" s="15">
        <v>3</v>
      </c>
      <c r="E380" s="15">
        <v>5</v>
      </c>
      <c r="F380" s="15">
        <v>15</v>
      </c>
    </row>
    <row r="381" spans="1:6" x14ac:dyDescent="0.35">
      <c r="A381" s="9">
        <v>22</v>
      </c>
      <c r="B381" s="9">
        <v>2</v>
      </c>
      <c r="C381" s="9" t="s">
        <v>16</v>
      </c>
      <c r="D381" s="15">
        <v>1</v>
      </c>
      <c r="E381" s="15">
        <v>30</v>
      </c>
      <c r="F381" s="15">
        <v>100</v>
      </c>
    </row>
    <row r="382" spans="1:6" x14ac:dyDescent="0.35">
      <c r="A382" s="9">
        <v>22</v>
      </c>
      <c r="B382" s="9">
        <v>3</v>
      </c>
      <c r="C382" s="9" t="s">
        <v>17</v>
      </c>
      <c r="D382" s="15">
        <v>1</v>
      </c>
      <c r="E382" s="15">
        <v>5</v>
      </c>
      <c r="F382" s="15">
        <v>10</v>
      </c>
    </row>
    <row r="383" spans="1:6" x14ac:dyDescent="0.35">
      <c r="A383" s="9">
        <v>22</v>
      </c>
      <c r="B383" s="9">
        <v>4</v>
      </c>
      <c r="C383" s="9" t="s">
        <v>18</v>
      </c>
      <c r="D383" s="15">
        <v>1</v>
      </c>
      <c r="E383" s="15">
        <v>5</v>
      </c>
      <c r="F383" s="15">
        <v>10</v>
      </c>
    </row>
    <row r="384" spans="1:6" x14ac:dyDescent="0.35">
      <c r="A384" s="9">
        <v>22</v>
      </c>
      <c r="B384" s="9">
        <v>5</v>
      </c>
      <c r="C384" s="9" t="s">
        <v>19</v>
      </c>
      <c r="D384" s="15">
        <v>100</v>
      </c>
      <c r="E384" s="15">
        <v>2500</v>
      </c>
      <c r="F384" s="15">
        <v>5000</v>
      </c>
    </row>
    <row r="385" spans="1:6" x14ac:dyDescent="0.35">
      <c r="A385" s="9">
        <v>22</v>
      </c>
      <c r="B385" s="9">
        <v>6</v>
      </c>
      <c r="C385" s="9" t="s">
        <v>20</v>
      </c>
      <c r="D385" s="15">
        <v>30</v>
      </c>
      <c r="E385" s="15">
        <v>70</v>
      </c>
      <c r="F385" s="15">
        <v>200</v>
      </c>
    </row>
    <row r="386" spans="1:6" x14ac:dyDescent="0.35">
      <c r="A386" s="9">
        <v>22</v>
      </c>
      <c r="B386" s="9">
        <v>7</v>
      </c>
      <c r="C386" s="9" t="s">
        <v>21</v>
      </c>
      <c r="D386" s="15">
        <v>500</v>
      </c>
      <c r="E386" s="15">
        <v>2000</v>
      </c>
      <c r="F386" s="15">
        <v>5000</v>
      </c>
    </row>
    <row r="387" spans="1:6" x14ac:dyDescent="0.35">
      <c r="A387" s="9">
        <v>22</v>
      </c>
      <c r="B387" s="9">
        <v>8</v>
      </c>
      <c r="C387" s="9" t="s">
        <v>22</v>
      </c>
      <c r="D387" s="15">
        <v>5</v>
      </c>
      <c r="E387" s="15">
        <v>10</v>
      </c>
      <c r="F387" s="15">
        <v>15</v>
      </c>
    </row>
    <row r="388" spans="1:6" x14ac:dyDescent="0.35">
      <c r="A388" s="9">
        <v>22</v>
      </c>
      <c r="B388" s="9">
        <v>9</v>
      </c>
      <c r="C388" s="9" t="s">
        <v>23</v>
      </c>
      <c r="D388" s="15">
        <v>100</v>
      </c>
      <c r="E388" s="15">
        <v>300</v>
      </c>
      <c r="F388" s="15">
        <v>500</v>
      </c>
    </row>
    <row r="389" spans="1:6" x14ac:dyDescent="0.35">
      <c r="A389" s="9">
        <v>22</v>
      </c>
      <c r="B389" s="9">
        <v>10</v>
      </c>
      <c r="C389" s="9" t="s">
        <v>24</v>
      </c>
      <c r="D389" s="15">
        <v>500</v>
      </c>
      <c r="E389" s="15">
        <v>1000</v>
      </c>
      <c r="F389" s="15">
        <v>2000</v>
      </c>
    </row>
    <row r="390" spans="1:6" x14ac:dyDescent="0.35">
      <c r="A390" s="9">
        <v>22</v>
      </c>
      <c r="B390" s="9">
        <v>11</v>
      </c>
      <c r="C390" s="9" t="s">
        <v>25</v>
      </c>
      <c r="D390" s="15">
        <v>5</v>
      </c>
      <c r="E390" s="15">
        <v>13</v>
      </c>
      <c r="F390" s="15">
        <v>20</v>
      </c>
    </row>
    <row r="391" spans="1:6" x14ac:dyDescent="0.35">
      <c r="A391" s="9">
        <v>22</v>
      </c>
      <c r="B391" s="9">
        <v>12</v>
      </c>
      <c r="C391" s="9" t="s">
        <v>26</v>
      </c>
      <c r="D391" s="15">
        <v>5</v>
      </c>
      <c r="E391" s="15">
        <v>9</v>
      </c>
      <c r="F391" s="15">
        <v>13</v>
      </c>
    </row>
    <row r="392" spans="1:6" x14ac:dyDescent="0.35">
      <c r="A392" s="9">
        <v>22</v>
      </c>
      <c r="B392" s="9">
        <v>13</v>
      </c>
      <c r="C392" s="9" t="s">
        <v>27</v>
      </c>
      <c r="D392" s="15">
        <v>200</v>
      </c>
      <c r="E392" s="15">
        <v>350</v>
      </c>
      <c r="F392" s="15">
        <v>500</v>
      </c>
    </row>
    <row r="393" spans="1:6" x14ac:dyDescent="0.35">
      <c r="A393" s="9">
        <v>22</v>
      </c>
      <c r="B393" s="9">
        <v>14</v>
      </c>
      <c r="C393" s="9" t="s">
        <v>28</v>
      </c>
      <c r="D393" s="15">
        <v>100</v>
      </c>
      <c r="E393" s="15">
        <v>700</v>
      </c>
      <c r="F393" s="15">
        <v>1500</v>
      </c>
    </row>
    <row r="394" spans="1:6" x14ac:dyDescent="0.35">
      <c r="A394" s="9">
        <v>22</v>
      </c>
      <c r="B394" s="9">
        <v>15</v>
      </c>
      <c r="C394" s="9" t="s">
        <v>29</v>
      </c>
      <c r="D394" s="15">
        <v>100</v>
      </c>
      <c r="E394" s="15">
        <v>300</v>
      </c>
      <c r="F394" s="15">
        <v>600</v>
      </c>
    </row>
    <row r="395" spans="1:6" x14ac:dyDescent="0.35">
      <c r="A395" s="9">
        <v>22</v>
      </c>
      <c r="B395" s="9">
        <v>16</v>
      </c>
      <c r="C395" s="9" t="s">
        <v>30</v>
      </c>
      <c r="D395" s="15">
        <v>7</v>
      </c>
      <c r="E395" s="15">
        <v>9</v>
      </c>
      <c r="F395" s="15">
        <v>12</v>
      </c>
    </row>
    <row r="396" spans="1:6" x14ac:dyDescent="0.35">
      <c r="A396" s="9">
        <v>22</v>
      </c>
      <c r="B396" s="9">
        <v>17</v>
      </c>
      <c r="C396" s="9" t="s">
        <v>31</v>
      </c>
      <c r="D396" s="15">
        <v>100</v>
      </c>
      <c r="E396" s="15">
        <v>300</v>
      </c>
      <c r="F396" s="15">
        <v>600</v>
      </c>
    </row>
    <row r="397" spans="1:6" x14ac:dyDescent="0.35">
      <c r="A397" s="9">
        <v>22</v>
      </c>
      <c r="B397" s="9">
        <v>18</v>
      </c>
      <c r="C397" s="9" t="s">
        <v>32</v>
      </c>
      <c r="D397" s="15">
        <v>1</v>
      </c>
      <c r="E397" s="15">
        <v>100</v>
      </c>
      <c r="F397" s="15">
        <v>200</v>
      </c>
    </row>
    <row r="398" spans="1:6" x14ac:dyDescent="0.35">
      <c r="A398" s="9">
        <v>23</v>
      </c>
      <c r="B398" s="9">
        <v>1</v>
      </c>
      <c r="C398" s="9" t="s">
        <v>15</v>
      </c>
      <c r="D398" s="15">
        <v>40</v>
      </c>
      <c r="E398" s="15">
        <v>50</v>
      </c>
      <c r="F398" s="15">
        <v>85</v>
      </c>
    </row>
    <row r="399" spans="1:6" x14ac:dyDescent="0.35">
      <c r="A399" s="9">
        <v>23</v>
      </c>
      <c r="B399" s="9">
        <v>2</v>
      </c>
      <c r="C399" s="9" t="s">
        <v>16</v>
      </c>
      <c r="D399" s="15">
        <v>15</v>
      </c>
      <c r="E399" s="15">
        <v>20</v>
      </c>
      <c r="F399" s="15">
        <v>25</v>
      </c>
    </row>
    <row r="400" spans="1:6" x14ac:dyDescent="0.35">
      <c r="A400" s="9">
        <v>23</v>
      </c>
      <c r="B400" s="9">
        <v>3</v>
      </c>
      <c r="C400" s="9" t="s">
        <v>17</v>
      </c>
      <c r="D400" s="15">
        <v>5</v>
      </c>
      <c r="E400" s="15">
        <v>10</v>
      </c>
      <c r="F400" s="15">
        <v>25</v>
      </c>
    </row>
    <row r="401" spans="1:6" x14ac:dyDescent="0.35">
      <c r="A401" s="9">
        <v>23</v>
      </c>
      <c r="B401" s="9">
        <v>4</v>
      </c>
      <c r="C401" s="9" t="s">
        <v>18</v>
      </c>
      <c r="D401" s="15">
        <v>1.5</v>
      </c>
      <c r="E401" s="15">
        <v>2.5</v>
      </c>
      <c r="F401" s="15">
        <v>3.5</v>
      </c>
    </row>
    <row r="402" spans="1:6" x14ac:dyDescent="0.35">
      <c r="A402" s="9">
        <v>23</v>
      </c>
      <c r="B402" s="9">
        <v>5</v>
      </c>
      <c r="C402" s="9" t="s">
        <v>19</v>
      </c>
      <c r="D402" s="15">
        <v>1000</v>
      </c>
      <c r="E402" s="15">
        <v>1750</v>
      </c>
      <c r="F402" s="15">
        <v>2500</v>
      </c>
    </row>
    <row r="403" spans="1:6" x14ac:dyDescent="0.35">
      <c r="A403" s="9">
        <v>23</v>
      </c>
      <c r="B403" s="9">
        <v>6</v>
      </c>
      <c r="C403" s="9" t="s">
        <v>20</v>
      </c>
      <c r="D403" s="15">
        <v>15</v>
      </c>
      <c r="E403" s="15">
        <v>20</v>
      </c>
      <c r="F403" s="15">
        <v>35</v>
      </c>
    </row>
    <row r="404" spans="1:6" x14ac:dyDescent="0.35">
      <c r="A404" s="9">
        <v>23</v>
      </c>
      <c r="B404" s="9">
        <v>7</v>
      </c>
      <c r="C404" s="9" t="s">
        <v>21</v>
      </c>
      <c r="D404" s="15">
        <v>1</v>
      </c>
      <c r="E404" s="15">
        <v>3</v>
      </c>
      <c r="F404" s="15">
        <v>15</v>
      </c>
    </row>
    <row r="405" spans="1:6" x14ac:dyDescent="0.35">
      <c r="A405" s="9">
        <v>23</v>
      </c>
      <c r="B405" s="9">
        <v>8</v>
      </c>
      <c r="C405" s="9" t="s">
        <v>22</v>
      </c>
      <c r="D405" s="15">
        <v>15</v>
      </c>
      <c r="E405" s="15">
        <v>35</v>
      </c>
      <c r="F405" s="15">
        <v>55</v>
      </c>
    </row>
    <row r="406" spans="1:6" x14ac:dyDescent="0.35">
      <c r="A406" s="9">
        <v>23</v>
      </c>
      <c r="B406" s="9">
        <v>9</v>
      </c>
      <c r="C406" s="9" t="s">
        <v>23</v>
      </c>
      <c r="D406" s="15">
        <v>20</v>
      </c>
      <c r="E406" s="15">
        <v>30</v>
      </c>
      <c r="F406" s="15">
        <v>50</v>
      </c>
    </row>
    <row r="407" spans="1:6" x14ac:dyDescent="0.35">
      <c r="A407" s="9">
        <v>23</v>
      </c>
      <c r="B407" s="9">
        <v>10</v>
      </c>
      <c r="C407" s="9" t="s">
        <v>24</v>
      </c>
      <c r="D407" s="15">
        <v>1500</v>
      </c>
      <c r="E407" s="15">
        <v>2000</v>
      </c>
      <c r="F407" s="15">
        <v>4000</v>
      </c>
    </row>
    <row r="408" spans="1:6" x14ac:dyDescent="0.35">
      <c r="A408" s="9">
        <v>23</v>
      </c>
      <c r="B408" s="9">
        <v>11</v>
      </c>
      <c r="C408" s="9" t="s">
        <v>25</v>
      </c>
      <c r="D408" s="15">
        <v>3</v>
      </c>
      <c r="E408" s="15">
        <v>5</v>
      </c>
      <c r="F408" s="15">
        <v>10</v>
      </c>
    </row>
    <row r="409" spans="1:6" x14ac:dyDescent="0.35">
      <c r="A409" s="9">
        <v>23</v>
      </c>
      <c r="B409" s="9">
        <v>12</v>
      </c>
      <c r="C409" s="9" t="s">
        <v>26</v>
      </c>
      <c r="D409" s="15">
        <v>7</v>
      </c>
      <c r="E409" s="15">
        <v>12</v>
      </c>
      <c r="F409" s="15">
        <v>20</v>
      </c>
    </row>
    <row r="410" spans="1:6" x14ac:dyDescent="0.35">
      <c r="A410" s="9">
        <v>23</v>
      </c>
      <c r="B410" s="9">
        <v>13</v>
      </c>
      <c r="C410" s="9" t="s">
        <v>27</v>
      </c>
      <c r="D410" s="15">
        <v>100</v>
      </c>
      <c r="E410" s="15">
        <v>150</v>
      </c>
      <c r="F410" s="15">
        <v>200</v>
      </c>
    </row>
    <row r="411" spans="1:6" x14ac:dyDescent="0.35">
      <c r="A411" s="9">
        <v>23</v>
      </c>
      <c r="B411" s="9">
        <v>14</v>
      </c>
      <c r="C411" s="9" t="s">
        <v>28</v>
      </c>
      <c r="D411" s="15">
        <v>500</v>
      </c>
      <c r="E411" s="15">
        <v>2000</v>
      </c>
      <c r="F411" s="15">
        <v>3000</v>
      </c>
    </row>
    <row r="412" spans="1:6" x14ac:dyDescent="0.35">
      <c r="A412" s="9">
        <v>23</v>
      </c>
      <c r="B412" s="9">
        <v>15</v>
      </c>
      <c r="C412" s="9" t="s">
        <v>29</v>
      </c>
      <c r="D412" s="15">
        <v>200</v>
      </c>
      <c r="E412" s="15">
        <v>250</v>
      </c>
      <c r="F412" s="15">
        <v>500</v>
      </c>
    </row>
    <row r="413" spans="1:6" x14ac:dyDescent="0.35">
      <c r="A413" s="9">
        <v>23</v>
      </c>
      <c r="B413" s="9">
        <v>16</v>
      </c>
      <c r="C413" s="9" t="s">
        <v>30</v>
      </c>
      <c r="D413" s="15">
        <v>6</v>
      </c>
      <c r="E413" s="15">
        <v>8</v>
      </c>
      <c r="F413" s="15">
        <v>10</v>
      </c>
    </row>
    <row r="414" spans="1:6" x14ac:dyDescent="0.35">
      <c r="A414" s="9">
        <v>23</v>
      </c>
      <c r="B414" s="9">
        <v>17</v>
      </c>
      <c r="C414" s="9" t="s">
        <v>31</v>
      </c>
      <c r="D414" s="15">
        <v>500</v>
      </c>
      <c r="E414" s="15">
        <v>1500</v>
      </c>
      <c r="F414" s="15">
        <v>2500</v>
      </c>
    </row>
    <row r="415" spans="1:6" x14ac:dyDescent="0.35">
      <c r="A415" s="9">
        <v>23</v>
      </c>
      <c r="B415" s="9">
        <v>18</v>
      </c>
      <c r="C415" s="9" t="s">
        <v>32</v>
      </c>
      <c r="D415" s="15">
        <v>5</v>
      </c>
      <c r="E415" s="15">
        <v>35</v>
      </c>
      <c r="F415" s="15">
        <v>50</v>
      </c>
    </row>
    <row r="416" spans="1:6" x14ac:dyDescent="0.35">
      <c r="A416" s="9">
        <v>24</v>
      </c>
      <c r="B416" s="9">
        <v>1</v>
      </c>
      <c r="C416" s="9" t="s">
        <v>15</v>
      </c>
      <c r="D416" s="15">
        <v>15</v>
      </c>
      <c r="E416" s="15">
        <v>35</v>
      </c>
      <c r="F416" s="15">
        <v>42</v>
      </c>
    </row>
    <row r="417" spans="1:6" x14ac:dyDescent="0.35">
      <c r="A417" s="9">
        <v>24</v>
      </c>
      <c r="B417" s="9">
        <v>2</v>
      </c>
      <c r="C417" s="9" t="s">
        <v>16</v>
      </c>
      <c r="D417" s="15">
        <v>40</v>
      </c>
      <c r="E417" s="15">
        <v>60</v>
      </c>
      <c r="F417" s="15">
        <v>150</v>
      </c>
    </row>
    <row r="418" spans="1:6" x14ac:dyDescent="0.35">
      <c r="A418" s="9">
        <v>24</v>
      </c>
      <c r="B418" s="9">
        <v>3</v>
      </c>
      <c r="C418" s="9" t="s">
        <v>17</v>
      </c>
      <c r="D418" s="15">
        <v>1</v>
      </c>
      <c r="E418" s="15">
        <v>4</v>
      </c>
      <c r="F418" s="15">
        <v>10</v>
      </c>
    </row>
    <row r="419" spans="1:6" x14ac:dyDescent="0.35">
      <c r="A419" s="9">
        <v>24</v>
      </c>
      <c r="B419" s="9">
        <v>4</v>
      </c>
      <c r="C419" s="9" t="s">
        <v>18</v>
      </c>
      <c r="D419" s="15">
        <v>8</v>
      </c>
      <c r="E419" s="15">
        <v>12</v>
      </c>
      <c r="F419" s="15">
        <v>18</v>
      </c>
    </row>
    <row r="420" spans="1:6" x14ac:dyDescent="0.35">
      <c r="A420" s="9">
        <v>24</v>
      </c>
      <c r="B420" s="9">
        <v>5</v>
      </c>
      <c r="C420" s="9" t="s">
        <v>19</v>
      </c>
      <c r="D420" s="15">
        <v>2000</v>
      </c>
      <c r="E420" s="15">
        <v>5000</v>
      </c>
      <c r="F420" s="15">
        <v>9000</v>
      </c>
    </row>
    <row r="421" spans="1:6" x14ac:dyDescent="0.35">
      <c r="A421" s="9">
        <v>24</v>
      </c>
      <c r="B421" s="9">
        <v>6</v>
      </c>
      <c r="C421" s="9" t="s">
        <v>20</v>
      </c>
      <c r="D421" s="15">
        <v>20</v>
      </c>
      <c r="E421" s="15">
        <v>40</v>
      </c>
      <c r="F421" s="15">
        <v>65</v>
      </c>
    </row>
    <row r="422" spans="1:6" x14ac:dyDescent="0.35">
      <c r="A422" s="9">
        <v>24</v>
      </c>
      <c r="B422" s="9">
        <v>7</v>
      </c>
      <c r="C422" s="9" t="s">
        <v>21</v>
      </c>
      <c r="D422" s="15">
        <v>4</v>
      </c>
      <c r="E422" s="15">
        <v>15</v>
      </c>
      <c r="F422" s="15">
        <v>40</v>
      </c>
    </row>
    <row r="423" spans="1:6" x14ac:dyDescent="0.35">
      <c r="A423" s="9">
        <v>24</v>
      </c>
      <c r="B423" s="9">
        <v>8</v>
      </c>
      <c r="C423" s="9" t="s">
        <v>22</v>
      </c>
      <c r="D423" s="15">
        <v>1E-3</v>
      </c>
      <c r="E423" s="15">
        <v>10</v>
      </c>
      <c r="F423" s="15">
        <v>25</v>
      </c>
    </row>
    <row r="424" spans="1:6" x14ac:dyDescent="0.35">
      <c r="A424" s="9">
        <v>24</v>
      </c>
      <c r="B424" s="9">
        <v>9</v>
      </c>
      <c r="C424" s="9" t="s">
        <v>23</v>
      </c>
      <c r="D424" s="15">
        <v>10</v>
      </c>
      <c r="E424" s="15">
        <v>40</v>
      </c>
      <c r="F424" s="15">
        <v>80</v>
      </c>
    </row>
    <row r="425" spans="1:6" x14ac:dyDescent="0.35">
      <c r="A425" s="9">
        <v>24</v>
      </c>
      <c r="B425" s="9">
        <v>10</v>
      </c>
      <c r="C425" s="9" t="s">
        <v>24</v>
      </c>
      <c r="D425" s="15">
        <v>300</v>
      </c>
      <c r="E425" s="15">
        <v>400</v>
      </c>
      <c r="F425" s="15">
        <v>1100</v>
      </c>
    </row>
    <row r="426" spans="1:6" x14ac:dyDescent="0.35">
      <c r="A426" s="9">
        <v>24</v>
      </c>
      <c r="B426" s="9">
        <v>11</v>
      </c>
      <c r="C426" s="9" t="s">
        <v>25</v>
      </c>
      <c r="D426" s="15">
        <v>3</v>
      </c>
      <c r="E426" s="15">
        <v>4</v>
      </c>
      <c r="F426" s="15">
        <v>8</v>
      </c>
    </row>
    <row r="427" spans="1:6" x14ac:dyDescent="0.35">
      <c r="A427" s="9">
        <v>24</v>
      </c>
      <c r="B427" s="9">
        <v>12</v>
      </c>
      <c r="C427" s="9" t="s">
        <v>26</v>
      </c>
      <c r="D427" s="15">
        <v>7</v>
      </c>
      <c r="E427" s="15">
        <v>12</v>
      </c>
      <c r="F427" s="15">
        <v>20</v>
      </c>
    </row>
    <row r="428" spans="1:6" x14ac:dyDescent="0.35">
      <c r="A428" s="9">
        <v>24</v>
      </c>
      <c r="B428" s="9">
        <v>13</v>
      </c>
      <c r="C428" s="9" t="s">
        <v>27</v>
      </c>
      <c r="D428" s="15">
        <v>90</v>
      </c>
      <c r="E428" s="15">
        <v>130</v>
      </c>
      <c r="F428" s="15">
        <v>200</v>
      </c>
    </row>
    <row r="429" spans="1:6" x14ac:dyDescent="0.35">
      <c r="A429" s="9">
        <v>24</v>
      </c>
      <c r="B429" s="9">
        <v>14</v>
      </c>
      <c r="C429" s="9" t="s">
        <v>28</v>
      </c>
      <c r="D429" s="15">
        <v>2000</v>
      </c>
      <c r="E429" s="15">
        <v>4500</v>
      </c>
      <c r="F429" s="15">
        <v>9000</v>
      </c>
    </row>
    <row r="430" spans="1:6" x14ac:dyDescent="0.35">
      <c r="A430" s="9">
        <v>24</v>
      </c>
      <c r="B430" s="9">
        <v>15</v>
      </c>
      <c r="C430" s="9" t="s">
        <v>29</v>
      </c>
      <c r="D430" s="15">
        <v>250</v>
      </c>
      <c r="E430" s="15">
        <v>600</v>
      </c>
      <c r="F430" s="15">
        <v>1000</v>
      </c>
    </row>
    <row r="431" spans="1:6" x14ac:dyDescent="0.35">
      <c r="A431" s="9">
        <v>24</v>
      </c>
      <c r="B431" s="9">
        <v>16</v>
      </c>
      <c r="C431" s="9" t="s">
        <v>30</v>
      </c>
      <c r="D431" s="15">
        <v>7</v>
      </c>
      <c r="E431" s="15">
        <v>9</v>
      </c>
      <c r="F431" s="15">
        <v>13</v>
      </c>
    </row>
    <row r="432" spans="1:6" x14ac:dyDescent="0.35">
      <c r="A432" s="9">
        <v>24</v>
      </c>
      <c r="B432" s="9">
        <v>17</v>
      </c>
      <c r="C432" s="9" t="s">
        <v>31</v>
      </c>
      <c r="D432" s="15">
        <v>220</v>
      </c>
      <c r="E432" s="15">
        <v>325</v>
      </c>
      <c r="F432" s="15">
        <v>500</v>
      </c>
    </row>
    <row r="433" spans="1:6" x14ac:dyDescent="0.35">
      <c r="A433" s="9">
        <v>24</v>
      </c>
      <c r="B433" s="9">
        <v>18</v>
      </c>
      <c r="C433" s="9" t="s">
        <v>32</v>
      </c>
      <c r="D433" s="15">
        <v>6</v>
      </c>
      <c r="E433" s="15">
        <v>12</v>
      </c>
      <c r="F433" s="15">
        <v>20</v>
      </c>
    </row>
    <row r="434" spans="1:6" x14ac:dyDescent="0.35">
      <c r="A434" s="9">
        <v>25</v>
      </c>
      <c r="B434" s="9">
        <v>1</v>
      </c>
      <c r="C434" s="9" t="s">
        <v>15</v>
      </c>
      <c r="D434" s="15">
        <v>10</v>
      </c>
      <c r="E434" s="15">
        <v>30</v>
      </c>
      <c r="F434" s="15">
        <v>45</v>
      </c>
    </row>
    <row r="435" spans="1:6" x14ac:dyDescent="0.35">
      <c r="A435" s="9">
        <v>25</v>
      </c>
      <c r="B435" s="9">
        <v>2</v>
      </c>
      <c r="C435" s="9" t="s">
        <v>16</v>
      </c>
      <c r="D435" s="15">
        <v>25</v>
      </c>
      <c r="E435" s="15">
        <v>50</v>
      </c>
      <c r="F435" s="15">
        <v>75</v>
      </c>
    </row>
    <row r="436" spans="1:6" x14ac:dyDescent="0.35">
      <c r="A436" s="9">
        <v>25</v>
      </c>
      <c r="B436" s="9">
        <v>3</v>
      </c>
      <c r="C436" s="9" t="s">
        <v>17</v>
      </c>
      <c r="D436" s="15">
        <v>2</v>
      </c>
      <c r="E436" s="15">
        <v>6</v>
      </c>
      <c r="F436" s="15">
        <v>10</v>
      </c>
    </row>
    <row r="437" spans="1:6" x14ac:dyDescent="0.35">
      <c r="A437" s="9">
        <v>25</v>
      </c>
      <c r="B437" s="9">
        <v>4</v>
      </c>
      <c r="C437" s="9" t="s">
        <v>18</v>
      </c>
      <c r="D437" s="15">
        <v>7</v>
      </c>
      <c r="E437" s="15">
        <v>12</v>
      </c>
      <c r="F437" s="15">
        <v>20</v>
      </c>
    </row>
    <row r="438" spans="1:6" x14ac:dyDescent="0.35">
      <c r="A438" s="9">
        <v>25</v>
      </c>
      <c r="B438" s="9">
        <v>5</v>
      </c>
      <c r="C438" s="9" t="s">
        <v>19</v>
      </c>
      <c r="D438" s="15">
        <v>500</v>
      </c>
      <c r="E438" s="15">
        <v>1500</v>
      </c>
      <c r="F438" s="15">
        <v>2000</v>
      </c>
    </row>
    <row r="439" spans="1:6" x14ac:dyDescent="0.35">
      <c r="A439" s="9">
        <v>25</v>
      </c>
      <c r="B439" s="9">
        <v>6</v>
      </c>
      <c r="C439" s="9" t="s">
        <v>20</v>
      </c>
      <c r="D439" s="15">
        <v>45</v>
      </c>
      <c r="E439" s="15">
        <v>180</v>
      </c>
      <c r="F439" s="15">
        <v>365</v>
      </c>
    </row>
    <row r="440" spans="1:6" x14ac:dyDescent="0.35">
      <c r="A440" s="9">
        <v>25</v>
      </c>
      <c r="B440" s="9">
        <v>7</v>
      </c>
      <c r="C440" s="9" t="s">
        <v>21</v>
      </c>
      <c r="D440" s="15">
        <v>260</v>
      </c>
      <c r="E440" s="15">
        <v>800</v>
      </c>
      <c r="F440" s="15">
        <v>1825</v>
      </c>
    </row>
    <row r="441" spans="1:6" x14ac:dyDescent="0.35">
      <c r="A441" s="9">
        <v>25</v>
      </c>
      <c r="B441" s="9">
        <v>8</v>
      </c>
      <c r="C441" s="9" t="s">
        <v>22</v>
      </c>
      <c r="D441" s="15">
        <v>40</v>
      </c>
      <c r="E441" s="15">
        <v>55</v>
      </c>
      <c r="F441" s="15">
        <v>70</v>
      </c>
    </row>
    <row r="442" spans="1:6" x14ac:dyDescent="0.35">
      <c r="A442" s="9">
        <v>25</v>
      </c>
      <c r="B442" s="9">
        <v>9</v>
      </c>
      <c r="C442" s="9" t="s">
        <v>23</v>
      </c>
      <c r="D442" s="15">
        <v>0.15</v>
      </c>
      <c r="E442" s="15">
        <v>0.2</v>
      </c>
      <c r="F442" s="15">
        <v>0.25</v>
      </c>
    </row>
    <row r="443" spans="1:6" x14ac:dyDescent="0.35">
      <c r="A443" s="9">
        <v>25</v>
      </c>
      <c r="B443" s="9">
        <v>10</v>
      </c>
      <c r="C443" s="9" t="s">
        <v>24</v>
      </c>
      <c r="D443" s="15">
        <v>500</v>
      </c>
      <c r="E443" s="15">
        <v>750</v>
      </c>
      <c r="F443" s="15">
        <v>1000</v>
      </c>
    </row>
    <row r="444" spans="1:6" x14ac:dyDescent="0.35">
      <c r="A444" s="9">
        <v>25</v>
      </c>
      <c r="B444" s="9">
        <v>11</v>
      </c>
      <c r="C444" s="9" t="s">
        <v>25</v>
      </c>
      <c r="D444" s="15">
        <v>0.25</v>
      </c>
      <c r="E444" s="15">
        <v>0.5</v>
      </c>
      <c r="F444" s="15">
        <v>0.8</v>
      </c>
    </row>
    <row r="445" spans="1:6" x14ac:dyDescent="0.35">
      <c r="A445" s="9">
        <v>25</v>
      </c>
      <c r="B445" s="9">
        <v>12</v>
      </c>
      <c r="C445" s="9" t="s">
        <v>26</v>
      </c>
      <c r="D445" s="15">
        <v>5</v>
      </c>
      <c r="E445" s="15">
        <v>7</v>
      </c>
      <c r="F445" s="15">
        <v>10</v>
      </c>
    </row>
    <row r="446" spans="1:6" x14ac:dyDescent="0.35">
      <c r="A446" s="9">
        <v>25</v>
      </c>
      <c r="B446" s="9">
        <v>13</v>
      </c>
      <c r="C446" s="9" t="s">
        <v>27</v>
      </c>
      <c r="D446" s="15">
        <v>150</v>
      </c>
      <c r="E446" s="15">
        <v>180</v>
      </c>
      <c r="F446" s="15">
        <v>250</v>
      </c>
    </row>
    <row r="447" spans="1:6" x14ac:dyDescent="0.35">
      <c r="A447" s="9">
        <v>25</v>
      </c>
      <c r="B447" s="9">
        <v>14</v>
      </c>
      <c r="C447" s="9" t="s">
        <v>28</v>
      </c>
      <c r="D447" s="15">
        <v>60</v>
      </c>
      <c r="E447" s="15">
        <v>100</v>
      </c>
      <c r="F447" s="15">
        <v>120</v>
      </c>
    </row>
    <row r="448" spans="1:6" x14ac:dyDescent="0.35">
      <c r="A448" s="9">
        <v>25</v>
      </c>
      <c r="B448" s="9">
        <v>15</v>
      </c>
      <c r="C448" s="9" t="s">
        <v>29</v>
      </c>
      <c r="D448" s="15">
        <v>52</v>
      </c>
      <c r="E448" s="15">
        <v>60</v>
      </c>
      <c r="F448" s="15">
        <v>75</v>
      </c>
    </row>
    <row r="449" spans="1:6" x14ac:dyDescent="0.35">
      <c r="A449" s="9">
        <v>25</v>
      </c>
      <c r="B449" s="9">
        <v>16</v>
      </c>
      <c r="C449" s="9" t="s">
        <v>30</v>
      </c>
      <c r="D449" s="15">
        <v>10</v>
      </c>
      <c r="E449" s="15">
        <v>12</v>
      </c>
      <c r="F449" s="15">
        <v>14</v>
      </c>
    </row>
    <row r="450" spans="1:6" x14ac:dyDescent="0.35">
      <c r="A450" s="9">
        <v>25</v>
      </c>
      <c r="B450" s="9">
        <v>17</v>
      </c>
      <c r="C450" s="9" t="s">
        <v>31</v>
      </c>
      <c r="D450" s="15">
        <v>150</v>
      </c>
      <c r="E450" s="15">
        <v>300</v>
      </c>
      <c r="F450" s="15">
        <v>600</v>
      </c>
    </row>
    <row r="451" spans="1:6" x14ac:dyDescent="0.35">
      <c r="A451" s="9">
        <v>25</v>
      </c>
      <c r="B451" s="9">
        <v>18</v>
      </c>
      <c r="C451" s="9" t="s">
        <v>32</v>
      </c>
      <c r="D451" s="15">
        <v>2</v>
      </c>
      <c r="E451" s="15">
        <v>4</v>
      </c>
      <c r="F451" s="15">
        <v>20</v>
      </c>
    </row>
    <row r="452" spans="1:6" x14ac:dyDescent="0.35">
      <c r="A452" s="9">
        <v>26</v>
      </c>
      <c r="B452" s="9">
        <v>1</v>
      </c>
      <c r="C452" s="9" t="s">
        <v>15</v>
      </c>
      <c r="D452" s="15">
        <v>1</v>
      </c>
      <c r="E452" s="15">
        <v>4</v>
      </c>
      <c r="F452" s="15">
        <v>10</v>
      </c>
    </row>
    <row r="453" spans="1:6" x14ac:dyDescent="0.35">
      <c r="A453" s="9">
        <v>26</v>
      </c>
      <c r="B453" s="9">
        <v>2</v>
      </c>
      <c r="C453" s="9" t="s">
        <v>16</v>
      </c>
      <c r="D453" s="15">
        <v>2</v>
      </c>
      <c r="E453" s="15">
        <v>50</v>
      </c>
      <c r="F453" s="15">
        <v>80</v>
      </c>
    </row>
    <row r="454" spans="1:6" x14ac:dyDescent="0.35">
      <c r="A454" s="9">
        <v>26</v>
      </c>
      <c r="B454" s="9">
        <v>3</v>
      </c>
      <c r="C454" s="9" t="s">
        <v>17</v>
      </c>
      <c r="D454" s="15">
        <v>0.25</v>
      </c>
      <c r="E454" s="15">
        <v>4</v>
      </c>
      <c r="F454" s="15">
        <v>15</v>
      </c>
    </row>
    <row r="455" spans="1:6" x14ac:dyDescent="0.35">
      <c r="A455" s="9">
        <v>26</v>
      </c>
      <c r="B455" s="9">
        <v>4</v>
      </c>
      <c r="C455" s="9" t="s">
        <v>18</v>
      </c>
      <c r="D455" s="15">
        <v>2</v>
      </c>
      <c r="E455" s="15">
        <v>8</v>
      </c>
      <c r="F455" s="15">
        <v>15</v>
      </c>
    </row>
    <row r="456" spans="1:6" x14ac:dyDescent="0.35">
      <c r="A456" s="9">
        <v>26</v>
      </c>
      <c r="B456" s="9">
        <v>5</v>
      </c>
      <c r="C456" s="9" t="s">
        <v>19</v>
      </c>
      <c r="D456" s="15">
        <v>50</v>
      </c>
      <c r="E456" s="15">
        <v>1500</v>
      </c>
      <c r="F456" s="15">
        <v>5000</v>
      </c>
    </row>
    <row r="457" spans="1:6" x14ac:dyDescent="0.35">
      <c r="A457" s="9">
        <v>26</v>
      </c>
      <c r="B457" s="9">
        <v>6</v>
      </c>
      <c r="C457" s="9" t="s">
        <v>20</v>
      </c>
      <c r="D457" s="15">
        <v>1</v>
      </c>
      <c r="E457" s="15">
        <v>25</v>
      </c>
      <c r="F457" s="15">
        <v>100</v>
      </c>
    </row>
    <row r="458" spans="1:6" x14ac:dyDescent="0.35">
      <c r="A458" s="9">
        <v>26</v>
      </c>
      <c r="B458" s="9">
        <v>7</v>
      </c>
      <c r="C458" s="9" t="s">
        <v>21</v>
      </c>
      <c r="D458" s="15">
        <v>35</v>
      </c>
      <c r="E458" s="15">
        <v>90</v>
      </c>
      <c r="F458" s="15">
        <v>1000</v>
      </c>
    </row>
    <row r="459" spans="1:6" x14ac:dyDescent="0.35">
      <c r="A459" s="9">
        <v>26</v>
      </c>
      <c r="B459" s="9">
        <v>8</v>
      </c>
      <c r="C459" s="9" t="s">
        <v>22</v>
      </c>
      <c r="D459" s="15">
        <v>2</v>
      </c>
      <c r="E459" s="15">
        <v>4</v>
      </c>
      <c r="F459" s="15">
        <v>20</v>
      </c>
    </row>
    <row r="460" spans="1:6" x14ac:dyDescent="0.35">
      <c r="A460" s="9">
        <v>26</v>
      </c>
      <c r="B460" s="9">
        <v>9</v>
      </c>
      <c r="C460" s="9" t="s">
        <v>23</v>
      </c>
      <c r="D460" s="15">
        <v>2</v>
      </c>
      <c r="E460" s="15">
        <v>4</v>
      </c>
      <c r="F460" s="15">
        <v>10</v>
      </c>
    </row>
    <row r="461" spans="1:6" x14ac:dyDescent="0.35">
      <c r="A461" s="9">
        <v>26</v>
      </c>
      <c r="B461" s="9">
        <v>10</v>
      </c>
      <c r="C461" s="9" t="s">
        <v>24</v>
      </c>
      <c r="D461" s="15">
        <v>100</v>
      </c>
      <c r="E461" s="15">
        <v>800</v>
      </c>
      <c r="F461" s="15">
        <v>2000</v>
      </c>
    </row>
    <row r="462" spans="1:6" x14ac:dyDescent="0.35">
      <c r="A462" s="9">
        <v>26</v>
      </c>
      <c r="B462" s="9">
        <v>11</v>
      </c>
      <c r="C462" s="9" t="s">
        <v>25</v>
      </c>
      <c r="D462" s="15">
        <v>2</v>
      </c>
      <c r="E462" s="15">
        <v>30</v>
      </c>
      <c r="F462" s="15">
        <v>40</v>
      </c>
    </row>
    <row r="463" spans="1:6" x14ac:dyDescent="0.35">
      <c r="A463" s="9">
        <v>26</v>
      </c>
      <c r="B463" s="9">
        <v>12</v>
      </c>
      <c r="C463" s="9" t="s">
        <v>26</v>
      </c>
      <c r="D463" s="15">
        <v>5</v>
      </c>
      <c r="E463" s="15">
        <v>10</v>
      </c>
      <c r="F463" s="15">
        <v>15</v>
      </c>
    </row>
    <row r="464" spans="1:6" x14ac:dyDescent="0.35">
      <c r="A464" s="9">
        <v>26</v>
      </c>
      <c r="B464" s="9">
        <v>13</v>
      </c>
      <c r="C464" s="9" t="s">
        <v>27</v>
      </c>
      <c r="D464" s="15">
        <v>150</v>
      </c>
      <c r="E464" s="15">
        <v>300</v>
      </c>
      <c r="F464" s="15">
        <v>400</v>
      </c>
    </row>
    <row r="465" spans="1:6" x14ac:dyDescent="0.35">
      <c r="A465" s="9">
        <v>26</v>
      </c>
      <c r="B465" s="9">
        <v>14</v>
      </c>
      <c r="C465" s="9" t="s">
        <v>28</v>
      </c>
      <c r="D465" s="15">
        <v>1</v>
      </c>
      <c r="E465" s="15">
        <v>8</v>
      </c>
      <c r="F465" s="15">
        <v>12</v>
      </c>
    </row>
    <row r="466" spans="1:6" x14ac:dyDescent="0.35">
      <c r="A466" s="9">
        <v>26</v>
      </c>
      <c r="B466" s="9">
        <v>15</v>
      </c>
      <c r="C466" s="9" t="s">
        <v>29</v>
      </c>
      <c r="D466" s="15">
        <v>12</v>
      </c>
      <c r="E466" s="15">
        <v>25</v>
      </c>
      <c r="F466" s="15">
        <v>60</v>
      </c>
    </row>
    <row r="467" spans="1:6" x14ac:dyDescent="0.35">
      <c r="A467" s="9">
        <v>26</v>
      </c>
      <c r="B467" s="9">
        <v>16</v>
      </c>
      <c r="C467" s="9" t="s">
        <v>30</v>
      </c>
      <c r="D467" s="15">
        <v>6</v>
      </c>
      <c r="E467" s="15">
        <v>9</v>
      </c>
      <c r="F467" s="15">
        <v>12</v>
      </c>
    </row>
    <row r="468" spans="1:6" x14ac:dyDescent="0.35">
      <c r="A468" s="9">
        <v>26</v>
      </c>
      <c r="B468" s="9">
        <v>17</v>
      </c>
      <c r="C468" s="9" t="s">
        <v>31</v>
      </c>
      <c r="D468" s="15">
        <v>20</v>
      </c>
      <c r="E468" s="15">
        <v>50</v>
      </c>
      <c r="F468" s="15">
        <v>300</v>
      </c>
    </row>
    <row r="469" spans="1:6" x14ac:dyDescent="0.35">
      <c r="A469" s="9">
        <v>26</v>
      </c>
      <c r="B469" s="9">
        <v>18</v>
      </c>
      <c r="C469" s="9" t="s">
        <v>32</v>
      </c>
      <c r="D469" s="15">
        <v>4</v>
      </c>
      <c r="E469" s="15">
        <v>70</v>
      </c>
      <c r="F469" s="15">
        <v>100</v>
      </c>
    </row>
    <row r="470" spans="1:6" x14ac:dyDescent="0.35">
      <c r="A470" s="9">
        <v>27</v>
      </c>
      <c r="B470" s="9">
        <v>1</v>
      </c>
      <c r="C470" s="9" t="s">
        <v>15</v>
      </c>
      <c r="D470" s="15">
        <v>1E-4</v>
      </c>
      <c r="E470" s="15">
        <v>1E-3</v>
      </c>
      <c r="F470" s="15">
        <v>0.01</v>
      </c>
    </row>
    <row r="471" spans="1:6" x14ac:dyDescent="0.35">
      <c r="A471" s="9">
        <v>27</v>
      </c>
      <c r="B471" s="9">
        <v>2</v>
      </c>
      <c r="C471" s="9" t="s">
        <v>16</v>
      </c>
      <c r="D471" s="15">
        <v>0.1</v>
      </c>
      <c r="E471" s="15">
        <v>2</v>
      </c>
      <c r="F471" s="15">
        <v>10</v>
      </c>
    </row>
    <row r="472" spans="1:6" x14ac:dyDescent="0.35">
      <c r="A472" s="9">
        <v>27</v>
      </c>
      <c r="B472" s="9">
        <v>3</v>
      </c>
      <c r="C472" s="9" t="s">
        <v>17</v>
      </c>
      <c r="D472" s="15">
        <v>2</v>
      </c>
      <c r="E472" s="15">
        <v>10</v>
      </c>
      <c r="F472" s="15">
        <v>20</v>
      </c>
    </row>
    <row r="473" spans="1:6" x14ac:dyDescent="0.35">
      <c r="A473" s="9">
        <v>27</v>
      </c>
      <c r="B473" s="9">
        <v>4</v>
      </c>
      <c r="C473" s="9" t="s">
        <v>18</v>
      </c>
      <c r="D473" s="15">
        <v>1</v>
      </c>
      <c r="E473" s="15">
        <v>5</v>
      </c>
      <c r="F473" s="15">
        <v>10</v>
      </c>
    </row>
    <row r="474" spans="1:6" x14ac:dyDescent="0.35">
      <c r="A474" s="9">
        <v>27</v>
      </c>
      <c r="B474" s="9">
        <v>5</v>
      </c>
      <c r="C474" s="9" t="s">
        <v>19</v>
      </c>
      <c r="D474" s="15">
        <v>20</v>
      </c>
      <c r="E474" s="15">
        <v>300</v>
      </c>
      <c r="F474" s="15">
        <v>500</v>
      </c>
    </row>
    <row r="475" spans="1:6" x14ac:dyDescent="0.35">
      <c r="A475" s="9">
        <v>27</v>
      </c>
      <c r="B475" s="9">
        <v>6</v>
      </c>
      <c r="C475" s="9" t="s">
        <v>20</v>
      </c>
      <c r="D475" s="15">
        <v>20</v>
      </c>
      <c r="E475" s="15">
        <v>30</v>
      </c>
      <c r="F475" s="15">
        <v>150</v>
      </c>
    </row>
    <row r="476" spans="1:6" x14ac:dyDescent="0.35">
      <c r="A476" s="9">
        <v>27</v>
      </c>
      <c r="B476" s="9">
        <v>7</v>
      </c>
      <c r="C476" s="9" t="s">
        <v>21</v>
      </c>
      <c r="D476" s="15">
        <v>10</v>
      </c>
      <c r="E476" s="15">
        <v>100</v>
      </c>
      <c r="F476" s="15">
        <v>250</v>
      </c>
    </row>
    <row r="477" spans="1:6" x14ac:dyDescent="0.35">
      <c r="A477" s="9">
        <v>27</v>
      </c>
      <c r="B477" s="9">
        <v>8</v>
      </c>
      <c r="C477" s="9" t="s">
        <v>22</v>
      </c>
      <c r="D477" s="15">
        <v>60</v>
      </c>
      <c r="E477" s="15">
        <v>80</v>
      </c>
      <c r="F477" s="15">
        <v>95</v>
      </c>
    </row>
    <row r="478" spans="1:6" x14ac:dyDescent="0.35">
      <c r="A478" s="9">
        <v>27</v>
      </c>
      <c r="B478" s="9">
        <v>9</v>
      </c>
      <c r="C478" s="9" t="s">
        <v>23</v>
      </c>
      <c r="D478" s="15">
        <v>0.5</v>
      </c>
      <c r="E478" s="15">
        <v>2</v>
      </c>
      <c r="F478" s="15">
        <v>3</v>
      </c>
    </row>
    <row r="479" spans="1:6" x14ac:dyDescent="0.35">
      <c r="A479" s="9">
        <v>27</v>
      </c>
      <c r="B479" s="9">
        <v>10</v>
      </c>
      <c r="C479" s="9" t="s">
        <v>24</v>
      </c>
      <c r="D479" s="15">
        <v>200</v>
      </c>
      <c r="E479" s="15">
        <v>500</v>
      </c>
      <c r="F479" s="15">
        <v>1000</v>
      </c>
    </row>
    <row r="480" spans="1:6" x14ac:dyDescent="0.35">
      <c r="A480" s="9">
        <v>27</v>
      </c>
      <c r="B480" s="9">
        <v>11</v>
      </c>
      <c r="C480" s="9" t="s">
        <v>25</v>
      </c>
      <c r="D480" s="15">
        <v>10</v>
      </c>
      <c r="E480" s="15">
        <v>30</v>
      </c>
      <c r="F480" s="15">
        <v>100</v>
      </c>
    </row>
    <row r="481" spans="1:6" x14ac:dyDescent="0.35">
      <c r="A481" s="9">
        <v>27</v>
      </c>
      <c r="B481" s="9">
        <v>12</v>
      </c>
      <c r="C481" s="9" t="s">
        <v>26</v>
      </c>
      <c r="D481" s="15">
        <v>10</v>
      </c>
      <c r="E481" s="15">
        <v>20</v>
      </c>
      <c r="F481" s="15">
        <v>30</v>
      </c>
    </row>
    <row r="482" spans="1:6" x14ac:dyDescent="0.35">
      <c r="A482" s="9">
        <v>27</v>
      </c>
      <c r="B482" s="9">
        <v>13</v>
      </c>
      <c r="C482" s="9" t="s">
        <v>27</v>
      </c>
      <c r="D482" s="15">
        <v>2000</v>
      </c>
      <c r="E482" s="15">
        <v>5000</v>
      </c>
      <c r="F482" s="15">
        <v>8000</v>
      </c>
    </row>
    <row r="483" spans="1:6" x14ac:dyDescent="0.35">
      <c r="A483" s="9">
        <v>27</v>
      </c>
      <c r="B483" s="9">
        <v>14</v>
      </c>
      <c r="C483" s="9" t="s">
        <v>28</v>
      </c>
      <c r="D483" s="15">
        <v>10</v>
      </c>
      <c r="E483" s="15">
        <v>20</v>
      </c>
      <c r="F483" s="15">
        <v>100</v>
      </c>
    </row>
    <row r="484" spans="1:6" x14ac:dyDescent="0.35">
      <c r="A484" s="9">
        <v>27</v>
      </c>
      <c r="B484" s="9">
        <v>15</v>
      </c>
      <c r="C484" s="9" t="s">
        <v>29</v>
      </c>
      <c r="D484" s="15">
        <v>200</v>
      </c>
      <c r="E484" s="15">
        <v>2000</v>
      </c>
      <c r="F484" s="15">
        <v>6000</v>
      </c>
    </row>
    <row r="485" spans="1:6" x14ac:dyDescent="0.35">
      <c r="A485" s="9">
        <v>27</v>
      </c>
      <c r="B485" s="9">
        <v>16</v>
      </c>
      <c r="C485" s="9" t="s">
        <v>30</v>
      </c>
      <c r="D485" s="15">
        <v>8</v>
      </c>
      <c r="E485" s="15">
        <v>14</v>
      </c>
      <c r="F485" s="15">
        <v>20</v>
      </c>
    </row>
    <row r="486" spans="1:6" x14ac:dyDescent="0.35">
      <c r="A486" s="9">
        <v>27</v>
      </c>
      <c r="B486" s="9">
        <v>17</v>
      </c>
      <c r="C486" s="9" t="s">
        <v>31</v>
      </c>
      <c r="D486" s="15">
        <v>1000</v>
      </c>
      <c r="E486" s="15">
        <v>2000</v>
      </c>
      <c r="F486" s="15">
        <v>5000</v>
      </c>
    </row>
    <row r="487" spans="1:6" x14ac:dyDescent="0.35">
      <c r="A487" s="9">
        <v>27</v>
      </c>
      <c r="B487" s="9">
        <v>18</v>
      </c>
      <c r="C487" s="9" t="s">
        <v>32</v>
      </c>
      <c r="D487" s="15">
        <v>1E-3</v>
      </c>
      <c r="E487" s="15">
        <v>1000</v>
      </c>
      <c r="F487" s="15">
        <v>2000</v>
      </c>
    </row>
    <row r="488" spans="1:6" x14ac:dyDescent="0.35">
      <c r="A488" s="9">
        <v>28</v>
      </c>
      <c r="B488" s="9">
        <v>1</v>
      </c>
      <c r="C488" s="9" t="s">
        <v>15</v>
      </c>
      <c r="D488" s="15">
        <v>5</v>
      </c>
      <c r="E488" s="15">
        <v>20</v>
      </c>
      <c r="F488" s="15">
        <v>30</v>
      </c>
    </row>
    <row r="489" spans="1:6" x14ac:dyDescent="0.35">
      <c r="A489" s="9">
        <v>28</v>
      </c>
      <c r="B489" s="9">
        <v>2</v>
      </c>
      <c r="C489" s="9" t="s">
        <v>16</v>
      </c>
      <c r="D489" s="15">
        <v>10</v>
      </c>
      <c r="E489" s="15">
        <v>25</v>
      </c>
      <c r="F489" s="15">
        <v>50</v>
      </c>
    </row>
    <row r="490" spans="1:6" x14ac:dyDescent="0.35">
      <c r="A490" s="9">
        <v>28</v>
      </c>
      <c r="B490" s="9">
        <v>3</v>
      </c>
      <c r="C490" s="9" t="s">
        <v>17</v>
      </c>
      <c r="D490" s="15">
        <v>0.5</v>
      </c>
      <c r="E490" s="15">
        <v>2.5</v>
      </c>
      <c r="F490" s="15">
        <v>5</v>
      </c>
    </row>
    <row r="491" spans="1:6" x14ac:dyDescent="0.35">
      <c r="A491" s="9">
        <v>28</v>
      </c>
      <c r="B491" s="9">
        <v>4</v>
      </c>
      <c r="C491" s="9" t="s">
        <v>18</v>
      </c>
      <c r="D491" s="15">
        <v>1</v>
      </c>
      <c r="E491" s="15">
        <v>5</v>
      </c>
      <c r="F491" s="15">
        <v>7</v>
      </c>
    </row>
    <row r="492" spans="1:6" x14ac:dyDescent="0.35">
      <c r="A492" s="9">
        <v>28</v>
      </c>
      <c r="B492" s="9">
        <v>5</v>
      </c>
      <c r="C492" s="9" t="s">
        <v>19</v>
      </c>
      <c r="D492" s="15">
        <v>100</v>
      </c>
      <c r="E492" s="15">
        <v>700</v>
      </c>
      <c r="F492" s="15">
        <v>1000</v>
      </c>
    </row>
    <row r="493" spans="1:6" x14ac:dyDescent="0.35">
      <c r="A493" s="9">
        <v>28</v>
      </c>
      <c r="B493" s="9">
        <v>6</v>
      </c>
      <c r="C493" s="9" t="s">
        <v>20</v>
      </c>
      <c r="D493" s="15">
        <v>30</v>
      </c>
      <c r="E493" s="15">
        <v>90</v>
      </c>
      <c r="F493" s="15">
        <v>180</v>
      </c>
    </row>
    <row r="494" spans="1:6" x14ac:dyDescent="0.35">
      <c r="A494" s="9">
        <v>28</v>
      </c>
      <c r="B494" s="9">
        <v>7</v>
      </c>
      <c r="C494" s="9" t="s">
        <v>21</v>
      </c>
      <c r="D494" s="15">
        <v>10</v>
      </c>
      <c r="E494" s="15">
        <v>50</v>
      </c>
      <c r="F494" s="15">
        <v>120</v>
      </c>
    </row>
    <row r="495" spans="1:6" x14ac:dyDescent="0.35">
      <c r="A495" s="9">
        <v>28</v>
      </c>
      <c r="B495" s="9">
        <v>8</v>
      </c>
      <c r="C495" s="9" t="s">
        <v>22</v>
      </c>
      <c r="D495" s="15">
        <v>0.5</v>
      </c>
      <c r="E495" s="15">
        <v>5</v>
      </c>
      <c r="F495" s="15">
        <v>25</v>
      </c>
    </row>
    <row r="496" spans="1:6" x14ac:dyDescent="0.35">
      <c r="A496" s="9">
        <v>28</v>
      </c>
      <c r="B496" s="9">
        <v>9</v>
      </c>
      <c r="C496" s="9" t="s">
        <v>23</v>
      </c>
      <c r="D496" s="15">
        <v>1.2</v>
      </c>
      <c r="E496" s="15">
        <v>5</v>
      </c>
      <c r="F496" s="15">
        <v>10</v>
      </c>
    </row>
    <row r="497" spans="1:6" x14ac:dyDescent="0.35">
      <c r="A497" s="9">
        <v>28</v>
      </c>
      <c r="B497" s="9">
        <v>10</v>
      </c>
      <c r="C497" s="9" t="s">
        <v>24</v>
      </c>
      <c r="D497" s="15">
        <v>500</v>
      </c>
      <c r="E497" s="15">
        <v>1000</v>
      </c>
      <c r="F497" s="15">
        <v>2000</v>
      </c>
    </row>
    <row r="498" spans="1:6" x14ac:dyDescent="0.35">
      <c r="A498" s="9">
        <v>28</v>
      </c>
      <c r="B498" s="9">
        <v>11</v>
      </c>
      <c r="C498" s="9" t="s">
        <v>25</v>
      </c>
      <c r="D498" s="15">
        <v>1E-3</v>
      </c>
      <c r="E498" s="15">
        <v>0.01</v>
      </c>
      <c r="F498" s="15">
        <v>0.1</v>
      </c>
    </row>
    <row r="499" spans="1:6" x14ac:dyDescent="0.35">
      <c r="A499" s="9">
        <v>28</v>
      </c>
      <c r="B499" s="9">
        <v>12</v>
      </c>
      <c r="C499" s="9" t="s">
        <v>26</v>
      </c>
      <c r="D499" s="15">
        <v>8</v>
      </c>
      <c r="E499" s="15">
        <v>12</v>
      </c>
      <c r="F499" s="15">
        <v>20</v>
      </c>
    </row>
    <row r="500" spans="1:6" x14ac:dyDescent="0.35">
      <c r="A500" s="9">
        <v>28</v>
      </c>
      <c r="B500" s="9">
        <v>13</v>
      </c>
      <c r="C500" s="9" t="s">
        <v>27</v>
      </c>
      <c r="D500" s="15">
        <v>750</v>
      </c>
      <c r="E500" s="15">
        <v>800</v>
      </c>
      <c r="F500" s="15">
        <v>1000</v>
      </c>
    </row>
    <row r="501" spans="1:6" x14ac:dyDescent="0.35">
      <c r="A501" s="9">
        <v>28</v>
      </c>
      <c r="B501" s="9">
        <v>14</v>
      </c>
      <c r="C501" s="9" t="s">
        <v>28</v>
      </c>
      <c r="D501" s="15">
        <v>0.1</v>
      </c>
      <c r="E501" s="15">
        <v>0.2</v>
      </c>
      <c r="F501" s="15">
        <v>0.5</v>
      </c>
    </row>
    <row r="502" spans="1:6" x14ac:dyDescent="0.35">
      <c r="A502" s="9">
        <v>28</v>
      </c>
      <c r="B502" s="9">
        <v>15</v>
      </c>
      <c r="C502" s="9" t="s">
        <v>29</v>
      </c>
      <c r="D502" s="15">
        <v>100</v>
      </c>
      <c r="E502" s="15">
        <v>500</v>
      </c>
      <c r="F502" s="15">
        <v>1000</v>
      </c>
    </row>
    <row r="503" spans="1:6" x14ac:dyDescent="0.35">
      <c r="A503" s="9">
        <v>28</v>
      </c>
      <c r="B503" s="9">
        <v>16</v>
      </c>
      <c r="C503" s="9" t="s">
        <v>30</v>
      </c>
      <c r="D503" s="15">
        <v>3</v>
      </c>
      <c r="E503" s="15">
        <v>12</v>
      </c>
      <c r="F503" s="15">
        <v>20</v>
      </c>
    </row>
    <row r="504" spans="1:6" x14ac:dyDescent="0.35">
      <c r="A504" s="9">
        <v>28</v>
      </c>
      <c r="B504" s="9">
        <v>17</v>
      </c>
      <c r="C504" s="9" t="s">
        <v>31</v>
      </c>
      <c r="D504" s="15">
        <v>100</v>
      </c>
      <c r="E504" s="15">
        <v>500</v>
      </c>
      <c r="F504" s="15">
        <v>2000</v>
      </c>
    </row>
    <row r="505" spans="1:6" x14ac:dyDescent="0.35">
      <c r="A505" s="9">
        <v>28</v>
      </c>
      <c r="B505" s="9">
        <v>18</v>
      </c>
      <c r="C505" s="9" t="s">
        <v>32</v>
      </c>
      <c r="D505" s="15">
        <v>0.1</v>
      </c>
      <c r="E505" s="15">
        <v>25</v>
      </c>
      <c r="F505" s="15">
        <v>100</v>
      </c>
    </row>
    <row r="506" spans="1:6" x14ac:dyDescent="0.35">
      <c r="A506" s="9">
        <v>29</v>
      </c>
      <c r="B506" s="9">
        <v>1</v>
      </c>
      <c r="C506" s="9" t="s">
        <v>15</v>
      </c>
      <c r="D506" s="15">
        <v>10</v>
      </c>
      <c r="E506" s="15">
        <v>30</v>
      </c>
      <c r="F506" s="15">
        <v>40</v>
      </c>
    </row>
    <row r="507" spans="1:6" x14ac:dyDescent="0.35">
      <c r="A507" s="9">
        <v>29</v>
      </c>
      <c r="B507" s="9">
        <v>2</v>
      </c>
      <c r="C507" s="9" t="s">
        <v>16</v>
      </c>
      <c r="D507" s="15">
        <v>1000</v>
      </c>
      <c r="E507" s="15">
        <v>1500</v>
      </c>
      <c r="F507" s="15">
        <v>2000</v>
      </c>
    </row>
    <row r="508" spans="1:6" x14ac:dyDescent="0.35">
      <c r="A508" s="9">
        <v>29</v>
      </c>
      <c r="B508" s="9">
        <v>3</v>
      </c>
      <c r="C508" s="9" t="s">
        <v>17</v>
      </c>
      <c r="D508" s="15">
        <v>0.5</v>
      </c>
      <c r="E508" s="15">
        <v>0.8</v>
      </c>
      <c r="F508" s="15">
        <v>5</v>
      </c>
    </row>
    <row r="509" spans="1:6" x14ac:dyDescent="0.35">
      <c r="A509" s="9">
        <v>29</v>
      </c>
      <c r="B509" s="9">
        <v>4</v>
      </c>
      <c r="C509" s="9" t="s">
        <v>18</v>
      </c>
      <c r="D509" s="15">
        <v>3</v>
      </c>
      <c r="E509" s="15">
        <v>10</v>
      </c>
      <c r="F509" s="15">
        <v>20</v>
      </c>
    </row>
    <row r="510" spans="1:6" x14ac:dyDescent="0.35">
      <c r="A510" s="9">
        <v>29</v>
      </c>
      <c r="B510" s="9">
        <v>5</v>
      </c>
      <c r="C510" s="9" t="s">
        <v>19</v>
      </c>
      <c r="D510" s="15">
        <v>10</v>
      </c>
      <c r="E510" s="15">
        <v>15</v>
      </c>
      <c r="F510" s="15">
        <v>50</v>
      </c>
    </row>
    <row r="511" spans="1:6" x14ac:dyDescent="0.35">
      <c r="A511" s="9">
        <v>29</v>
      </c>
      <c r="B511" s="9">
        <v>6</v>
      </c>
      <c r="C511" s="9" t="s">
        <v>20</v>
      </c>
      <c r="D511" s="15">
        <v>1</v>
      </c>
      <c r="E511" s="15">
        <v>15</v>
      </c>
      <c r="F511" s="15">
        <v>1500</v>
      </c>
    </row>
    <row r="512" spans="1:6" x14ac:dyDescent="0.35">
      <c r="A512" s="9">
        <v>29</v>
      </c>
      <c r="B512" s="9">
        <v>7</v>
      </c>
      <c r="C512" s="9" t="s">
        <v>21</v>
      </c>
      <c r="D512" s="15">
        <v>300</v>
      </c>
      <c r="E512" s="15">
        <v>1500</v>
      </c>
      <c r="F512" s="15">
        <v>3000</v>
      </c>
    </row>
    <row r="513" spans="1:6" x14ac:dyDescent="0.35">
      <c r="A513" s="9">
        <v>29</v>
      </c>
      <c r="B513" s="9">
        <v>8</v>
      </c>
      <c r="C513" s="9" t="s">
        <v>22</v>
      </c>
      <c r="D513" s="15">
        <v>10</v>
      </c>
      <c r="E513" s="15">
        <v>30</v>
      </c>
      <c r="F513" s="15">
        <v>40</v>
      </c>
    </row>
    <row r="514" spans="1:6" x14ac:dyDescent="0.35">
      <c r="A514" s="9">
        <v>29</v>
      </c>
      <c r="B514" s="9">
        <v>9</v>
      </c>
      <c r="C514" s="9" t="s">
        <v>23</v>
      </c>
      <c r="D514" s="15">
        <v>10</v>
      </c>
      <c r="E514" s="15">
        <v>30</v>
      </c>
      <c r="F514" s="15">
        <v>50</v>
      </c>
    </row>
    <row r="515" spans="1:6" x14ac:dyDescent="0.35">
      <c r="A515" s="9">
        <v>29</v>
      </c>
      <c r="B515" s="9">
        <v>10</v>
      </c>
      <c r="C515" s="9" t="s">
        <v>24</v>
      </c>
      <c r="D515" s="15">
        <v>100</v>
      </c>
      <c r="E515" s="15">
        <v>250</v>
      </c>
      <c r="F515" s="15">
        <v>600</v>
      </c>
    </row>
    <row r="516" spans="1:6" x14ac:dyDescent="0.35">
      <c r="A516" s="9">
        <v>29</v>
      </c>
      <c r="B516" s="9">
        <v>11</v>
      </c>
      <c r="C516" s="9" t="s">
        <v>25</v>
      </c>
      <c r="D516" s="15">
        <v>0.01</v>
      </c>
      <c r="E516" s="15">
        <v>0.08</v>
      </c>
      <c r="F516" s="15">
        <v>0.5</v>
      </c>
    </row>
    <row r="517" spans="1:6" x14ac:dyDescent="0.35">
      <c r="A517" s="9">
        <v>29</v>
      </c>
      <c r="B517" s="9">
        <v>12</v>
      </c>
      <c r="C517" s="9" t="s">
        <v>26</v>
      </c>
      <c r="D517" s="15">
        <v>6</v>
      </c>
      <c r="E517" s="15">
        <v>10</v>
      </c>
      <c r="F517" s="15">
        <v>12</v>
      </c>
    </row>
    <row r="518" spans="1:6" x14ac:dyDescent="0.35">
      <c r="A518" s="9">
        <v>29</v>
      </c>
      <c r="B518" s="9">
        <v>13</v>
      </c>
      <c r="C518" s="9" t="s">
        <v>27</v>
      </c>
      <c r="D518" s="15">
        <v>800</v>
      </c>
      <c r="E518" s="15">
        <v>1050</v>
      </c>
      <c r="F518" s="15">
        <v>1200</v>
      </c>
    </row>
    <row r="519" spans="1:6" x14ac:dyDescent="0.35">
      <c r="A519" s="9">
        <v>29</v>
      </c>
      <c r="B519" s="9">
        <v>14</v>
      </c>
      <c r="C519" s="9" t="s">
        <v>28</v>
      </c>
      <c r="D519" s="15">
        <v>2000</v>
      </c>
      <c r="E519" s="15">
        <v>3000</v>
      </c>
      <c r="F519" s="15">
        <v>5000</v>
      </c>
    </row>
    <row r="520" spans="1:6" x14ac:dyDescent="0.35">
      <c r="A520" s="9">
        <v>29</v>
      </c>
      <c r="B520" s="9">
        <v>15</v>
      </c>
      <c r="C520" s="9" t="s">
        <v>29</v>
      </c>
      <c r="D520" s="15">
        <v>15</v>
      </c>
      <c r="E520" s="15">
        <v>40</v>
      </c>
      <c r="F520" s="15">
        <v>80</v>
      </c>
    </row>
    <row r="521" spans="1:6" x14ac:dyDescent="0.35">
      <c r="A521" s="9">
        <v>29</v>
      </c>
      <c r="B521" s="9">
        <v>16</v>
      </c>
      <c r="C521" s="9" t="s">
        <v>30</v>
      </c>
      <c r="D521" s="15">
        <v>10</v>
      </c>
      <c r="E521" s="15">
        <v>18</v>
      </c>
      <c r="F521" s="15">
        <v>20</v>
      </c>
    </row>
    <row r="522" spans="1:6" x14ac:dyDescent="0.35">
      <c r="A522" s="9">
        <v>29</v>
      </c>
      <c r="B522" s="9">
        <v>17</v>
      </c>
      <c r="C522" s="9" t="s">
        <v>31</v>
      </c>
      <c r="D522" s="15">
        <v>2000</v>
      </c>
      <c r="E522" s="15">
        <v>4000</v>
      </c>
      <c r="F522" s="15">
        <v>6000</v>
      </c>
    </row>
    <row r="523" spans="1:6" x14ac:dyDescent="0.35">
      <c r="A523" s="9">
        <v>29</v>
      </c>
      <c r="B523" s="9">
        <v>18</v>
      </c>
      <c r="C523" s="9" t="s">
        <v>32</v>
      </c>
      <c r="D523" s="15">
        <v>2</v>
      </c>
      <c r="E523" s="15">
        <v>8</v>
      </c>
      <c r="F523" s="15">
        <v>12</v>
      </c>
    </row>
    <row r="524" spans="1:6" x14ac:dyDescent="0.35">
      <c r="A524" s="9">
        <v>30</v>
      </c>
      <c r="B524" s="9">
        <v>1</v>
      </c>
      <c r="C524" s="9" t="s">
        <v>15</v>
      </c>
      <c r="D524" s="15">
        <v>1E-3</v>
      </c>
      <c r="E524" s="15">
        <v>5</v>
      </c>
      <c r="F524" s="15">
        <v>10</v>
      </c>
    </row>
    <row r="525" spans="1:6" x14ac:dyDescent="0.35">
      <c r="A525" s="9">
        <v>30</v>
      </c>
      <c r="B525" s="9">
        <v>2</v>
      </c>
      <c r="C525" s="9" t="s">
        <v>16</v>
      </c>
      <c r="D525" s="15">
        <v>3</v>
      </c>
      <c r="E525" s="15">
        <v>6</v>
      </c>
      <c r="F525" s="15">
        <v>10</v>
      </c>
    </row>
    <row r="526" spans="1:6" x14ac:dyDescent="0.35">
      <c r="A526" s="9">
        <v>30</v>
      </c>
      <c r="B526" s="9">
        <v>3</v>
      </c>
      <c r="C526" s="9" t="s">
        <v>17</v>
      </c>
      <c r="D526" s="15">
        <v>1E-3</v>
      </c>
      <c r="E526" s="15">
        <v>2</v>
      </c>
      <c r="F526" s="15">
        <v>5</v>
      </c>
    </row>
    <row r="527" spans="1:6" x14ac:dyDescent="0.35">
      <c r="A527" s="9">
        <v>30</v>
      </c>
      <c r="B527" s="9">
        <v>4</v>
      </c>
      <c r="C527" s="9" t="s">
        <v>18</v>
      </c>
      <c r="D527" s="15">
        <v>0.5</v>
      </c>
      <c r="E527" s="15">
        <v>2</v>
      </c>
      <c r="F527" s="15">
        <v>3</v>
      </c>
    </row>
    <row r="528" spans="1:6" x14ac:dyDescent="0.35">
      <c r="A528" s="9">
        <v>30</v>
      </c>
      <c r="B528" s="9">
        <v>5</v>
      </c>
      <c r="C528" s="9" t="s">
        <v>19</v>
      </c>
      <c r="D528" s="15">
        <v>500</v>
      </c>
      <c r="E528" s="15">
        <v>2000</v>
      </c>
      <c r="F528" s="15">
        <v>4000</v>
      </c>
    </row>
    <row r="529" spans="1:6" x14ac:dyDescent="0.35">
      <c r="A529" s="9">
        <v>30</v>
      </c>
      <c r="B529" s="9">
        <v>6</v>
      </c>
      <c r="C529" s="9" t="s">
        <v>20</v>
      </c>
      <c r="D529" s="15">
        <v>15</v>
      </c>
      <c r="E529" s="15">
        <v>30</v>
      </c>
      <c r="F529" s="15">
        <v>45</v>
      </c>
    </row>
    <row r="530" spans="1:6" x14ac:dyDescent="0.35">
      <c r="A530" s="9">
        <v>30</v>
      </c>
      <c r="B530" s="9">
        <v>7</v>
      </c>
      <c r="C530" s="9" t="s">
        <v>21</v>
      </c>
      <c r="D530" s="15">
        <v>25</v>
      </c>
      <c r="E530" s="15">
        <v>50</v>
      </c>
      <c r="F530" s="15">
        <v>75</v>
      </c>
    </row>
    <row r="531" spans="1:6" x14ac:dyDescent="0.35">
      <c r="A531" s="9">
        <v>30</v>
      </c>
      <c r="B531" s="9">
        <v>8</v>
      </c>
      <c r="C531" s="9" t="s">
        <v>22</v>
      </c>
      <c r="D531" s="15">
        <v>5</v>
      </c>
      <c r="E531" s="15">
        <v>15</v>
      </c>
      <c r="F531" s="15">
        <v>25</v>
      </c>
    </row>
    <row r="532" spans="1:6" x14ac:dyDescent="0.35">
      <c r="A532" s="9">
        <v>30</v>
      </c>
      <c r="B532" s="9">
        <v>9</v>
      </c>
      <c r="C532" s="9" t="s">
        <v>23</v>
      </c>
      <c r="D532" s="15">
        <v>50</v>
      </c>
      <c r="E532" s="15">
        <v>75</v>
      </c>
      <c r="F532" s="15">
        <v>100</v>
      </c>
    </row>
    <row r="533" spans="1:6" x14ac:dyDescent="0.35">
      <c r="A533" s="9">
        <v>30</v>
      </c>
      <c r="B533" s="9">
        <v>10</v>
      </c>
      <c r="C533" s="9" t="s">
        <v>24</v>
      </c>
      <c r="D533" s="15">
        <v>250</v>
      </c>
      <c r="E533" s="15">
        <v>600</v>
      </c>
      <c r="F533" s="15">
        <v>1000</v>
      </c>
    </row>
    <row r="534" spans="1:6" x14ac:dyDescent="0.35">
      <c r="A534" s="9">
        <v>30</v>
      </c>
      <c r="B534" s="9">
        <v>11</v>
      </c>
      <c r="C534" s="9" t="s">
        <v>25</v>
      </c>
      <c r="D534" s="15">
        <v>5</v>
      </c>
      <c r="E534" s="15">
        <v>10</v>
      </c>
      <c r="F534" s="15">
        <v>15</v>
      </c>
    </row>
    <row r="535" spans="1:6" x14ac:dyDescent="0.35">
      <c r="A535" s="9">
        <v>30</v>
      </c>
      <c r="B535" s="9">
        <v>12</v>
      </c>
      <c r="C535" s="9" t="s">
        <v>26</v>
      </c>
      <c r="D535" s="15">
        <v>6</v>
      </c>
      <c r="E535" s="15">
        <v>8</v>
      </c>
      <c r="F535" s="15">
        <v>10</v>
      </c>
    </row>
    <row r="536" spans="1:6" x14ac:dyDescent="0.35">
      <c r="A536" s="9">
        <v>30</v>
      </c>
      <c r="B536" s="9">
        <v>13</v>
      </c>
      <c r="C536" s="9" t="s">
        <v>27</v>
      </c>
      <c r="D536" s="15">
        <v>150</v>
      </c>
      <c r="E536" s="15">
        <v>225</v>
      </c>
      <c r="F536" s="15">
        <v>300</v>
      </c>
    </row>
    <row r="537" spans="1:6" x14ac:dyDescent="0.35">
      <c r="A537" s="9">
        <v>30</v>
      </c>
      <c r="B537" s="9">
        <v>14</v>
      </c>
      <c r="C537" s="9" t="s">
        <v>28</v>
      </c>
      <c r="D537" s="15">
        <v>500</v>
      </c>
      <c r="E537" s="15">
        <v>1000</v>
      </c>
      <c r="F537" s="15">
        <v>1500</v>
      </c>
    </row>
    <row r="538" spans="1:6" x14ac:dyDescent="0.35">
      <c r="A538" s="9">
        <v>30</v>
      </c>
      <c r="B538" s="9">
        <v>15</v>
      </c>
      <c r="C538" s="9" t="s">
        <v>29</v>
      </c>
      <c r="D538" s="15">
        <v>75</v>
      </c>
      <c r="E538" s="15">
        <v>120</v>
      </c>
      <c r="F538" s="15">
        <v>150</v>
      </c>
    </row>
    <row r="539" spans="1:6" x14ac:dyDescent="0.35">
      <c r="A539" s="9">
        <v>30</v>
      </c>
      <c r="B539" s="9">
        <v>16</v>
      </c>
      <c r="C539" s="9" t="s">
        <v>30</v>
      </c>
      <c r="D539" s="15">
        <v>8</v>
      </c>
      <c r="E539" s="15">
        <v>10</v>
      </c>
      <c r="F539" s="15">
        <v>12</v>
      </c>
    </row>
    <row r="540" spans="1:6" x14ac:dyDescent="0.35">
      <c r="A540" s="9">
        <v>30</v>
      </c>
      <c r="B540" s="9">
        <v>17</v>
      </c>
      <c r="C540" s="9" t="s">
        <v>31</v>
      </c>
      <c r="D540" s="15">
        <v>100</v>
      </c>
      <c r="E540" s="15">
        <v>300</v>
      </c>
      <c r="F540" s="15">
        <v>500</v>
      </c>
    </row>
    <row r="541" spans="1:6" x14ac:dyDescent="0.35">
      <c r="A541" s="9">
        <v>30</v>
      </c>
      <c r="B541" s="9">
        <v>18</v>
      </c>
      <c r="C541" s="9" t="s">
        <v>32</v>
      </c>
      <c r="D541" s="15">
        <v>50</v>
      </c>
      <c r="E541" s="15">
        <v>75</v>
      </c>
      <c r="F541" s="15">
        <v>100</v>
      </c>
    </row>
    <row r="542" spans="1:6" x14ac:dyDescent="0.35">
      <c r="A542" s="9">
        <v>31</v>
      </c>
      <c r="B542" s="9">
        <v>1</v>
      </c>
      <c r="C542" s="9" t="s">
        <v>15</v>
      </c>
      <c r="D542" s="15">
        <v>1E-3</v>
      </c>
      <c r="E542" s="15">
        <v>1</v>
      </c>
      <c r="F542" s="15">
        <v>10</v>
      </c>
    </row>
    <row r="543" spans="1:6" x14ac:dyDescent="0.35">
      <c r="A543" s="9">
        <v>31</v>
      </c>
      <c r="B543" s="9">
        <v>2</v>
      </c>
      <c r="C543" s="9" t="s">
        <v>16</v>
      </c>
      <c r="D543" s="15">
        <v>1</v>
      </c>
      <c r="E543" s="15">
        <v>40</v>
      </c>
      <c r="F543" s="15">
        <v>90</v>
      </c>
    </row>
    <row r="544" spans="1:6" x14ac:dyDescent="0.35">
      <c r="A544" s="9">
        <v>31</v>
      </c>
      <c r="B544" s="9">
        <v>3</v>
      </c>
      <c r="C544" s="9" t="s">
        <v>17</v>
      </c>
      <c r="D544" s="15">
        <v>1E-3</v>
      </c>
      <c r="E544" s="15">
        <v>3</v>
      </c>
      <c r="F544" s="15">
        <v>10</v>
      </c>
    </row>
    <row r="545" spans="1:6" x14ac:dyDescent="0.35">
      <c r="A545" s="9">
        <v>31</v>
      </c>
      <c r="B545" s="9">
        <v>4</v>
      </c>
      <c r="C545" s="9" t="s">
        <v>18</v>
      </c>
      <c r="D545" s="15">
        <v>0.1</v>
      </c>
      <c r="E545" s="15">
        <v>5</v>
      </c>
      <c r="F545" s="15">
        <v>50</v>
      </c>
    </row>
    <row r="546" spans="1:6" x14ac:dyDescent="0.35">
      <c r="A546" s="9">
        <v>31</v>
      </c>
      <c r="B546" s="9">
        <v>5</v>
      </c>
      <c r="C546" s="9" t="s">
        <v>19</v>
      </c>
      <c r="D546" s="15">
        <v>0.5</v>
      </c>
      <c r="E546" s="15">
        <v>500</v>
      </c>
      <c r="F546" s="15">
        <v>4000</v>
      </c>
    </row>
    <row r="547" spans="1:6" x14ac:dyDescent="0.35">
      <c r="A547" s="9">
        <v>31</v>
      </c>
      <c r="B547" s="9">
        <v>6</v>
      </c>
      <c r="C547" s="9" t="s">
        <v>20</v>
      </c>
      <c r="D547" s="15">
        <v>0.1</v>
      </c>
      <c r="E547" s="15">
        <v>7</v>
      </c>
      <c r="F547" s="15">
        <v>120</v>
      </c>
    </row>
    <row r="548" spans="1:6" x14ac:dyDescent="0.35">
      <c r="A548" s="9">
        <v>31</v>
      </c>
      <c r="B548" s="9">
        <v>7</v>
      </c>
      <c r="C548" s="9" t="s">
        <v>21</v>
      </c>
      <c r="D548" s="15">
        <v>1</v>
      </c>
      <c r="E548" s="15">
        <v>100</v>
      </c>
      <c r="F548" s="15">
        <v>300</v>
      </c>
    </row>
    <row r="549" spans="1:6" x14ac:dyDescent="0.35">
      <c r="A549" s="9">
        <v>31</v>
      </c>
      <c r="B549" s="9">
        <v>8</v>
      </c>
      <c r="C549" s="9" t="s">
        <v>22</v>
      </c>
      <c r="D549" s="15">
        <v>1</v>
      </c>
      <c r="E549" s="15">
        <v>10</v>
      </c>
      <c r="F549" s="15">
        <v>30</v>
      </c>
    </row>
    <row r="550" spans="1:6" x14ac:dyDescent="0.35">
      <c r="A550" s="9">
        <v>31</v>
      </c>
      <c r="B550" s="9">
        <v>9</v>
      </c>
      <c r="C550" s="9" t="s">
        <v>23</v>
      </c>
      <c r="D550" s="15">
        <v>2</v>
      </c>
      <c r="E550" s="15">
        <v>10</v>
      </c>
      <c r="F550" s="15">
        <v>50</v>
      </c>
    </row>
    <row r="551" spans="1:6" x14ac:dyDescent="0.35">
      <c r="A551" s="9">
        <v>31</v>
      </c>
      <c r="B551" s="9">
        <v>10</v>
      </c>
      <c r="C551" s="9" t="s">
        <v>24</v>
      </c>
      <c r="D551" s="15">
        <v>1E-3</v>
      </c>
      <c r="E551" s="15">
        <v>1</v>
      </c>
      <c r="F551" s="15">
        <v>3000</v>
      </c>
    </row>
    <row r="552" spans="1:6" x14ac:dyDescent="0.35">
      <c r="A552" s="9">
        <v>31</v>
      </c>
      <c r="B552" s="9">
        <v>11</v>
      </c>
      <c r="C552" s="9" t="s">
        <v>25</v>
      </c>
      <c r="D552" s="15">
        <v>5</v>
      </c>
      <c r="E552" s="15">
        <v>50</v>
      </c>
      <c r="F552" s="15">
        <v>100</v>
      </c>
    </row>
    <row r="553" spans="1:6" x14ac:dyDescent="0.35">
      <c r="A553" s="9">
        <v>31</v>
      </c>
      <c r="B553" s="9">
        <v>12</v>
      </c>
      <c r="C553" s="9" t="s">
        <v>26</v>
      </c>
      <c r="D553" s="15">
        <v>1</v>
      </c>
      <c r="E553" s="15">
        <v>3</v>
      </c>
      <c r="F553" s="15">
        <v>5</v>
      </c>
    </row>
    <row r="554" spans="1:6" x14ac:dyDescent="0.35">
      <c r="A554" s="9">
        <v>31</v>
      </c>
      <c r="B554" s="9">
        <v>13</v>
      </c>
      <c r="C554" s="9" t="s">
        <v>27</v>
      </c>
      <c r="D554" s="15">
        <v>700</v>
      </c>
      <c r="E554" s="15">
        <v>1000</v>
      </c>
      <c r="F554" s="15">
        <v>1200</v>
      </c>
    </row>
    <row r="555" spans="1:6" x14ac:dyDescent="0.35">
      <c r="A555" s="9">
        <v>31</v>
      </c>
      <c r="B555" s="9">
        <v>14</v>
      </c>
      <c r="C555" s="9" t="s">
        <v>28</v>
      </c>
      <c r="D555" s="15">
        <v>1</v>
      </c>
      <c r="E555" s="15">
        <v>1000</v>
      </c>
      <c r="F555" s="15">
        <v>5000</v>
      </c>
    </row>
    <row r="556" spans="1:6" x14ac:dyDescent="0.35">
      <c r="A556" s="9">
        <v>31</v>
      </c>
      <c r="B556" s="9">
        <v>15</v>
      </c>
      <c r="C556" s="9" t="s">
        <v>29</v>
      </c>
      <c r="D556" s="15">
        <v>10</v>
      </c>
      <c r="E556" s="15">
        <v>500</v>
      </c>
      <c r="F556" s="15">
        <v>10000</v>
      </c>
    </row>
    <row r="557" spans="1:6" x14ac:dyDescent="0.35">
      <c r="A557" s="9">
        <v>31</v>
      </c>
      <c r="B557" s="9">
        <v>16</v>
      </c>
      <c r="C557" s="9" t="s">
        <v>30</v>
      </c>
      <c r="D557" s="15">
        <v>5</v>
      </c>
      <c r="E557" s="15">
        <v>12</v>
      </c>
      <c r="F557" s="15">
        <v>20</v>
      </c>
    </row>
    <row r="558" spans="1:6" x14ac:dyDescent="0.35">
      <c r="A558" s="9">
        <v>31</v>
      </c>
      <c r="B558" s="9">
        <v>17</v>
      </c>
      <c r="C558" s="9" t="s">
        <v>31</v>
      </c>
      <c r="D558" s="15">
        <v>0.5</v>
      </c>
      <c r="E558" s="15">
        <v>10</v>
      </c>
      <c r="F558" s="15">
        <v>10000</v>
      </c>
    </row>
    <row r="559" spans="1:6" x14ac:dyDescent="0.35">
      <c r="A559" s="9">
        <v>31</v>
      </c>
      <c r="B559" s="9">
        <v>18</v>
      </c>
      <c r="C559" s="9" t="s">
        <v>32</v>
      </c>
      <c r="D559" s="15">
        <v>1</v>
      </c>
      <c r="E559" s="15">
        <v>30</v>
      </c>
      <c r="F559" s="15">
        <v>100</v>
      </c>
    </row>
    <row r="560" spans="1:6" x14ac:dyDescent="0.35">
      <c r="A560" s="9">
        <v>32</v>
      </c>
      <c r="B560" s="9">
        <v>1</v>
      </c>
      <c r="C560" s="9" t="s">
        <v>15</v>
      </c>
      <c r="D560" s="15">
        <v>1</v>
      </c>
      <c r="E560" s="15">
        <v>5</v>
      </c>
      <c r="F560" s="15">
        <v>10</v>
      </c>
    </row>
    <row r="561" spans="1:6" x14ac:dyDescent="0.35">
      <c r="A561" s="9">
        <v>32</v>
      </c>
      <c r="B561" s="9">
        <v>2</v>
      </c>
      <c r="C561" s="9" t="s">
        <v>16</v>
      </c>
      <c r="D561" s="15">
        <v>1</v>
      </c>
      <c r="E561" s="15">
        <v>5</v>
      </c>
      <c r="F561" s="15">
        <v>10</v>
      </c>
    </row>
    <row r="562" spans="1:6" x14ac:dyDescent="0.35">
      <c r="A562" s="9">
        <v>32</v>
      </c>
      <c r="B562" s="9">
        <v>3</v>
      </c>
      <c r="C562" s="9" t="s">
        <v>17</v>
      </c>
      <c r="D562" s="15">
        <v>1</v>
      </c>
      <c r="E562" s="15">
        <v>5</v>
      </c>
      <c r="F562" s="15">
        <v>10</v>
      </c>
    </row>
    <row r="563" spans="1:6" x14ac:dyDescent="0.35">
      <c r="A563" s="9">
        <v>32</v>
      </c>
      <c r="B563" s="9">
        <v>4</v>
      </c>
      <c r="C563" s="9" t="s">
        <v>18</v>
      </c>
      <c r="D563" s="15">
        <v>2</v>
      </c>
      <c r="E563" s="15">
        <v>6</v>
      </c>
      <c r="F563" s="15">
        <v>10</v>
      </c>
    </row>
    <row r="564" spans="1:6" x14ac:dyDescent="0.35">
      <c r="A564" s="9">
        <v>32</v>
      </c>
      <c r="B564" s="9">
        <v>5</v>
      </c>
      <c r="C564" s="9" t="s">
        <v>19</v>
      </c>
      <c r="D564" s="15">
        <v>10</v>
      </c>
      <c r="E564" s="15">
        <v>500</v>
      </c>
      <c r="F564" s="15">
        <v>1000</v>
      </c>
    </row>
    <row r="565" spans="1:6" x14ac:dyDescent="0.35">
      <c r="A565" s="9">
        <v>32</v>
      </c>
      <c r="B565" s="9">
        <v>6</v>
      </c>
      <c r="C565" s="9" t="s">
        <v>20</v>
      </c>
      <c r="D565" s="15">
        <v>200</v>
      </c>
      <c r="E565" s="15">
        <v>1300</v>
      </c>
      <c r="F565" s="15">
        <v>2400</v>
      </c>
    </row>
    <row r="566" spans="1:6" x14ac:dyDescent="0.35">
      <c r="A566" s="9">
        <v>32</v>
      </c>
      <c r="B566" s="9">
        <v>7</v>
      </c>
      <c r="C566" s="9" t="s">
        <v>21</v>
      </c>
      <c r="D566" s="15">
        <v>200</v>
      </c>
      <c r="E566" s="15">
        <v>600</v>
      </c>
      <c r="F566" s="15">
        <v>1000</v>
      </c>
    </row>
    <row r="567" spans="1:6" x14ac:dyDescent="0.35">
      <c r="A567" s="9">
        <v>32</v>
      </c>
      <c r="B567" s="9">
        <v>8</v>
      </c>
      <c r="C567" s="9" t="s">
        <v>22</v>
      </c>
      <c r="D567" s="15">
        <v>5</v>
      </c>
      <c r="E567" s="15">
        <v>40</v>
      </c>
      <c r="F567" s="15">
        <v>80</v>
      </c>
    </row>
    <row r="568" spans="1:6" x14ac:dyDescent="0.35">
      <c r="A568" s="9">
        <v>32</v>
      </c>
      <c r="B568" s="9">
        <v>9</v>
      </c>
      <c r="C568" s="9" t="s">
        <v>23</v>
      </c>
      <c r="D568" s="15">
        <v>0.5</v>
      </c>
      <c r="E568" s="15">
        <v>1.75</v>
      </c>
      <c r="F568" s="15">
        <v>3</v>
      </c>
    </row>
    <row r="569" spans="1:6" x14ac:dyDescent="0.35">
      <c r="A569" s="9">
        <v>32</v>
      </c>
      <c r="B569" s="9">
        <v>10</v>
      </c>
      <c r="C569" s="9" t="s">
        <v>24</v>
      </c>
      <c r="D569" s="15">
        <v>100</v>
      </c>
      <c r="E569" s="15">
        <v>550</v>
      </c>
      <c r="F569" s="15">
        <v>1000</v>
      </c>
    </row>
    <row r="570" spans="1:6" x14ac:dyDescent="0.35">
      <c r="A570" s="9">
        <v>32</v>
      </c>
      <c r="B570" s="9">
        <v>11</v>
      </c>
      <c r="C570" s="9" t="s">
        <v>25</v>
      </c>
      <c r="D570" s="15">
        <v>0.5</v>
      </c>
      <c r="E570" s="15">
        <v>1.25</v>
      </c>
      <c r="F570" s="15">
        <v>2</v>
      </c>
    </row>
    <row r="571" spans="1:6" x14ac:dyDescent="0.35">
      <c r="A571" s="9">
        <v>32</v>
      </c>
      <c r="B571" s="9">
        <v>12</v>
      </c>
      <c r="C571" s="9" t="s">
        <v>26</v>
      </c>
      <c r="D571" s="15">
        <v>2</v>
      </c>
      <c r="E571" s="15">
        <v>5</v>
      </c>
      <c r="F571" s="15">
        <v>10</v>
      </c>
    </row>
    <row r="572" spans="1:6" x14ac:dyDescent="0.35">
      <c r="A572" s="9">
        <v>32</v>
      </c>
      <c r="B572" s="9">
        <v>13</v>
      </c>
      <c r="C572" s="9" t="s">
        <v>27</v>
      </c>
      <c r="D572" s="15">
        <v>500</v>
      </c>
      <c r="E572" s="15">
        <v>750</v>
      </c>
      <c r="F572" s="15">
        <v>1000</v>
      </c>
    </row>
    <row r="573" spans="1:6" x14ac:dyDescent="0.35">
      <c r="A573" s="9">
        <v>32</v>
      </c>
      <c r="B573" s="9">
        <v>14</v>
      </c>
      <c r="C573" s="9" t="s">
        <v>28</v>
      </c>
      <c r="D573" s="15">
        <v>2</v>
      </c>
      <c r="E573" s="15">
        <v>5</v>
      </c>
      <c r="F573" s="15">
        <v>10</v>
      </c>
    </row>
    <row r="574" spans="1:6" x14ac:dyDescent="0.35">
      <c r="A574" s="9">
        <v>32</v>
      </c>
      <c r="B574" s="9">
        <v>15</v>
      </c>
      <c r="C574" s="9" t="s">
        <v>29</v>
      </c>
      <c r="D574" s="15">
        <v>200</v>
      </c>
      <c r="E574" s="15">
        <v>600</v>
      </c>
      <c r="F574" s="15">
        <v>1000</v>
      </c>
    </row>
    <row r="575" spans="1:6" x14ac:dyDescent="0.35">
      <c r="A575" s="9">
        <v>32</v>
      </c>
      <c r="B575" s="9">
        <v>16</v>
      </c>
      <c r="C575" s="9" t="s">
        <v>30</v>
      </c>
      <c r="D575" s="15">
        <v>5</v>
      </c>
      <c r="E575" s="15">
        <v>12.5</v>
      </c>
      <c r="F575" s="15">
        <v>20</v>
      </c>
    </row>
    <row r="576" spans="1:6" x14ac:dyDescent="0.35">
      <c r="A576" s="9">
        <v>32</v>
      </c>
      <c r="B576" s="9">
        <v>17</v>
      </c>
      <c r="C576" s="9" t="s">
        <v>31</v>
      </c>
      <c r="D576" s="15">
        <v>100</v>
      </c>
      <c r="E576" s="15">
        <v>550</v>
      </c>
      <c r="F576" s="15">
        <v>1000</v>
      </c>
    </row>
    <row r="577" spans="1:6" x14ac:dyDescent="0.35">
      <c r="A577" s="9">
        <v>32</v>
      </c>
      <c r="B577" s="9">
        <v>18</v>
      </c>
      <c r="C577" s="9" t="s">
        <v>32</v>
      </c>
      <c r="D577" s="15">
        <v>10</v>
      </c>
      <c r="E577" s="15">
        <v>150</v>
      </c>
      <c r="F577" s="15">
        <v>300</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72"/>
  <dimension ref="A1:H51"/>
  <sheetViews>
    <sheetView workbookViewId="0"/>
  </sheetViews>
  <sheetFormatPr defaultRowHeight="14.5" x14ac:dyDescent="0.35"/>
  <sheetData>
    <row r="1" spans="1:8" x14ac:dyDescent="0.35">
      <c r="A1" s="9" t="s">
        <v>260</v>
      </c>
      <c r="H1" s="9" t="s">
        <v>58</v>
      </c>
    </row>
    <row r="2" spans="1:8" x14ac:dyDescent="0.35">
      <c r="A2" s="9">
        <v>1</v>
      </c>
      <c r="B2" s="9">
        <v>1</v>
      </c>
      <c r="D2" s="15">
        <v>0.5</v>
      </c>
      <c r="E2" s="15">
        <v>3</v>
      </c>
      <c r="F2" s="15">
        <v>7</v>
      </c>
      <c r="H2" s="15">
        <v>4.9000000000000004</v>
      </c>
    </row>
    <row r="3" spans="1:8" x14ac:dyDescent="0.35">
      <c r="A3" s="9">
        <v>1</v>
      </c>
      <c r="B3" s="9">
        <v>2</v>
      </c>
      <c r="D3" s="15">
        <v>1</v>
      </c>
      <c r="E3" s="15">
        <v>5</v>
      </c>
      <c r="F3" s="15">
        <v>9</v>
      </c>
      <c r="H3" s="15">
        <v>4.0999999999999996</v>
      </c>
    </row>
    <row r="4" spans="1:8" x14ac:dyDescent="0.35">
      <c r="A4" s="9">
        <v>1</v>
      </c>
      <c r="B4" s="9">
        <v>3</v>
      </c>
      <c r="D4" s="15">
        <v>2</v>
      </c>
      <c r="E4" s="15">
        <v>12</v>
      </c>
      <c r="F4" s="15">
        <v>50</v>
      </c>
      <c r="H4" s="15">
        <v>30.93</v>
      </c>
    </row>
    <row r="5" spans="1:8" x14ac:dyDescent="0.35">
      <c r="A5" s="9">
        <v>1</v>
      </c>
      <c r="B5" s="9">
        <v>4</v>
      </c>
      <c r="D5" s="15">
        <v>-28</v>
      </c>
      <c r="E5" s="15">
        <v>-14</v>
      </c>
      <c r="F5" s="15">
        <v>-5</v>
      </c>
      <c r="H5" s="15">
        <v>-32.700000000000003</v>
      </c>
    </row>
    <row r="6" spans="1:8" x14ac:dyDescent="0.35">
      <c r="A6" s="9">
        <v>1</v>
      </c>
      <c r="B6" s="9">
        <v>5</v>
      </c>
      <c r="D6" s="15">
        <v>500</v>
      </c>
      <c r="E6" s="15">
        <v>4000</v>
      </c>
      <c r="F6" s="15">
        <v>10000</v>
      </c>
      <c r="H6" s="15">
        <v>10585</v>
      </c>
    </row>
    <row r="7" spans="1:8" x14ac:dyDescent="0.35">
      <c r="A7" s="9">
        <v>1</v>
      </c>
      <c r="B7" s="9">
        <v>6</v>
      </c>
      <c r="D7" s="15">
        <v>45</v>
      </c>
      <c r="E7" s="15">
        <v>75</v>
      </c>
      <c r="F7" s="15">
        <v>98</v>
      </c>
      <c r="H7" s="15">
        <v>83</v>
      </c>
    </row>
    <row r="8" spans="1:8" x14ac:dyDescent="0.35">
      <c r="A8" s="9">
        <v>1</v>
      </c>
      <c r="B8" s="9">
        <v>7</v>
      </c>
      <c r="D8" s="15">
        <v>1</v>
      </c>
      <c r="E8" s="15">
        <v>10</v>
      </c>
      <c r="F8" s="15">
        <v>30</v>
      </c>
      <c r="H8" s="15">
        <v>11</v>
      </c>
    </row>
    <row r="9" spans="1:8" x14ac:dyDescent="0.35">
      <c r="A9" s="9">
        <v>1</v>
      </c>
      <c r="B9" s="9">
        <v>8</v>
      </c>
      <c r="D9" s="15">
        <v>1</v>
      </c>
      <c r="E9" s="15">
        <v>5</v>
      </c>
      <c r="F9" s="15">
        <v>10</v>
      </c>
      <c r="H9" s="15">
        <v>39</v>
      </c>
    </row>
    <row r="10" spans="1:8" x14ac:dyDescent="0.35">
      <c r="A10" s="9">
        <v>1</v>
      </c>
      <c r="B10" s="9">
        <v>9</v>
      </c>
      <c r="D10" s="15">
        <v>0.2</v>
      </c>
      <c r="E10" s="15">
        <v>0.5</v>
      </c>
      <c r="F10" s="15">
        <v>2</v>
      </c>
      <c r="H10" s="15">
        <v>0.85</v>
      </c>
    </row>
    <row r="11" spans="1:8" x14ac:dyDescent="0.35">
      <c r="A11" s="9">
        <v>1</v>
      </c>
      <c r="B11" s="9">
        <v>10</v>
      </c>
      <c r="D11" s="15">
        <v>5</v>
      </c>
      <c r="E11" s="15">
        <v>25</v>
      </c>
      <c r="F11" s="15">
        <v>60</v>
      </c>
      <c r="H11" s="15">
        <v>25.2</v>
      </c>
    </row>
    <row r="12" spans="1:8" x14ac:dyDescent="0.35">
      <c r="A12" s="9">
        <v>2</v>
      </c>
      <c r="B12" s="9">
        <v>1</v>
      </c>
      <c r="D12" s="15">
        <v>3.5</v>
      </c>
      <c r="E12" s="15">
        <v>5</v>
      </c>
      <c r="F12" s="15">
        <v>6</v>
      </c>
    </row>
    <row r="13" spans="1:8" x14ac:dyDescent="0.35">
      <c r="A13" s="9">
        <v>2</v>
      </c>
      <c r="B13" s="9">
        <v>2</v>
      </c>
      <c r="D13" s="15">
        <v>4.2</v>
      </c>
      <c r="E13" s="15">
        <v>4.5999999999999996</v>
      </c>
      <c r="F13" s="15">
        <v>5</v>
      </c>
    </row>
    <row r="14" spans="1:8" x14ac:dyDescent="0.35">
      <c r="A14" s="9">
        <v>2</v>
      </c>
      <c r="B14" s="9">
        <v>3</v>
      </c>
      <c r="D14" s="15">
        <v>18</v>
      </c>
      <c r="E14" s="15">
        <v>30</v>
      </c>
      <c r="F14" s="15">
        <v>34</v>
      </c>
    </row>
    <row r="15" spans="1:8" x14ac:dyDescent="0.35">
      <c r="A15" s="9">
        <v>2</v>
      </c>
      <c r="B15" s="9">
        <v>4</v>
      </c>
      <c r="D15" s="15">
        <v>-80</v>
      </c>
      <c r="E15" s="15">
        <v>-62.5</v>
      </c>
      <c r="F15" s="15">
        <v>-50</v>
      </c>
    </row>
    <row r="16" spans="1:8" x14ac:dyDescent="0.35">
      <c r="A16" s="9">
        <v>2</v>
      </c>
      <c r="B16" s="9">
        <v>5</v>
      </c>
      <c r="D16" s="15">
        <v>5000</v>
      </c>
      <c r="E16" s="15">
        <v>8000</v>
      </c>
      <c r="F16" s="15">
        <v>13000</v>
      </c>
    </row>
    <row r="17" spans="1:6" x14ac:dyDescent="0.35">
      <c r="A17" s="9">
        <v>2</v>
      </c>
      <c r="B17" s="9">
        <v>6</v>
      </c>
      <c r="D17" s="15">
        <v>62</v>
      </c>
      <c r="E17" s="15">
        <v>72</v>
      </c>
      <c r="F17" s="15">
        <v>85</v>
      </c>
    </row>
    <row r="18" spans="1:6" x14ac:dyDescent="0.35">
      <c r="A18" s="9">
        <v>2</v>
      </c>
      <c r="B18" s="9">
        <v>7</v>
      </c>
      <c r="D18" s="15">
        <v>2</v>
      </c>
      <c r="E18" s="15">
        <v>5</v>
      </c>
      <c r="F18" s="15">
        <v>10</v>
      </c>
    </row>
    <row r="19" spans="1:6" x14ac:dyDescent="0.35">
      <c r="A19" s="9">
        <v>2</v>
      </c>
      <c r="B19" s="9">
        <v>8</v>
      </c>
      <c r="D19" s="15">
        <v>8</v>
      </c>
      <c r="E19" s="15">
        <v>10</v>
      </c>
      <c r="F19" s="15">
        <v>20</v>
      </c>
    </row>
    <row r="20" spans="1:6" x14ac:dyDescent="0.35">
      <c r="A20" s="9">
        <v>2</v>
      </c>
      <c r="B20" s="9">
        <v>9</v>
      </c>
      <c r="D20" s="15">
        <v>1</v>
      </c>
      <c r="E20" s="15">
        <v>1.5</v>
      </c>
      <c r="F20" s="15">
        <v>5</v>
      </c>
    </row>
    <row r="21" spans="1:6" x14ac:dyDescent="0.35">
      <c r="A21" s="9">
        <v>2</v>
      </c>
      <c r="B21" s="9">
        <v>10</v>
      </c>
      <c r="D21" s="15">
        <v>15</v>
      </c>
      <c r="E21" s="15">
        <v>20</v>
      </c>
      <c r="F21" s="15">
        <v>40</v>
      </c>
    </row>
    <row r="22" spans="1:6" x14ac:dyDescent="0.35">
      <c r="A22" s="9">
        <v>3</v>
      </c>
      <c r="B22" s="9">
        <v>1</v>
      </c>
      <c r="D22" s="15">
        <v>2.5</v>
      </c>
      <c r="E22" s="15">
        <v>3.5</v>
      </c>
      <c r="F22" s="15">
        <v>6</v>
      </c>
    </row>
    <row r="23" spans="1:6" x14ac:dyDescent="0.35">
      <c r="A23" s="9">
        <v>3</v>
      </c>
      <c r="B23" s="9">
        <v>2</v>
      </c>
      <c r="D23" s="15">
        <v>3</v>
      </c>
      <c r="E23" s="15">
        <v>4</v>
      </c>
      <c r="F23" s="15">
        <v>7</v>
      </c>
    </row>
    <row r="24" spans="1:6" x14ac:dyDescent="0.35">
      <c r="A24" s="9">
        <v>3</v>
      </c>
      <c r="B24" s="9">
        <v>3</v>
      </c>
      <c r="D24" s="15">
        <v>8</v>
      </c>
      <c r="E24" s="15">
        <v>12</v>
      </c>
      <c r="F24" s="15">
        <v>25</v>
      </c>
    </row>
    <row r="25" spans="1:6" x14ac:dyDescent="0.35">
      <c r="A25" s="9">
        <v>3</v>
      </c>
      <c r="B25" s="9">
        <v>4</v>
      </c>
      <c r="D25" s="15">
        <v>-0.75</v>
      </c>
      <c r="E25" s="15">
        <v>-0.45</v>
      </c>
      <c r="F25" s="15">
        <v>-0.25</v>
      </c>
    </row>
    <row r="26" spans="1:6" x14ac:dyDescent="0.35">
      <c r="A26" s="9">
        <v>3</v>
      </c>
      <c r="B26" s="9">
        <v>5</v>
      </c>
      <c r="D26" s="15">
        <v>3000</v>
      </c>
      <c r="E26" s="15">
        <v>7500</v>
      </c>
      <c r="F26" s="15">
        <v>15000</v>
      </c>
    </row>
    <row r="27" spans="1:6" x14ac:dyDescent="0.35">
      <c r="A27" s="9">
        <v>3</v>
      </c>
      <c r="B27" s="9">
        <v>6</v>
      </c>
      <c r="D27" s="15">
        <v>40</v>
      </c>
      <c r="E27" s="15">
        <v>75</v>
      </c>
      <c r="F27" s="15">
        <v>90</v>
      </c>
    </row>
    <row r="28" spans="1:6" x14ac:dyDescent="0.35">
      <c r="A28" s="9">
        <v>3</v>
      </c>
      <c r="B28" s="9">
        <v>7</v>
      </c>
      <c r="D28" s="15">
        <v>3</v>
      </c>
      <c r="E28" s="15">
        <v>10</v>
      </c>
      <c r="F28" s="15">
        <v>25</v>
      </c>
    </row>
    <row r="29" spans="1:6" x14ac:dyDescent="0.35">
      <c r="A29" s="9">
        <v>3</v>
      </c>
      <c r="B29" s="9">
        <v>8</v>
      </c>
      <c r="D29" s="15">
        <v>5</v>
      </c>
      <c r="E29" s="15">
        <v>15</v>
      </c>
      <c r="F29" s="15">
        <v>30</v>
      </c>
    </row>
    <row r="30" spans="1:6" x14ac:dyDescent="0.35">
      <c r="A30" s="9">
        <v>3</v>
      </c>
      <c r="B30" s="9">
        <v>9</v>
      </c>
      <c r="D30" s="15">
        <v>1</v>
      </c>
      <c r="E30" s="15">
        <v>1.5</v>
      </c>
      <c r="F30" s="15">
        <v>3</v>
      </c>
    </row>
    <row r="31" spans="1:6" x14ac:dyDescent="0.35">
      <c r="A31" s="9">
        <v>3</v>
      </c>
      <c r="B31" s="9">
        <v>10</v>
      </c>
      <c r="D31" s="15">
        <v>30</v>
      </c>
      <c r="E31" s="15">
        <v>65</v>
      </c>
      <c r="F31" s="15">
        <v>80</v>
      </c>
    </row>
    <row r="32" spans="1:6" x14ac:dyDescent="0.35">
      <c r="A32" s="9">
        <v>4</v>
      </c>
      <c r="B32" s="9">
        <v>1</v>
      </c>
      <c r="D32" s="15">
        <v>0</v>
      </c>
      <c r="E32" s="15">
        <v>3.5</v>
      </c>
      <c r="F32" s="15">
        <v>12</v>
      </c>
    </row>
    <row r="33" spans="1:6" x14ac:dyDescent="0.35">
      <c r="A33" s="9">
        <v>4</v>
      </c>
      <c r="B33" s="9">
        <v>2</v>
      </c>
      <c r="D33" s="15">
        <v>0</v>
      </c>
      <c r="E33" s="15">
        <v>4.5</v>
      </c>
      <c r="F33" s="15">
        <v>12</v>
      </c>
    </row>
    <row r="34" spans="1:6" x14ac:dyDescent="0.35">
      <c r="A34" s="9">
        <v>4</v>
      </c>
      <c r="B34" s="9">
        <v>3</v>
      </c>
      <c r="D34" s="15">
        <v>0</v>
      </c>
      <c r="E34" s="15">
        <v>10</v>
      </c>
      <c r="F34" s="15">
        <v>30</v>
      </c>
    </row>
    <row r="35" spans="1:6" x14ac:dyDescent="0.35">
      <c r="A35" s="9">
        <v>4</v>
      </c>
      <c r="B35" s="9">
        <v>4</v>
      </c>
      <c r="D35" s="15">
        <v>-100</v>
      </c>
      <c r="E35" s="15">
        <v>-50</v>
      </c>
      <c r="F35" s="15">
        <v>25</v>
      </c>
    </row>
    <row r="36" spans="1:6" x14ac:dyDescent="0.35">
      <c r="A36" s="9">
        <v>4</v>
      </c>
      <c r="B36" s="9">
        <v>5</v>
      </c>
      <c r="D36" s="15">
        <v>0</v>
      </c>
      <c r="E36" s="15">
        <v>8000</v>
      </c>
      <c r="F36" s="15">
        <v>100000</v>
      </c>
    </row>
    <row r="37" spans="1:6" x14ac:dyDescent="0.35">
      <c r="A37" s="9">
        <v>4</v>
      </c>
      <c r="B37" s="9">
        <v>6</v>
      </c>
      <c r="D37" s="15">
        <v>0</v>
      </c>
      <c r="E37" s="15">
        <v>80</v>
      </c>
      <c r="F37" s="15">
        <v>100</v>
      </c>
    </row>
    <row r="38" spans="1:6" x14ac:dyDescent="0.35">
      <c r="A38" s="9">
        <v>4</v>
      </c>
      <c r="B38" s="9">
        <v>7</v>
      </c>
      <c r="D38" s="15">
        <v>2</v>
      </c>
      <c r="E38" s="15">
        <v>25</v>
      </c>
      <c r="F38" s="15">
        <v>50</v>
      </c>
    </row>
    <row r="39" spans="1:6" x14ac:dyDescent="0.35">
      <c r="A39" s="9">
        <v>4</v>
      </c>
      <c r="B39" s="9">
        <v>8</v>
      </c>
      <c r="D39" s="15">
        <v>2</v>
      </c>
      <c r="E39" s="15">
        <v>20</v>
      </c>
      <c r="F39" s="15">
        <v>75</v>
      </c>
    </row>
    <row r="40" spans="1:6" x14ac:dyDescent="0.35">
      <c r="A40" s="9">
        <v>4</v>
      </c>
      <c r="B40" s="9">
        <v>9</v>
      </c>
      <c r="D40" s="15">
        <v>3.3300000000000003E-2</v>
      </c>
      <c r="E40" s="15">
        <v>0.1</v>
      </c>
      <c r="F40" s="15">
        <v>0.3</v>
      </c>
    </row>
    <row r="41" spans="1:6" x14ac:dyDescent="0.35">
      <c r="A41" s="9">
        <v>4</v>
      </c>
      <c r="B41" s="9">
        <v>10</v>
      </c>
      <c r="D41" s="15">
        <v>2</v>
      </c>
      <c r="E41" s="15">
        <v>60</v>
      </c>
      <c r="F41" s="15">
        <v>90</v>
      </c>
    </row>
    <row r="42" spans="1:6" x14ac:dyDescent="0.35">
      <c r="A42" s="9">
        <v>5</v>
      </c>
      <c r="B42" s="9">
        <v>1</v>
      </c>
      <c r="D42" s="15">
        <v>20</v>
      </c>
      <c r="E42" s="15">
        <v>30</v>
      </c>
      <c r="F42" s="15">
        <v>60</v>
      </c>
    </row>
    <row r="43" spans="1:6" x14ac:dyDescent="0.35">
      <c r="A43" s="9">
        <v>5</v>
      </c>
      <c r="B43" s="9">
        <v>2</v>
      </c>
      <c r="D43" s="15">
        <v>20</v>
      </c>
      <c r="E43" s="15">
        <v>50</v>
      </c>
      <c r="F43" s="15">
        <v>60</v>
      </c>
    </row>
    <row r="44" spans="1:6" x14ac:dyDescent="0.35">
      <c r="A44" s="9">
        <v>5</v>
      </c>
      <c r="B44" s="9">
        <v>3</v>
      </c>
      <c r="D44" s="15">
        <v>20</v>
      </c>
      <c r="E44" s="15">
        <v>50</v>
      </c>
      <c r="F44" s="15">
        <v>70</v>
      </c>
    </row>
    <row r="45" spans="1:6" x14ac:dyDescent="0.35">
      <c r="A45" s="9">
        <v>5</v>
      </c>
      <c r="B45" s="9">
        <v>4</v>
      </c>
      <c r="D45" s="15">
        <v>-75</v>
      </c>
      <c r="E45" s="15">
        <v>-30</v>
      </c>
      <c r="F45" s="15">
        <v>-20</v>
      </c>
    </row>
    <row r="46" spans="1:6" x14ac:dyDescent="0.35">
      <c r="A46" s="9">
        <v>5</v>
      </c>
      <c r="B46" s="9">
        <v>5</v>
      </c>
      <c r="D46" s="15">
        <v>1000</v>
      </c>
      <c r="E46" s="15">
        <v>4000</v>
      </c>
      <c r="F46" s="15">
        <v>5000</v>
      </c>
    </row>
    <row r="47" spans="1:6" x14ac:dyDescent="0.35">
      <c r="A47" s="9">
        <v>5</v>
      </c>
      <c r="B47" s="9">
        <v>6</v>
      </c>
      <c r="D47" s="15">
        <v>40</v>
      </c>
      <c r="E47" s="15">
        <v>70</v>
      </c>
      <c r="F47" s="15">
        <v>85</v>
      </c>
    </row>
    <row r="48" spans="1:6" x14ac:dyDescent="0.35">
      <c r="A48" s="9">
        <v>5</v>
      </c>
      <c r="B48" s="9">
        <v>7</v>
      </c>
      <c r="D48" s="15">
        <v>10</v>
      </c>
      <c r="E48" s="15">
        <v>25</v>
      </c>
      <c r="F48" s="15">
        <v>40</v>
      </c>
    </row>
    <row r="49" spans="1:6" x14ac:dyDescent="0.35">
      <c r="A49" s="9">
        <v>5</v>
      </c>
      <c r="B49" s="9">
        <v>8</v>
      </c>
      <c r="D49" s="15">
        <v>40</v>
      </c>
      <c r="E49" s="15">
        <v>60</v>
      </c>
      <c r="F49" s="15">
        <v>90</v>
      </c>
    </row>
    <row r="50" spans="1:6" x14ac:dyDescent="0.35">
      <c r="A50" s="9">
        <v>5</v>
      </c>
      <c r="B50" s="9">
        <v>9</v>
      </c>
      <c r="D50" s="15">
        <v>0.05</v>
      </c>
      <c r="E50" s="15">
        <v>1</v>
      </c>
      <c r="F50" s="15">
        <v>2</v>
      </c>
    </row>
    <row r="51" spans="1:6" x14ac:dyDescent="0.35">
      <c r="A51" s="9">
        <v>5</v>
      </c>
      <c r="B51" s="9">
        <v>10</v>
      </c>
      <c r="D51" s="15">
        <v>30</v>
      </c>
      <c r="E51" s="15">
        <v>50</v>
      </c>
      <c r="F51" s="15">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4</vt:i4>
      </vt:variant>
    </vt:vector>
  </HeadingPairs>
  <TitlesOfParts>
    <vt:vector size="68" baseType="lpstr">
      <vt:lpstr>study covariates &amp; REH</vt:lpstr>
      <vt:lpstr>Studies &amp; Refs</vt:lpstr>
      <vt:lpstr>Exp&amp;DM scores</vt:lpstr>
      <vt:lpstr>all exprts 2022</vt:lpstr>
      <vt:lpstr>Arkansas</vt:lpstr>
      <vt:lpstr>Arsenic D-R</vt:lpstr>
      <vt:lpstr>ATCEP</vt:lpstr>
      <vt:lpstr>BFIQ</vt:lpstr>
      <vt:lpstr>biol_agents</vt:lpstr>
      <vt:lpstr>Brexit_Food</vt:lpstr>
      <vt:lpstr>burkina faso</vt:lpstr>
      <vt:lpstr>CDC_all</vt:lpstr>
      <vt:lpstr>CDC_ROI</vt:lpstr>
      <vt:lpstr>CO2em</vt:lpstr>
      <vt:lpstr>cotopaxi</vt:lpstr>
      <vt:lpstr>CoveringKids</vt:lpstr>
      <vt:lpstr>CREATE</vt:lpstr>
      <vt:lpstr>CWD</vt:lpstr>
      <vt:lpstr>Daniela</vt:lpstr>
      <vt:lpstr>dcpn_Fistula</vt:lpstr>
      <vt:lpstr>eBBp</vt:lpstr>
      <vt:lpstr>eff_Erupt</vt:lpstr>
      <vt:lpstr>Erie</vt:lpstr>
      <vt:lpstr>ethiopia</vt:lpstr>
      <vt:lpstr>FCEP</vt:lpstr>
      <vt:lpstr>Florida</vt:lpstr>
      <vt:lpstr>France</vt:lpstr>
      <vt:lpstr>GDP</vt:lpstr>
      <vt:lpstr>geopolit</vt:lpstr>
      <vt:lpstr>Gerstenberger</vt:lpstr>
      <vt:lpstr>GL_NIS</vt:lpstr>
      <vt:lpstr>Goodheart</vt:lpstr>
      <vt:lpstr>Hemophilia</vt:lpstr>
      <vt:lpstr>ICE_2012</vt:lpstr>
      <vt:lpstr>ICE_2018</vt:lpstr>
      <vt:lpstr>Illinois</vt:lpstr>
      <vt:lpstr>IQEarnings</vt:lpstr>
      <vt:lpstr>Italy</vt:lpstr>
      <vt:lpstr>Leontaris</vt:lpstr>
      <vt:lpstr>Liander</vt:lpstr>
      <vt:lpstr>Nebraska</vt:lpstr>
      <vt:lpstr>Nogal</vt:lpstr>
      <vt:lpstr>PHAC_T4</vt:lpstr>
      <vt:lpstr>Obesity</vt:lpstr>
      <vt:lpstr>Peyras30</vt:lpstr>
      <vt:lpstr>piton</vt:lpstr>
      <vt:lpstr>politicalviolence</vt:lpstr>
      <vt:lpstr>puig-gdp</vt:lpstr>
      <vt:lpstr>puig-oil</vt:lpstr>
      <vt:lpstr>rijn_faalkansen</vt:lpstr>
      <vt:lpstr>rwanda</vt:lpstr>
      <vt:lpstr>SanDiego</vt:lpstr>
      <vt:lpstr>Spain</vt:lpstr>
      <vt:lpstr>Sheep</vt:lpstr>
      <vt:lpstr>SPEED</vt:lpstr>
      <vt:lpstr>Tobacco</vt:lpstr>
      <vt:lpstr>Tadini_Clermont</vt:lpstr>
      <vt:lpstr>Tadini_Quito</vt:lpstr>
      <vt:lpstr>TdC</vt:lpstr>
      <vt:lpstr>topaz</vt:lpstr>
      <vt:lpstr>UK</vt:lpstr>
      <vt:lpstr>umd</vt:lpstr>
      <vt:lpstr>usgs</vt:lpstr>
      <vt:lpstr>Washington</vt:lpstr>
      <vt:lpstr>CO2em!CO2em_seed</vt:lpstr>
      <vt:lpstr>GDP!GDP2300_9_1</vt:lpstr>
      <vt:lpstr>GDP!GDP2300_9_2</vt:lpstr>
      <vt:lpstr>'Exp&amp;DM scores'!ICE_2018</vt:lpstr>
    </vt:vector>
  </TitlesOfParts>
  <Company>Food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Tine Hald</dc:creator>
  <cp:lastModifiedBy>RMC</cp:lastModifiedBy>
  <dcterms:created xsi:type="dcterms:W3CDTF">2014-04-14T13:05:48Z</dcterms:created>
  <dcterms:modified xsi:type="dcterms:W3CDTF">2022-12-13T08:57:55Z</dcterms:modified>
</cp:coreProperties>
</file>